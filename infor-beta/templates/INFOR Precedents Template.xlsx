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455" yWindow="-16320" windowWidth="29040" windowHeight="15720" tabRatio="600" firstSheet="0" activeTab="0" autoFilterDateGrouping="1"/>
  </bookViews>
  <sheets>
    <sheet xmlns:r="http://schemas.openxmlformats.org/officeDocument/2006/relationships" name="Preced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\(&quot;$&quot;#,##0\);&quot;--&quot;"/>
    <numFmt numFmtId="165" formatCode="#,##0.0\x_);\(#,##0.0\x\);&quot;--&quot;"/>
    <numFmt numFmtId="166" formatCode="#,##0.00000\x_);\(#,##0.00000\x\);&quot;--&quot;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Palatino Linotype"/>
      <family val="1"/>
      <color theme="1"/>
      <sz val="9"/>
    </font>
    <font>
      <name val="Palatino Linotype"/>
      <family val="1"/>
      <b val="1"/>
      <color theme="0"/>
      <sz val="9"/>
    </font>
    <font>
      <name val="Arial"/>
      <family val="2"/>
      <color theme="1"/>
      <sz val="9"/>
    </font>
    <font>
      <name val="Palatino Linotype"/>
      <family val="1"/>
      <b val="1"/>
      <i val="1"/>
      <color theme="0"/>
      <sz val="9"/>
    </font>
    <font>
      <name val="Palatino Linotype"/>
      <family val="1"/>
      <b val="1"/>
      <color theme="0"/>
      <sz val="9"/>
      <u val="singleAccounting"/>
    </font>
    <font>
      <name val="Palatino Linotype"/>
      <family val="1"/>
      <color rgb="FF000000"/>
      <sz val="9"/>
    </font>
    <font>
      <name val="Palatino Linotype"/>
      <family val="1"/>
      <color rgb="FF0000FF"/>
      <sz val="9"/>
    </font>
    <font>
      <name val="Palatino Linotype"/>
      <family val="1"/>
      <sz val="9"/>
    </font>
    <font>
      <name val="Calibri"/>
      <family val="2"/>
      <color theme="10"/>
      <sz val="11"/>
      <u val="single"/>
      <scheme val="minor"/>
    </font>
    <font>
      <name val="Palatino Linotype"/>
      <family val="1"/>
      <b val="1"/>
      <color theme="1"/>
      <sz val="9"/>
    </font>
    <font>
      <name val="Palatino Linotype"/>
      <family val="1"/>
      <color theme="0"/>
      <sz val="9"/>
    </font>
    <font>
      <name val="Palatino Linotype"/>
      <family val="1"/>
      <b val="1"/>
      <color theme="1"/>
      <sz val="9"/>
      <u val="single"/>
    </font>
    <font>
      <name val="Palatino Linotype"/>
      <family val="1"/>
      <color rgb="FFFF0000"/>
      <sz val="9"/>
    </font>
    <font>
      <name val="Palatino Linotype"/>
      <family val="1"/>
      <b val="1"/>
      <color rgb="FFFF0000"/>
      <sz val="9"/>
    </font>
    <font>
      <name val="Palatino Linotype"/>
      <family val="1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1" fillId="0" borderId="0"/>
    <xf numFmtId="0" fontId="1" fillId="2" borderId="1"/>
    <xf numFmtId="0" fontId="10" fillId="0" borderId="0"/>
    <xf numFmtId="0" fontId="4" fillId="0" borderId="0"/>
    <xf numFmtId="0" fontId="4" fillId="0" borderId="0"/>
  </cellStyleXfs>
  <cellXfs count="5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2" borderId="3" applyAlignment="1" pivotButton="0" quotePrefix="0" xfId="1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5" fillId="3" borderId="0" applyAlignment="1" pivotButton="0" quotePrefix="0" xfId="3">
      <alignment vertical="center"/>
    </xf>
    <xf numFmtId="0" fontId="6" fillId="3" borderId="0" applyAlignment="1" pivotButton="0" quotePrefix="0" xfId="0">
      <alignment horizontal="centerContinuous" vertical="center"/>
    </xf>
    <xf numFmtId="0" fontId="2" fillId="2" borderId="1" applyAlignment="1" pivotButton="0" quotePrefix="0" xfId="1">
      <alignment horizontal="center" vertical="center"/>
    </xf>
    <xf numFmtId="17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9" fillId="4" borderId="1" applyAlignment="1" pivotButton="0" quotePrefix="0" xfId="1">
      <alignment horizontal="center" vertical="center" wrapText="1"/>
    </xf>
    <xf numFmtId="166" fontId="9" fillId="4" borderId="1" applyAlignment="1" pivotButton="0" quotePrefix="0" xfId="1">
      <alignment horizontal="center" vertical="center"/>
    </xf>
    <xf numFmtId="17" fontId="8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0" fontId="11" fillId="4" borderId="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0" fillId="0" borderId="0" applyAlignment="1" pivotButton="0" quotePrefix="0" xfId="2">
      <alignment horizontal="center" vertical="center"/>
    </xf>
    <xf numFmtId="0" fontId="12" fillId="0" borderId="4" applyAlignment="1" pivotButton="0" quotePrefix="0" xfId="0">
      <alignment vertical="center"/>
    </xf>
    <xf numFmtId="0" fontId="3" fillId="5" borderId="6" applyAlignment="1" pivotButton="0" quotePrefix="0" xfId="0">
      <alignment vertical="center"/>
    </xf>
    <xf numFmtId="165" fontId="3" fillId="5" borderId="6" applyAlignment="1" pivotButton="0" quotePrefix="0" xfId="0">
      <alignment horizontal="center" vertical="center"/>
    </xf>
    <xf numFmtId="0" fontId="3" fillId="5" borderId="4" applyAlignment="1" pivotButton="0" quotePrefix="0" xfId="0">
      <alignment vertical="center"/>
    </xf>
    <xf numFmtId="165" fontId="3" fillId="5" borderId="4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4" fontId="7" fillId="7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3" fillId="6" borderId="6" applyAlignment="1" pivotButton="0" quotePrefix="0" xfId="4">
      <alignment vertical="center"/>
    </xf>
    <xf numFmtId="0" fontId="14" fillId="6" borderId="6" pivotButton="0" quotePrefix="0" xfId="3"/>
    <xf numFmtId="0" fontId="3" fillId="6" borderId="4" applyAlignment="1" pivotButton="0" quotePrefix="0" xfId="4">
      <alignment vertical="center"/>
    </xf>
    <xf numFmtId="0" fontId="14" fillId="6" borderId="4" pivotButton="0" quotePrefix="0" xfId="3"/>
    <xf numFmtId="165" fontId="16" fillId="4" borderId="5" applyAlignment="1" pivotButton="0" quotePrefix="0" xfId="0">
      <alignment horizontal="center" vertical="center"/>
    </xf>
    <xf numFmtId="165" fontId="15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6" fontId="9" fillId="4" borderId="1" applyAlignment="1" pivotButton="0" quotePrefix="0" xfId="1">
      <alignment horizontal="center" vertical="center" wrapText="1"/>
    </xf>
    <xf numFmtId="164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6" fontId="9" fillId="4" borderId="1" applyAlignment="1" pivotButton="0" quotePrefix="0" xfId="1">
      <alignment horizontal="center" vertical="center"/>
    </xf>
    <xf numFmtId="164" fontId="8" fillId="0" borderId="4" applyAlignment="1" pivotButton="0" quotePrefix="0" xfId="0">
      <alignment horizontal="center" vertical="center"/>
    </xf>
    <xf numFmtId="164" fontId="7" fillId="7" borderId="4" applyAlignment="1" pivotButton="0" quotePrefix="0" xfId="0">
      <alignment horizontal="center" vertical="center"/>
    </xf>
    <xf numFmtId="165" fontId="16" fillId="4" borderId="5" applyAlignment="1" pivotButton="0" quotePrefix="0" xfId="0">
      <alignment horizontal="center" vertical="center"/>
    </xf>
    <xf numFmtId="165" fontId="3" fillId="5" borderId="6" applyAlignment="1" pivotButton="0" quotePrefix="0" xfId="0">
      <alignment horizontal="center" vertical="center"/>
    </xf>
    <xf numFmtId="165" fontId="3" fillId="5" borderId="4" applyAlignment="1" pivotButton="0" quotePrefix="0" xfId="0">
      <alignment horizontal="center" vertical="center"/>
    </xf>
    <xf numFmtId="165" fontId="15" fillId="6" borderId="0" applyAlignment="1" pivotButton="0" quotePrefix="0" xfId="0">
      <alignment horizontal="center" vertical="center"/>
    </xf>
  </cellXfs>
  <cellStyles count="5">
    <cellStyle name="Normal" xfId="0" builtinId="0"/>
    <cellStyle name="Note" xfId="1" builtinId="10"/>
    <cellStyle name="Hyperlink" xfId="2" builtinId="8"/>
    <cellStyle name="Normal 2" xfId="3"/>
    <cellStyle name="Normal 2 3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1. INFOR (New)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E213F"/>
      </a:accent1>
      <a:accent2>
        <a:srgbClr val="46566E"/>
      </a:accent2>
      <a:accent3>
        <a:srgbClr val="ADB9CA"/>
      </a:accent3>
      <a:accent4>
        <a:srgbClr val="A4844B"/>
      </a:accent4>
      <a:accent5>
        <a:srgbClr val="767171"/>
      </a:accent5>
      <a:accent6>
        <a:srgbClr val="E5E3E3"/>
      </a:accent6>
      <a:hlink>
        <a:srgbClr val="800000"/>
      </a:hlink>
      <a:folHlink>
        <a:srgbClr val="33330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1:AI30"/>
  <sheetViews>
    <sheetView showGridLines="0" tabSelected="1" topLeftCell="J1" zoomScaleNormal="100" workbookViewId="0">
      <selection activeCell="Q12" sqref="Q12"/>
    </sheetView>
  </sheetViews>
  <sheetFormatPr baseColWidth="8" defaultRowHeight="13.2"/>
  <cols>
    <col width="2.578125" customWidth="1" style="1" min="1" max="1"/>
    <col width="10.578125" customWidth="1" style="1" min="2" max="3"/>
    <col width="2.578125" customWidth="1" style="1" min="4" max="4"/>
    <col width="10.578125" customWidth="1" style="1" min="5" max="5"/>
    <col width="24.26171875" bestFit="1" customWidth="1" style="1" min="6" max="7"/>
    <col width="10.578125" customWidth="1" style="1" min="8" max="8"/>
    <col outlineLevel="1" width="10.578125" customWidth="1" style="1" min="9" max="9"/>
    <col width="10.578125" customWidth="1" style="1" min="10" max="10"/>
    <col outlineLevel="1" width="10.578125" customWidth="1" style="1" min="11" max="18"/>
    <col width="10.578125" customWidth="1" style="1" min="19" max="26"/>
    <col width="2.578125" customWidth="1" style="1" min="27" max="27"/>
    <col width="8.83984375" customWidth="1" style="1" min="28" max="33"/>
    <col width="2.578125" customWidth="1" style="1" min="34" max="34"/>
    <col width="8.83984375" customWidth="1" style="1" min="35" max="16384"/>
  </cols>
  <sheetData>
    <row r="1" ht="13.5" customHeight="1" thickBot="1"/>
    <row r="2" ht="13.5" customHeight="1" thickBot="1">
      <c r="B2" s="2" t="inlineStr">
        <is>
          <t>Output:</t>
        </is>
      </c>
      <c r="C2" s="3" t="inlineStr">
        <is>
          <t>USD</t>
        </is>
      </c>
    </row>
    <row r="3"/>
    <row r="4" ht="14.5" customHeight="1">
      <c r="B4" s="4" t="inlineStr">
        <is>
          <t>Input</t>
        </is>
      </c>
      <c r="C4" s="5" t="n"/>
      <c r="E4" s="6" t="inlineStr">
        <is>
          <t>(In US$MM, unless otherwise noted)</t>
        </is>
      </c>
      <c r="F4" s="5" t="n"/>
      <c r="G4" s="5" t="n"/>
      <c r="H4" s="5" t="n"/>
      <c r="I4" s="4" t="inlineStr">
        <is>
          <t>TEV</t>
        </is>
      </c>
      <c r="J4" s="4" t="n"/>
      <c r="K4" s="7" t="inlineStr">
        <is>
          <t>Revenue - Source FX</t>
        </is>
      </c>
      <c r="L4" s="7" t="n"/>
      <c r="M4" s="7" t="inlineStr">
        <is>
          <t>Net Income - Source FX</t>
        </is>
      </c>
      <c r="N4" s="7" t="n"/>
      <c r="O4" s="7" t="inlineStr">
        <is>
          <t>Adj. EBITDA - Source FX</t>
        </is>
      </c>
      <c r="P4" s="7" t="n"/>
      <c r="Q4" s="7" t="inlineStr">
        <is>
          <t>Book Value - Source FX</t>
        </is>
      </c>
      <c r="R4" s="7" t="n"/>
      <c r="S4" s="7" t="inlineStr">
        <is>
          <t>EV / Revenue</t>
        </is>
      </c>
      <c r="T4" s="7" t="n"/>
      <c r="U4" s="7" t="inlineStr">
        <is>
          <t>EV / EBITDA</t>
        </is>
      </c>
      <c r="V4" s="7" t="n"/>
      <c r="W4" s="7" t="inlineStr">
        <is>
          <t>P/ E</t>
        </is>
      </c>
      <c r="X4" s="7" t="n"/>
      <c r="Y4" s="4" t="inlineStr">
        <is>
          <t>P / B</t>
        </is>
      </c>
      <c r="Z4" s="4" t="inlineStr">
        <is>
          <t>P / TBV</t>
        </is>
      </c>
      <c r="AB4" s="4" t="inlineStr">
        <is>
          <t>TEV</t>
        </is>
      </c>
      <c r="AC4" s="4" t="inlineStr">
        <is>
          <t>Rev.</t>
        </is>
      </c>
      <c r="AD4" s="4" t="inlineStr">
        <is>
          <t>EBITDA</t>
        </is>
      </c>
      <c r="AE4" s="4" t="inlineStr">
        <is>
          <t>Net Inc.</t>
        </is>
      </c>
      <c r="AF4" s="4" t="inlineStr">
        <is>
          <t>P / B</t>
        </is>
      </c>
      <c r="AG4" s="4" t="inlineStr">
        <is>
          <t>P / TBV</t>
        </is>
      </c>
      <c r="AI4" s="5" t="n"/>
    </row>
    <row r="5" ht="14.5" customHeight="1">
      <c r="B5" s="4" t="inlineStr">
        <is>
          <t>Currency</t>
        </is>
      </c>
      <c r="C5" s="4" t="inlineStr">
        <is>
          <t>FX</t>
        </is>
      </c>
      <c r="E5" s="5" t="inlineStr">
        <is>
          <t>Ann. Date</t>
        </is>
      </c>
      <c r="F5" s="5" t="inlineStr">
        <is>
          <t>Target</t>
        </is>
      </c>
      <c r="G5" s="5" t="inlineStr">
        <is>
          <t>Acquiror</t>
        </is>
      </c>
      <c r="H5" s="4" t="inlineStr">
        <is>
          <t>HQ</t>
        </is>
      </c>
      <c r="I5" s="4" t="inlineStr">
        <is>
          <t>Source FX</t>
        </is>
      </c>
      <c r="J5" s="4" t="inlineStr">
        <is>
          <t>TEV</t>
        </is>
      </c>
      <c r="K5" s="4" t="inlineStr">
        <is>
          <t>(LTM)</t>
        </is>
      </c>
      <c r="L5" s="4" t="inlineStr">
        <is>
          <t>(NTM)</t>
        </is>
      </c>
      <c r="M5" s="4" t="inlineStr">
        <is>
          <t>(LTM)</t>
        </is>
      </c>
      <c r="N5" s="4" t="inlineStr">
        <is>
          <t>(NTM)</t>
        </is>
      </c>
      <c r="O5" s="4" t="inlineStr">
        <is>
          <t>(LTM)</t>
        </is>
      </c>
      <c r="P5" s="4" t="inlineStr">
        <is>
          <t>(NTM)</t>
        </is>
      </c>
      <c r="Q5" s="4" t="inlineStr">
        <is>
          <t>BV</t>
        </is>
      </c>
      <c r="R5" s="4" t="inlineStr">
        <is>
          <t>TBV</t>
        </is>
      </c>
      <c r="S5" s="4" t="inlineStr">
        <is>
          <t>(LTM)</t>
        </is>
      </c>
      <c r="T5" s="4" t="inlineStr">
        <is>
          <t>(NTM)</t>
        </is>
      </c>
      <c r="U5" s="4" t="inlineStr">
        <is>
          <t>(LTM)</t>
        </is>
      </c>
      <c r="V5" s="4" t="inlineStr">
        <is>
          <t>(NTM)</t>
        </is>
      </c>
      <c r="W5" s="4" t="inlineStr">
        <is>
          <t>(LTM)</t>
        </is>
      </c>
      <c r="X5" s="4" t="inlineStr">
        <is>
          <t>(NTM)</t>
        </is>
      </c>
      <c r="Y5" s="4" t="inlineStr">
        <is>
          <t>(Current)</t>
        </is>
      </c>
      <c r="Z5" s="4" t="inlineStr">
        <is>
          <t>(Current)</t>
        </is>
      </c>
      <c r="AB5" s="4" t="inlineStr">
        <is>
          <t>Source</t>
        </is>
      </c>
      <c r="AC5" s="4" t="inlineStr">
        <is>
          <t>Source</t>
        </is>
      </c>
      <c r="AD5" s="4" t="inlineStr">
        <is>
          <t>Source</t>
        </is>
      </c>
      <c r="AE5" s="4" t="inlineStr">
        <is>
          <t>Source</t>
        </is>
      </c>
      <c r="AF5" s="4" t="inlineStr">
        <is>
          <t>Source</t>
        </is>
      </c>
      <c r="AG5" s="4" t="inlineStr">
        <is>
          <t>Source</t>
        </is>
      </c>
      <c r="AI5" s="4" t="inlineStr">
        <is>
          <t>HQ</t>
        </is>
      </c>
    </row>
    <row r="6" ht="3" customHeight="1"/>
    <row r="7" ht="14.5" customHeight="1">
      <c r="E7" s="23" t="inlineStr">
        <is>
          <t>[Group #1]</t>
        </is>
      </c>
    </row>
    <row r="8" ht="16" customHeight="1">
      <c r="B8" s="8" t="n"/>
      <c r="C8" s="41">
        <f t="array" ref="C8">_xll.SNL.Clients.Office.Excel.Functions.SPG("$"&amp;$C$2&amp;B8,"SP_PRICE_CLOSE",WORKDAY(E8+1,-1),"Options: NA=NA")</f>
        <v/>
      </c>
      <c r="E8" s="9" t="n"/>
      <c r="H8" s="10" t="n"/>
      <c r="I8" s="42" t="n"/>
      <c r="J8" s="43">
        <f>+I8*C8</f>
        <v/>
      </c>
      <c r="K8" s="44" t="n"/>
      <c r="L8" s="44" t="n"/>
      <c r="M8" s="44" t="n"/>
      <c r="N8" s="44" t="n"/>
      <c r="O8" s="44" t="n"/>
      <c r="P8" s="44" t="n"/>
      <c r="Q8" s="44" t="n"/>
      <c r="R8" s="44" t="n"/>
      <c r="S8" s="45">
        <f>IF(K8="","n/a ",(K8*C8)/J8)</f>
        <v/>
      </c>
      <c r="T8" s="45">
        <f>IF(L8="","n/a ",(L8*C8)/J8)</f>
        <v/>
      </c>
      <c r="U8" s="45">
        <f>IF(O8="","n/a ",(O8*C8)/J8)</f>
        <v/>
      </c>
      <c r="V8" s="45">
        <f>IF(P8="","n/a ",(P8*C8)/J8)</f>
        <v/>
      </c>
      <c r="W8" s="45">
        <f>IF(M8="","n/a ",(M8*C8)/J8)</f>
        <v/>
      </c>
      <c r="X8" s="45">
        <f>IF(N8="","n/a ",(N8*C8)/J8)</f>
        <v/>
      </c>
      <c r="Y8" s="45">
        <f>IF(Q8="","n/a ",(Q8*C8)/J8)</f>
        <v/>
      </c>
      <c r="Z8" s="45">
        <f>IF(R8="","n/a ",(R8*C8)/J8)</f>
        <v/>
      </c>
      <c r="AB8" s="14" t="inlineStr">
        <is>
          <t>Link</t>
        </is>
      </c>
      <c r="AC8" s="14" t="inlineStr">
        <is>
          <t>Link</t>
        </is>
      </c>
      <c r="AD8" s="14" t="inlineStr">
        <is>
          <t>Link</t>
        </is>
      </c>
      <c r="AE8" s="14" t="inlineStr">
        <is>
          <t>Link</t>
        </is>
      </c>
      <c r="AF8" s="14" t="inlineStr">
        <is>
          <t>Link</t>
        </is>
      </c>
      <c r="AG8" s="14" t="inlineStr">
        <is>
          <t>Link</t>
        </is>
      </c>
      <c r="AI8" s="40" t="n"/>
    </row>
    <row r="9" ht="16" customHeight="1">
      <c r="B9" s="8" t="n"/>
      <c r="C9" s="41">
        <f t="array" ref="C9">_xll.SNL.Clients.Office.Excel.Functions.SPG("$"&amp;$C$2&amp;B9,"SP_PRICE_CLOSE",WORKDAY(E9+1,-1),"Options: NA=NA")</f>
        <v/>
      </c>
      <c r="E9" s="9" t="n"/>
      <c r="H9" s="10" t="n"/>
      <c r="I9" s="42" t="n"/>
      <c r="J9" s="43">
        <f>+I9*C9</f>
        <v/>
      </c>
      <c r="K9" s="46" t="n"/>
      <c r="L9" s="44" t="n"/>
      <c r="M9" s="46" t="n"/>
      <c r="N9" s="44" t="n"/>
      <c r="O9" s="46" t="n"/>
      <c r="P9" s="44" t="n"/>
      <c r="Q9" s="44" t="n"/>
      <c r="R9" s="44" t="n"/>
      <c r="S9" s="45">
        <f>IF(K9="","n/a ",(K9*C9)/J9)</f>
        <v/>
      </c>
      <c r="T9" s="45">
        <f>IF(L9="","n/a ",(L9*C9)/J9)</f>
        <v/>
      </c>
      <c r="U9" s="45">
        <f>IF(O9="","n/a ",(O9*C9)/J9)</f>
        <v/>
      </c>
      <c r="V9" s="45">
        <f>IF(P9="","n/a ",(P9*C9)/J9)</f>
        <v/>
      </c>
      <c r="W9" s="45">
        <f>IF(M9="","n/a ",(M9*C9)/J9)</f>
        <v/>
      </c>
      <c r="X9" s="45">
        <f>IF(N9="","n/a ",(N9*C9)/J9)</f>
        <v/>
      </c>
      <c r="Y9" s="45">
        <f>IF(Q9="","n/a ",(Q9*C9)/J9)</f>
        <v/>
      </c>
      <c r="Z9" s="45">
        <f>IF(R9="","n/a ",(R9*C9)/J9)</f>
        <v/>
      </c>
      <c r="AB9" s="14" t="inlineStr">
        <is>
          <t>Link</t>
        </is>
      </c>
      <c r="AC9" s="14" t="inlineStr">
        <is>
          <t>Link</t>
        </is>
      </c>
      <c r="AD9" s="14" t="inlineStr">
        <is>
          <t>Link</t>
        </is>
      </c>
      <c r="AE9" s="14" t="inlineStr">
        <is>
          <t>Link</t>
        </is>
      </c>
      <c r="AF9" s="14" t="inlineStr">
        <is>
          <t>Link</t>
        </is>
      </c>
      <c r="AG9" s="14" t="inlineStr">
        <is>
          <t>Link</t>
        </is>
      </c>
      <c r="AI9" s="40" t="n"/>
    </row>
    <row r="10" ht="16" customHeight="1">
      <c r="B10" s="8" t="n"/>
      <c r="C10" s="41">
        <f t="array" ref="C10">_xll.SNL.Clients.Office.Excel.Functions.SPG("$"&amp;$C$2&amp;B10,"SP_PRICE_CLOSE",WORKDAY(E10+1,-1),"Options: NA=NA")</f>
        <v/>
      </c>
      <c r="E10" s="9" t="n"/>
      <c r="H10" s="10" t="n"/>
      <c r="I10" s="42" t="n"/>
      <c r="J10" s="43">
        <f>+I10*C10</f>
        <v/>
      </c>
      <c r="K10" s="46" t="n"/>
      <c r="L10" s="46" t="n"/>
      <c r="M10" s="46" t="n"/>
      <c r="N10" s="46" t="n"/>
      <c r="O10" s="46" t="n"/>
      <c r="P10" s="46" t="n"/>
      <c r="Q10" s="46" t="n"/>
      <c r="R10" s="46" t="n"/>
      <c r="S10" s="45">
        <f>IF(K10="","n/a ",(K10*C10)/J10)</f>
        <v/>
      </c>
      <c r="T10" s="45">
        <f>IF(L10="","n/a ",(L10*C10)/J10)</f>
        <v/>
      </c>
      <c r="U10" s="45">
        <f>IF(O10="","n/a ",(O10*C10)/J10)</f>
        <v/>
      </c>
      <c r="V10" s="45">
        <f>IF(P10="","n/a ",(P10*C10)/J10)</f>
        <v/>
      </c>
      <c r="W10" s="45">
        <f>IF(M10="","n/a ",(M10*C10)/J10)</f>
        <v/>
      </c>
      <c r="X10" s="45">
        <f>IF(N10="","n/a ",(N10*C10)/J10)</f>
        <v/>
      </c>
      <c r="Y10" s="45">
        <f>IF(Q10="","n/a ",(Q10*C10)/J10)</f>
        <v/>
      </c>
      <c r="Z10" s="45">
        <f>IF(R10="","n/a ",(R10*C10)/J10)</f>
        <v/>
      </c>
      <c r="AB10" s="14" t="inlineStr">
        <is>
          <t>Link</t>
        </is>
      </c>
      <c r="AC10" s="14" t="inlineStr">
        <is>
          <t>Link</t>
        </is>
      </c>
      <c r="AD10" s="14" t="inlineStr">
        <is>
          <t>Link</t>
        </is>
      </c>
      <c r="AE10" s="14" t="inlineStr">
        <is>
          <t>Link</t>
        </is>
      </c>
      <c r="AF10" s="14" t="inlineStr">
        <is>
          <t>Link</t>
        </is>
      </c>
      <c r="AG10" s="14" t="inlineStr">
        <is>
          <t>Link</t>
        </is>
      </c>
      <c r="AI10" s="40" t="n"/>
    </row>
    <row r="11" ht="16" customHeight="1">
      <c r="B11" s="8" t="n"/>
      <c r="C11" s="47">
        <f t="array" ref="C11">_xll.SNL.Clients.Office.Excel.Functions.SPG("$"&amp;$C$2&amp;B11,"SP_PRICE_CLOSE",WORKDAY(E11+1,-1),"Options: NA=NA")</f>
        <v/>
      </c>
      <c r="E11" s="9" t="n"/>
      <c r="H11" s="10" t="n"/>
      <c r="I11" s="42" t="n"/>
      <c r="J11" s="43">
        <f>+I11*C11</f>
        <v/>
      </c>
      <c r="K11" s="46" t="n"/>
      <c r="L11" s="46" t="n"/>
      <c r="M11" s="46" t="n"/>
      <c r="N11" s="46" t="n"/>
      <c r="O11" s="46" t="n"/>
      <c r="P11" s="46" t="n"/>
      <c r="Q11" s="46" t="n"/>
      <c r="R11" s="46" t="n"/>
      <c r="S11" s="45">
        <f>IF(K11="","n/a ",(K11*C11)/J11)</f>
        <v/>
      </c>
      <c r="T11" s="45">
        <f>IF(L11="","n/a ",(L11*C11)/J11)</f>
        <v/>
      </c>
      <c r="U11" s="45">
        <f>IF(O11="","n/a ",(O11*C11)/J11)</f>
        <v/>
      </c>
      <c r="V11" s="45">
        <f>IF(P11="","n/a ",(P11*C11)/J11)</f>
        <v/>
      </c>
      <c r="W11" s="45">
        <f>IF(M11="","n/a ",(M11*C11)/J11)</f>
        <v/>
      </c>
      <c r="X11" s="45">
        <f>IF(N11="","n/a ",(N11*C11)/J11)</f>
        <v/>
      </c>
      <c r="Y11" s="45">
        <f>IF(Q11="","n/a ",(Q11*C11)/J11)</f>
        <v/>
      </c>
      <c r="Z11" s="45">
        <f>IF(R11="","n/a ",(R11*C11)/J11)</f>
        <v/>
      </c>
      <c r="AB11" s="14" t="inlineStr">
        <is>
          <t>Link</t>
        </is>
      </c>
      <c r="AC11" s="14" t="inlineStr">
        <is>
          <t>Link</t>
        </is>
      </c>
      <c r="AD11" s="14" t="inlineStr">
        <is>
          <t>Link</t>
        </is>
      </c>
      <c r="AE11" s="14" t="inlineStr">
        <is>
          <t>Link</t>
        </is>
      </c>
      <c r="AF11" s="14" t="inlineStr">
        <is>
          <t>Link</t>
        </is>
      </c>
      <c r="AG11" s="14" t="inlineStr">
        <is>
          <t>Link</t>
        </is>
      </c>
      <c r="AI11" s="40" t="n"/>
    </row>
    <row r="12" ht="16" customHeight="1">
      <c r="B12" s="8" t="n"/>
      <c r="C12" s="47">
        <f t="array" ref="C12">_xll.SNL.Clients.Office.Excel.Functions.SPG("$"&amp;$C$2&amp;B12,"SP_PRICE_CLOSE",WORKDAY(E12+1,-1),"Options: NA=NA")</f>
        <v/>
      </c>
      <c r="E12" s="9" t="n"/>
      <c r="H12" s="10" t="n"/>
      <c r="I12" s="42" t="n"/>
      <c r="J12" s="43">
        <f>+I12*C12</f>
        <v/>
      </c>
      <c r="K12" s="46" t="n"/>
      <c r="L12" s="46" t="n"/>
      <c r="M12" s="46" t="n"/>
      <c r="N12" s="46" t="n"/>
      <c r="O12" s="46" t="n"/>
      <c r="P12" s="46" t="n"/>
      <c r="Q12" s="46" t="n"/>
      <c r="R12" s="46" t="n"/>
      <c r="S12" s="45">
        <f>IF(K12="","n/a ",(K12*C12)/J12)</f>
        <v/>
      </c>
      <c r="T12" s="45">
        <f>IF(L12="","n/a ",(L12*C12)/J12)</f>
        <v/>
      </c>
      <c r="U12" s="45">
        <f>IF(O12="","n/a ",(O12*C12)/J12)</f>
        <v/>
      </c>
      <c r="V12" s="45">
        <f>IF(P12="","n/a ",(P12*C12)/J12)</f>
        <v/>
      </c>
      <c r="W12" s="45">
        <f>IF(M12="","n/a ",(M12*C12)/J12)</f>
        <v/>
      </c>
      <c r="X12" s="45">
        <f>IF(N12="","n/a ",(N12*C12)/J12)</f>
        <v/>
      </c>
      <c r="Y12" s="45">
        <f>IF(Q12="","n/a ",(Q12*C12)/J12)</f>
        <v/>
      </c>
      <c r="Z12" s="45">
        <f>IF(R12="","n/a ",(R12*C12)/J12)</f>
        <v/>
      </c>
      <c r="AB12" s="14" t="inlineStr">
        <is>
          <t>Link</t>
        </is>
      </c>
      <c r="AC12" s="14" t="inlineStr">
        <is>
          <t>Link</t>
        </is>
      </c>
      <c r="AD12" s="14" t="inlineStr">
        <is>
          <t>Link</t>
        </is>
      </c>
      <c r="AE12" s="14" t="inlineStr">
        <is>
          <t>Link</t>
        </is>
      </c>
      <c r="AF12" s="14" t="inlineStr">
        <is>
          <t>Link</t>
        </is>
      </c>
      <c r="AG12" s="14" t="inlineStr">
        <is>
          <t>Link</t>
        </is>
      </c>
      <c r="AI12" s="40" t="n"/>
    </row>
    <row r="13" ht="16" customHeight="1">
      <c r="B13" s="8" t="n"/>
      <c r="C13" s="41">
        <f t="array" ref="C13">_xll.SNL.Clients.Office.Excel.Functions.SPG("$"&amp;$C$2&amp;B13,"SP_PRICE_CLOSE",WORKDAY(E13+1,-1),"Options: NA=NA")</f>
        <v/>
      </c>
      <c r="E13" s="17" t="n"/>
      <c r="F13" s="18" t="n"/>
      <c r="G13" s="18" t="n"/>
      <c r="H13" s="19" t="n"/>
      <c r="I13" s="48" t="n"/>
      <c r="J13" s="43">
        <f>+I13*C13</f>
        <v/>
      </c>
      <c r="K13" s="49" t="n"/>
      <c r="L13" s="49" t="n"/>
      <c r="M13" s="49" t="n"/>
      <c r="N13" s="49" t="n"/>
      <c r="O13" s="49" t="n"/>
      <c r="P13" s="49" t="n"/>
      <c r="Q13" s="46" t="n"/>
      <c r="R13" s="46" t="n"/>
      <c r="S13" s="45">
        <f>IF(K13="","n/a ",(K13*C13)/J13)</f>
        <v/>
      </c>
      <c r="T13" s="45">
        <f>IF(L13="","n/a ",(L13*C13)/J13)</f>
        <v/>
      </c>
      <c r="U13" s="45">
        <f>IF(O13="","n/a ",(O13*C13)/J13)</f>
        <v/>
      </c>
      <c r="V13" s="45">
        <f>IF(P13="","n/a ",(P13*C13)/J13)</f>
        <v/>
      </c>
      <c r="W13" s="45">
        <f>IF(M13="","n/a ",(M13*C13)/J13)</f>
        <v/>
      </c>
      <c r="X13" s="45">
        <f>IF(N13="","n/a ",(N13*C13)/J13)</f>
        <v/>
      </c>
      <c r="Y13" s="45">
        <f>IF(Q13="","n/a ",(Q13*C13)/J13)</f>
        <v/>
      </c>
      <c r="Z13" s="45">
        <f>IF(R13="","n/a ",(R13*C13)/J13)</f>
        <v/>
      </c>
      <c r="AB13" s="14" t="inlineStr">
        <is>
          <t>Link</t>
        </is>
      </c>
      <c r="AC13" s="14" t="inlineStr">
        <is>
          <t>Link</t>
        </is>
      </c>
      <c r="AD13" s="14" t="inlineStr">
        <is>
          <t>Link</t>
        </is>
      </c>
      <c r="AE13" s="14" t="inlineStr">
        <is>
          <t>Link</t>
        </is>
      </c>
      <c r="AF13" s="14" t="inlineStr">
        <is>
          <t>Link</t>
        </is>
      </c>
      <c r="AG13" s="14" t="inlineStr">
        <is>
          <t>Link</t>
        </is>
      </c>
      <c r="AI13" s="40" t="n"/>
    </row>
    <row r="14" ht="16" customHeight="1">
      <c r="E14" s="21" t="inlineStr">
        <is>
          <t>Group Average</t>
        </is>
      </c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50">
        <f>IFERROR(AVERAGE(S8:S13),"n/a ")</f>
        <v/>
      </c>
      <c r="T14" s="50">
        <f>IFERROR(AVERAGE(T8:T13),"n/a ")</f>
        <v/>
      </c>
      <c r="U14" s="50">
        <f>IFERROR(AVERAGE(U8:U13),"n/a ")</f>
        <v/>
      </c>
      <c r="V14" s="50">
        <f>IFERROR(AVERAGE(V8:V13),"n/a ")</f>
        <v/>
      </c>
      <c r="W14" s="50">
        <f>IFERROR(AVERAGE(W8:W13),"n/a ")</f>
        <v/>
      </c>
      <c r="X14" s="50">
        <f>IFERROR(AVERAGE(X8:X13),"n/a ")</f>
        <v/>
      </c>
      <c r="Y14" s="50">
        <f>IFERROR(AVERAGE(Y8:Y13),"n/a ")</f>
        <v/>
      </c>
      <c r="Z14" s="50">
        <f>IFERROR(AVERAGE(Z8:Z13),"n/a ")</f>
        <v/>
      </c>
      <c r="AI14" s="14" t="n"/>
    </row>
    <row r="15" ht="3" customHeight="1">
      <c r="H15" s="22" t="n"/>
      <c r="AI15" s="14" t="n"/>
    </row>
    <row r="16" ht="14.5" customHeight="1">
      <c r="E16" s="23" t="inlineStr">
        <is>
          <t>[Group #2]</t>
        </is>
      </c>
      <c r="H16" s="22" t="n"/>
      <c r="AI16" s="14" t="n"/>
    </row>
    <row r="17" ht="16" customHeight="1">
      <c r="B17" s="8" t="n"/>
      <c r="C17" s="47">
        <f t="array" ref="C17">_xll.SNL.Clients.Office.Excel.Functions.SPG("$"&amp;$C$2&amp;B17,"SP_PRICE_CLOSE",WORKDAY(E17+1,-1),"Options: NA=NA")</f>
        <v/>
      </c>
      <c r="E17" s="9" t="n"/>
      <c r="H17" s="10" t="n"/>
      <c r="I17" s="42" t="n"/>
      <c r="J17" s="43">
        <f>+I17*C17</f>
        <v/>
      </c>
      <c r="K17" s="46" t="n"/>
      <c r="L17" s="46" t="n"/>
      <c r="M17" s="46" t="n"/>
      <c r="N17" s="46" t="n"/>
      <c r="O17" s="46" t="n"/>
      <c r="P17" s="46" t="n"/>
      <c r="Q17" s="46" t="n"/>
      <c r="R17" s="46" t="n"/>
      <c r="S17" s="45">
        <f>IF(K17="","n/a ",(K17*C17)/J17)</f>
        <v/>
      </c>
      <c r="T17" s="45">
        <f>IF(L17="","n/a ",(L17*C17)/J17)</f>
        <v/>
      </c>
      <c r="U17" s="45">
        <f>IF(O17="","n/a ",(O17*C17)/J17)</f>
        <v/>
      </c>
      <c r="V17" s="45">
        <f>IF(P17="","n/a ",(P17*C17)/J17)</f>
        <v/>
      </c>
      <c r="W17" s="45">
        <f>IF(M17="","n/a ",(M17*C17)/J17)</f>
        <v/>
      </c>
      <c r="X17" s="45">
        <f>IF(N17="","n/a ",(N17*C17)/J17)</f>
        <v/>
      </c>
      <c r="Y17" s="45">
        <f>IF(Q17="","n/a ",(Q17*C17)/J17)</f>
        <v/>
      </c>
      <c r="Z17" s="45">
        <f>IF(R17="","n/a ",(R17*C17)/J17)</f>
        <v/>
      </c>
      <c r="AB17" s="14" t="inlineStr">
        <is>
          <t>Link</t>
        </is>
      </c>
      <c r="AC17" s="14" t="inlineStr">
        <is>
          <t>Link</t>
        </is>
      </c>
      <c r="AD17" s="14" t="inlineStr">
        <is>
          <t>Link</t>
        </is>
      </c>
      <c r="AE17" s="14" t="inlineStr">
        <is>
          <t>Link</t>
        </is>
      </c>
      <c r="AF17" s="14" t="inlineStr">
        <is>
          <t>Link</t>
        </is>
      </c>
      <c r="AG17" s="14" t="inlineStr">
        <is>
          <t>Link</t>
        </is>
      </c>
      <c r="AH17" s="24" t="n"/>
      <c r="AI17" s="40" t="n"/>
    </row>
    <row r="18" ht="16" customHeight="1">
      <c r="B18" s="8" t="n"/>
      <c r="C18" s="47">
        <f t="array" ref="C18">_xll.SNL.Clients.Office.Excel.Functions.SPG("$"&amp;$C$2&amp;B18,"SP_PRICE_CLOSE",WORKDAY(E18+1,-1),"Options: NA=NA")</f>
        <v/>
      </c>
      <c r="E18" s="9" t="n"/>
      <c r="H18" s="10" t="n"/>
      <c r="I18" s="42" t="n"/>
      <c r="J18" s="43">
        <f>+I18*C18</f>
        <v/>
      </c>
      <c r="K18" s="46" t="n"/>
      <c r="L18" s="46" t="n"/>
      <c r="M18" s="46" t="n"/>
      <c r="N18" s="46" t="n"/>
      <c r="O18" s="46" t="n"/>
      <c r="P18" s="46" t="n"/>
      <c r="Q18" s="46" t="n"/>
      <c r="R18" s="46" t="n"/>
      <c r="S18" s="45">
        <f>IF(K18="","n/a ",(K18*C18)/J18)</f>
        <v/>
      </c>
      <c r="T18" s="45">
        <f>IF(L18="","n/a ",(L18*C18)/J18)</f>
        <v/>
      </c>
      <c r="U18" s="45">
        <f>IF(O18="","n/a ",(O18*C18)/J18)</f>
        <v/>
      </c>
      <c r="V18" s="45">
        <f>IF(P18="","n/a ",(P18*C18)/J18)</f>
        <v/>
      </c>
      <c r="W18" s="45">
        <f>IF(M18="","n/a ",(M18*C18)/J18)</f>
        <v/>
      </c>
      <c r="X18" s="45">
        <f>IF(N18="","n/a ",(N18*C18)/J18)</f>
        <v/>
      </c>
      <c r="Y18" s="45">
        <f>IF(Q18="","n/a ",(Q18*C18)/J18)</f>
        <v/>
      </c>
      <c r="Z18" s="45">
        <f>IF(R18="","n/a ",(R18*C18)/J18)</f>
        <v/>
      </c>
      <c r="AB18" s="14" t="inlineStr">
        <is>
          <t>Link</t>
        </is>
      </c>
      <c r="AC18" s="14" t="inlineStr">
        <is>
          <t>Link</t>
        </is>
      </c>
      <c r="AD18" s="14" t="inlineStr">
        <is>
          <t>Link</t>
        </is>
      </c>
      <c r="AE18" s="14" t="inlineStr">
        <is>
          <t>Link</t>
        </is>
      </c>
      <c r="AF18" s="14" t="inlineStr">
        <is>
          <t>Link</t>
        </is>
      </c>
      <c r="AG18" s="14" t="inlineStr">
        <is>
          <t>Link</t>
        </is>
      </c>
      <c r="AH18" s="24" t="n"/>
      <c r="AI18" s="40" t="n"/>
    </row>
    <row r="19" ht="16" customHeight="1">
      <c r="B19" s="8" t="n"/>
      <c r="C19" s="47">
        <f t="array" ref="C19">_xll.SNL.Clients.Office.Excel.Functions.SPG("$"&amp;$C$2&amp;B19,"SP_PRICE_CLOSE",WORKDAY(E19+1,-1),"Options: NA=NA")</f>
        <v/>
      </c>
      <c r="E19" s="9" t="n"/>
      <c r="H19" s="10" t="n"/>
      <c r="I19" s="42" t="n"/>
      <c r="J19" s="43">
        <f>+I19*C19</f>
        <v/>
      </c>
      <c r="K19" s="46" t="n"/>
      <c r="L19" s="46" t="n"/>
      <c r="M19" s="46" t="n"/>
      <c r="N19" s="46" t="n"/>
      <c r="O19" s="46" t="n"/>
      <c r="P19" s="46" t="n"/>
      <c r="Q19" s="46" t="n"/>
      <c r="R19" s="46" t="n"/>
      <c r="S19" s="45">
        <f>IF(K19="","n/a ",(K19*C19)/J19)</f>
        <v/>
      </c>
      <c r="T19" s="45">
        <f>IF(L19="","n/a ",(L19*C19)/J19)</f>
        <v/>
      </c>
      <c r="U19" s="45">
        <f>IF(O19="","n/a ",(O19*C19)/J19)</f>
        <v/>
      </c>
      <c r="V19" s="45">
        <f>IF(P19="","n/a ",(P19*C19)/J19)</f>
        <v/>
      </c>
      <c r="W19" s="45">
        <f>IF(M19="","n/a ",(M19*C19)/J19)</f>
        <v/>
      </c>
      <c r="X19" s="45">
        <f>IF(N19="","n/a ",(N19*C19)/J19)</f>
        <v/>
      </c>
      <c r="Y19" s="45">
        <f>IF(Q19="","n/a ",(Q19*C19)/J19)</f>
        <v/>
      </c>
      <c r="Z19" s="45">
        <f>IF(R19="","n/a ",(R19*C19)/J19)</f>
        <v/>
      </c>
      <c r="AB19" s="14" t="inlineStr">
        <is>
          <t>Link</t>
        </is>
      </c>
      <c r="AC19" s="14" t="inlineStr">
        <is>
          <t>Link</t>
        </is>
      </c>
      <c r="AD19" s="14" t="inlineStr">
        <is>
          <t>Link</t>
        </is>
      </c>
      <c r="AE19" s="14" t="inlineStr">
        <is>
          <t>Link</t>
        </is>
      </c>
      <c r="AF19" s="14" t="inlineStr">
        <is>
          <t>Link</t>
        </is>
      </c>
      <c r="AG19" s="14" t="inlineStr">
        <is>
          <t>Link</t>
        </is>
      </c>
      <c r="AH19" s="24" t="n"/>
      <c r="AI19" s="40" t="n"/>
    </row>
    <row r="20" ht="16" customHeight="1">
      <c r="B20" s="8" t="n"/>
      <c r="C20" s="47">
        <f t="array" ref="C20">_xll.SNL.Clients.Office.Excel.Functions.SPG("$"&amp;$C$2&amp;B20,"SP_PRICE_CLOSE",WORKDAY(E20+1,-1),"Options: NA=NA")</f>
        <v/>
      </c>
      <c r="E20" s="9" t="n"/>
      <c r="H20" s="10" t="n"/>
      <c r="I20" s="42" t="n"/>
      <c r="J20" s="43">
        <f>+I20*C20</f>
        <v/>
      </c>
      <c r="K20" s="46" t="n"/>
      <c r="L20" s="46" t="n"/>
      <c r="M20" s="46" t="n"/>
      <c r="N20" s="46" t="n"/>
      <c r="O20" s="46" t="n"/>
      <c r="P20" s="46" t="n"/>
      <c r="Q20" s="46" t="n"/>
      <c r="R20" s="46" t="n"/>
      <c r="S20" s="45">
        <f>IF(K20="","n/a ",(K20*C20)/J20)</f>
        <v/>
      </c>
      <c r="T20" s="45">
        <f>IF(L20="","n/a ",(L20*C20)/J20)</f>
        <v/>
      </c>
      <c r="U20" s="45">
        <f>IF(O20="","n/a ",(O20*C20)/J20)</f>
        <v/>
      </c>
      <c r="V20" s="45">
        <f>IF(P20="","n/a ",(P20*C20)/J20)</f>
        <v/>
      </c>
      <c r="W20" s="45">
        <f>IF(M20="","n/a ",(M20*C20)/J20)</f>
        <v/>
      </c>
      <c r="X20" s="45">
        <f>IF(N20="","n/a ",(N20*C20)/J20)</f>
        <v/>
      </c>
      <c r="Y20" s="45">
        <f>IF(Q20="","n/a ",(Q20*C20)/J20)</f>
        <v/>
      </c>
      <c r="Z20" s="45">
        <f>IF(R20="","n/a ",(R20*C20)/J20)</f>
        <v/>
      </c>
      <c r="AB20" s="14" t="inlineStr">
        <is>
          <t>Link</t>
        </is>
      </c>
      <c r="AC20" s="14" t="inlineStr">
        <is>
          <t>Link</t>
        </is>
      </c>
      <c r="AD20" s="14" t="inlineStr">
        <is>
          <t>Link</t>
        </is>
      </c>
      <c r="AE20" s="14" t="inlineStr">
        <is>
          <t>Link</t>
        </is>
      </c>
      <c r="AF20" s="14" t="inlineStr">
        <is>
          <t>Link</t>
        </is>
      </c>
      <c r="AG20" s="14" t="inlineStr">
        <is>
          <t>Link</t>
        </is>
      </c>
      <c r="AI20" s="40" t="n"/>
    </row>
    <row r="21" ht="16" customHeight="1">
      <c r="B21" s="8" t="n"/>
      <c r="C21" s="47">
        <f t="array" ref="C21">_xll.SNL.Clients.Office.Excel.Functions.SPG("$"&amp;$C$2&amp;B21,"SP_PRICE_CLOSE",WORKDAY(E21+1,-1),"Options: NA=NA")</f>
        <v/>
      </c>
      <c r="E21" s="9" t="n"/>
      <c r="H21" s="10" t="n"/>
      <c r="I21" s="42" t="n"/>
      <c r="J21" s="43">
        <f>+I21*C21</f>
        <v/>
      </c>
      <c r="K21" s="46" t="n"/>
      <c r="L21" s="46" t="n"/>
      <c r="M21" s="46" t="n"/>
      <c r="N21" s="46" t="n"/>
      <c r="O21" s="46" t="n"/>
      <c r="P21" s="46" t="n"/>
      <c r="Q21" s="46" t="n"/>
      <c r="R21" s="46" t="n"/>
      <c r="S21" s="45">
        <f>IF(K21="","n/a ",(K21*C21)/J21)</f>
        <v/>
      </c>
      <c r="T21" s="45">
        <f>IF(L21="","n/a ",(L21*C21)/J21)</f>
        <v/>
      </c>
      <c r="U21" s="45">
        <f>IF(O21="","n/a ",(O21*C21)/J21)</f>
        <v/>
      </c>
      <c r="V21" s="45">
        <f>IF(P21="","n/a ",(P21*C21)/J21)</f>
        <v/>
      </c>
      <c r="W21" s="45">
        <f>IF(M21="","n/a ",(M21*C21)/J21)</f>
        <v/>
      </c>
      <c r="X21" s="45">
        <f>IF(N21="","n/a ",(N21*C21)/J21)</f>
        <v/>
      </c>
      <c r="Y21" s="45">
        <f>IF(Q21="","n/a ",(Q21*C21)/J21)</f>
        <v/>
      </c>
      <c r="Z21" s="45">
        <f>IF(R21="","n/a ",(R21*C21)/J21)</f>
        <v/>
      </c>
      <c r="AB21" s="14" t="inlineStr">
        <is>
          <t>Link</t>
        </is>
      </c>
      <c r="AC21" s="14" t="inlineStr">
        <is>
          <t>Link</t>
        </is>
      </c>
      <c r="AD21" s="14" t="inlineStr">
        <is>
          <t>Link</t>
        </is>
      </c>
      <c r="AE21" s="14" t="inlineStr">
        <is>
          <t>Link</t>
        </is>
      </c>
      <c r="AF21" s="14" t="inlineStr">
        <is>
          <t>Link</t>
        </is>
      </c>
      <c r="AG21" s="14" t="inlineStr">
        <is>
          <t>Link</t>
        </is>
      </c>
      <c r="AH21" s="24" t="n"/>
      <c r="AI21" s="40" t="n"/>
    </row>
    <row r="22" ht="16" customHeight="1">
      <c r="B22" s="8" t="n"/>
      <c r="C22" s="41">
        <f t="array" ref="C22">_xll.SNL.Clients.Office.Excel.Functions.SPG("$"&amp;$C$2&amp;B22,"SP_PRICE_CLOSE",WORKDAY(E22+1,-1),"Options: NA=NA")</f>
        <v/>
      </c>
      <c r="E22" s="9" t="n"/>
      <c r="H22" s="10" t="n"/>
      <c r="I22" s="42" t="n"/>
      <c r="J22" s="43">
        <f>+I22*C22</f>
        <v/>
      </c>
      <c r="K22" s="46" t="n"/>
      <c r="L22" s="46" t="n"/>
      <c r="M22" s="46" t="n"/>
      <c r="N22" s="46" t="n"/>
      <c r="O22" s="46" t="n"/>
      <c r="P22" s="46" t="n"/>
      <c r="Q22" s="46" t="n"/>
      <c r="R22" s="46" t="n"/>
      <c r="S22" s="45">
        <f>IF(K22="","n/a ",(K22*C22)/J22)</f>
        <v/>
      </c>
      <c r="T22" s="45">
        <f>IF(L22="","n/a ",(L22*C22)/J22)</f>
        <v/>
      </c>
      <c r="U22" s="45">
        <f>IF(O22="","n/a ",(O22*C22)/J22)</f>
        <v/>
      </c>
      <c r="V22" s="45">
        <f>IF(P22="","n/a ",(P22*C22)/J22)</f>
        <v/>
      </c>
      <c r="W22" s="45">
        <f>IF(M22="","n/a ",(M22*C22)/J22)</f>
        <v/>
      </c>
      <c r="X22" s="45">
        <f>IF(N22="","n/a ",(N22*C22)/J22)</f>
        <v/>
      </c>
      <c r="Y22" s="45">
        <f>IF(Q22="","n/a ",(Q22*C22)/J22)</f>
        <v/>
      </c>
      <c r="Z22" s="45">
        <f>IF(R22="","n/a ",(R22*C22)/J22)</f>
        <v/>
      </c>
      <c r="AB22" s="14" t="inlineStr">
        <is>
          <t>Link</t>
        </is>
      </c>
      <c r="AC22" s="14" t="inlineStr">
        <is>
          <t>Link</t>
        </is>
      </c>
      <c r="AD22" s="14" t="inlineStr">
        <is>
          <t>Link</t>
        </is>
      </c>
      <c r="AE22" s="14" t="inlineStr">
        <is>
          <t>Link</t>
        </is>
      </c>
      <c r="AF22" s="14" t="inlineStr">
        <is>
          <t>Link</t>
        </is>
      </c>
      <c r="AG22" s="14" t="inlineStr">
        <is>
          <t>Link</t>
        </is>
      </c>
      <c r="AI22" s="40" t="n"/>
    </row>
    <row r="23" ht="16" customHeight="1">
      <c r="E23" s="21" t="inlineStr">
        <is>
          <t>Group Average</t>
        </is>
      </c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50">
        <f>IFERROR(AVERAGE(S17:S22),"n/a ")</f>
        <v/>
      </c>
      <c r="T23" s="50">
        <f>IFERROR(AVERAGE(T17:T22),"n/a ")</f>
        <v/>
      </c>
      <c r="U23" s="50">
        <f>IFERROR(AVERAGE(U17:U22),"n/a ")</f>
        <v/>
      </c>
      <c r="V23" s="50">
        <f>IFERROR(AVERAGE(V17:V22),"n/a ")</f>
        <v/>
      </c>
      <c r="W23" s="50">
        <f>IFERROR(AVERAGE(W17:W22),"n/a ")</f>
        <v/>
      </c>
      <c r="X23" s="50">
        <f>IFERROR(AVERAGE(X17:X22),"n/a ")</f>
        <v/>
      </c>
      <c r="Y23" s="50">
        <f>IFERROR(AVERAGE(Y17:Y22),"n/a ")</f>
        <v/>
      </c>
      <c r="Z23" s="50">
        <f>IFERROR(AVERAGE(Z17:Z22),"n/a ")</f>
        <v/>
      </c>
    </row>
    <row r="24" ht="3" customHeight="1">
      <c r="E24" s="18" t="n"/>
      <c r="F24" s="18" t="n"/>
      <c r="G24" s="18" t="n"/>
      <c r="H24" s="25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6" customHeight="1">
      <c r="E25" s="26" t="inlineStr">
        <is>
          <t>Global Average</t>
        </is>
      </c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51">
        <f>IFERROR(AVERAGE(S17:S22,S8:S13),"n/a ")</f>
        <v/>
      </c>
      <c r="T25" s="51">
        <f>IFERROR(AVERAGE(T17:T22,T8:T13),"n/a ")</f>
        <v/>
      </c>
      <c r="U25" s="51">
        <f>IFERROR(AVERAGE(U17:U22,U8:U13),"n/a ")</f>
        <v/>
      </c>
      <c r="V25" s="51">
        <f>IFERROR(AVERAGE(V17:V22,V8:V13),"n/a ")</f>
        <v/>
      </c>
      <c r="W25" s="51">
        <f>IFERROR(AVERAGE(W17:W22,W8:W13),"n/a ")</f>
        <v/>
      </c>
      <c r="X25" s="51">
        <f>IFERROR(AVERAGE(X17:X22,X8:X13),"n/a ")</f>
        <v/>
      </c>
      <c r="Y25" s="51">
        <f>IFERROR(AVERAGE(Y17:Y22,Y8:Y13),"n/a ")</f>
        <v/>
      </c>
      <c r="Z25" s="51">
        <f>IFERROR(AVERAGE(Z17:Z22,Z8:Z13),"n/a ")</f>
        <v/>
      </c>
    </row>
    <row r="26" ht="16" customHeight="1">
      <c r="E26" s="28" t="inlineStr">
        <is>
          <t>Global Median</t>
        </is>
      </c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52">
        <f>IFERROR(MEDIAN(S17:S22,S8:S13),"n/a ")</f>
        <v/>
      </c>
      <c r="T26" s="52">
        <f>IFERROR(MEDIAN(T17:T22,T8:T13),"n/a ")</f>
        <v/>
      </c>
      <c r="U26" s="52">
        <f>IFERROR(MEDIAN(U17:U22,U8:U13),"n/a ")</f>
        <v/>
      </c>
      <c r="V26" s="52">
        <f>IFERROR(MEDIAN(V17:V22,V8:V13),"n/a ")</f>
        <v/>
      </c>
      <c r="W26" s="52">
        <f>IFERROR(MEDIAN(W17:W22,W8:W13),"n/a ")</f>
        <v/>
      </c>
      <c r="X26" s="52">
        <f>IFERROR(MEDIAN(X17:X22,X8:X13),"n/a ")</f>
        <v/>
      </c>
      <c r="Y26" s="52">
        <f>IFERROR(MEDIAN(Y17:Y22,Y8:Y13),"n/a ")</f>
        <v/>
      </c>
      <c r="Z26" s="52">
        <f>IFERROR(MEDIAN(Z17:Z22,Z8:Z13),"n/a ")</f>
        <v/>
      </c>
    </row>
    <row r="27" ht="3" customHeight="1">
      <c r="E27" s="33" t="n"/>
    </row>
    <row r="28"/>
    <row r="29" ht="16" customHeight="1">
      <c r="E29" s="34" t="inlineStr">
        <is>
          <t>25th Percentile</t>
        </is>
      </c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53">
        <f>IFERROR(_xlfn.PERCENTILE.INC((S8:S13,S17:S22),0.25),"n/a ")</f>
        <v/>
      </c>
      <c r="T29" s="53">
        <f>IFERROR(_xlfn.PERCENTILE.INC((T8:T13,T17:T22),0.25),"n/a ")</f>
        <v/>
      </c>
      <c r="U29" s="53">
        <f>IFERROR(_xlfn.PERCENTILE.INC((U8:U13,U17:U22),0.25),"n/a ")</f>
        <v/>
      </c>
      <c r="V29" s="53">
        <f>IFERROR(_xlfn.PERCENTILE.INC((V8:V13,V17:V22),0.25),"n/a ")</f>
        <v/>
      </c>
      <c r="W29" s="53">
        <f>IFERROR(_xlfn.PERCENTILE.INC((W8:W13,W17:W22),0.25),"n/a ")</f>
        <v/>
      </c>
      <c r="X29" s="53">
        <f>IFERROR(_xlfn.PERCENTILE.INC((X8:X13,X17:X22),0.25),"n/a ")</f>
        <v/>
      </c>
      <c r="Y29" s="53">
        <f>IFERROR(_xlfn.PERCENTILE.INC((Y8:Y13,Y17:Y22),0.25),"n/a ")</f>
        <v/>
      </c>
      <c r="Z29" s="53">
        <f>IFERROR(_xlfn.PERCENTILE.INC((Z8:Z13,Z17:Z22),0.25),"n/a ")</f>
        <v/>
      </c>
    </row>
    <row r="30" ht="16" customHeight="1">
      <c r="E30" s="36" t="inlineStr">
        <is>
          <t>75th Percentile</t>
        </is>
      </c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53">
        <f>IFERROR(_xlfn.PERCENTILE.INC((S8:S13,S17:S22),0.75),"n/a ")</f>
        <v/>
      </c>
      <c r="T30" s="53">
        <f>IFERROR(_xlfn.PERCENTILE.INC((T8:T13,T17:T22),0.75),"n/a ")</f>
        <v/>
      </c>
      <c r="U30" s="53">
        <f>IFERROR(_xlfn.PERCENTILE.INC((U8:U13,U17:U22),0.75),"n/a ")</f>
        <v/>
      </c>
      <c r="V30" s="53">
        <f>IFERROR(_xlfn.PERCENTILE.INC((V8:V13,V17:V22),0.75),"n/a ")</f>
        <v/>
      </c>
      <c r="W30" s="53">
        <f>IFERROR(_xlfn.PERCENTILE.INC((W8:W13,W17:W22),0.75),"n/a ")</f>
        <v/>
      </c>
      <c r="X30" s="53">
        <f>IFERROR(_xlfn.PERCENTILE.INC((X8:X13,X17:X22),0.75),"n/a ")</f>
        <v/>
      </c>
      <c r="Y30" s="53">
        <f>IFERROR(_xlfn.PERCENTILE.INC((Y8:Y13,Y17:Y22),0.75),"n/a ")</f>
        <v/>
      </c>
      <c r="Z30" s="53">
        <f>IFERROR(_xlfn.PERCENTILE.INC((Z8:Z13,Z17:Z22),0.75),"n/a ")</f>
        <v/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Tate Wilson</dc:creator>
  <dcterms:created xmlns:dcterms="http://purl.org/dc/terms/" xmlns:xsi="http://www.w3.org/2001/XMLSchema-instance" xsi:type="dcterms:W3CDTF">2026-06-09T15:42:57Z</dcterms:created>
  <dcterms:modified xmlns:dcterms="http://purl.org/dc/terms/" xmlns:xsi="http://www.w3.org/2001/XMLSchema-instance" xsi:type="dcterms:W3CDTF">2026-06-09T17:23:02Z</dcterms:modified>
  <cp:lastModifiedBy>Tate Wilson</cp:lastModifiedBy>
</cp:coreProperties>
</file>