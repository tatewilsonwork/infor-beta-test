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fg1-my.sharepoint.com/personal/twilson_inforfg_com/Documents/Desktop/Plugin Workspace/infor-beta-test-main/.claude/worktrees/phase-d-migration-efdba7/infor-beta/templates/"/>
    </mc:Choice>
  </mc:AlternateContent>
  <xr:revisionPtr revIDLastSave="0" documentId="8_{E4B0A79F-A9D9-4342-85E3-E4B06036B362}" xr6:coauthVersionLast="47" xr6:coauthVersionMax="47" xr10:uidLastSave="{00000000-0000-0000-0000-000000000000}"/>
  <bookViews>
    <workbookView xWindow="-96" yWindow="-96" windowWidth="20928" windowHeight="12432" activeTab="4" xr2:uid="{15DEB5D9-A807-440B-BAC8-9D13793A6E96}"/>
  </bookViews>
  <sheets>
    <sheet name="captable" sheetId="2" r:id="rId1"/>
    <sheet name="comps" sheetId="4" r:id="rId2"/>
    <sheet name="Ownership" sheetId="5" r:id="rId3"/>
    <sheet name="Bloomberg Output" sheetId="6" r:id="rId4"/>
    <sheet name="precedents" sheetId="7" r:id="rId5"/>
  </sheets>
  <definedNames>
    <definedName name="_____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FDS_HYPERLINK_TOGGLE_STATE__" hidden="1">"ON"</definedName>
    <definedName name="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IntlFixup" hidden="1">TRUE</definedName>
    <definedName name="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1__123Graph_ACHART_1" hidden="1">#REF!</definedName>
    <definedName name="_10__123Graph_BCHART_17" hidden="1">#REF!</definedName>
    <definedName name="_11__123Graph_BCHART_19" hidden="1">#REF!</definedName>
    <definedName name="_23__123Graph_XCHART_2" hidden="1">#REF!</definedName>
    <definedName name="_24__123Graph_XCHART_4" hidden="1">#REF!</definedName>
    <definedName name="_25__123Graph_XCHART_5" hidden="1">#REF!</definedName>
    <definedName name="_3__123Graph_ACHART_2" hidden="1">#REF!</definedName>
    <definedName name="_4__123Graph_ACHART_4" hidden="1">#REF!</definedName>
    <definedName name="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bdm.0390D31B9DDC430895DA51396740E650.edm" hidden="1">#REF!</definedName>
    <definedName name="_bdm.21896BA706F04B61A4706E387595E573.edm" hidden="1">#REF!</definedName>
    <definedName name="_bdm.5E0146E00CD1449A9DB679403071135B.edm" hidden="1">#REF!</definedName>
    <definedName name="_bdm.67065F9898AC44E9A916867D78CAD177.edm" hidden="1">#REF!</definedName>
    <definedName name="_bdm.7DD6A96793594A048DC1EA9DC909B0AC.edm" hidden="1">#REF!</definedName>
    <definedName name="_bdm.860EDC4EC26644C782AFF2C476A79C8C.edm" hidden="1">#REF!</definedName>
    <definedName name="_bdm.8A1B83C9FE0F48BABF1BCDE8A6EFDD1E.edm" hidden="1">#REF!</definedName>
    <definedName name="_bdm.9741F78FEC3D4DF09984B3D3F14F4912.edm" hidden="1">#REF!</definedName>
    <definedName name="_bdm.A3265732C03A4151AFE1652990F45E0B.edm" hidden="1">#REF!</definedName>
    <definedName name="_bdm.B506EE73E3E646EABF5412DA88E0369D.edm" hidden="1">#REF!</definedName>
    <definedName name="_bdm.C0E5EBB5E9E9412BBA810D9013837C4E.edm" hidden="1">#REF!</definedName>
    <definedName name="_bdm.CC2C753C68C44C6EBA5ABFFB9C5FD405.edm" hidden="1">#REF!</definedName>
    <definedName name="_bdm.D6765C2A491342A89E641E0324AD9446.edm" hidden="1">#REF!</definedName>
    <definedName name="_bdm.D6807F17A49D42E0A711CBF1C88703B3.edm" hidden="1">#REF!</definedName>
    <definedName name="_bdm.E27030F4A2814D64A4A88CCCFD091157.edm" hidden="1">#REF!</definedName>
    <definedName name="_bdm.E8B571B580C54C2F97581663ED5DDA19.edm" hidden="1">#REF!</definedName>
    <definedName name="_bdm.F9123455C72F46B9BC508B850D9F51A1.edm" hidden="1">#REF!</definedName>
    <definedName name="_bdm.FastTrackBookmark.2_18_2007_3_14_23_PM.edm" hidden="1">#REF!</definedName>
    <definedName name="_bdm.FastTrackBookmark.2_18_2007_3_14_30_PM.edm" hidden="1">#REF!</definedName>
    <definedName name="_BQ4.2" hidden="1">#REF!</definedName>
    <definedName name="_BQ4.3" hidden="1">#REF!</definedName>
    <definedName name="_CCC1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_Fill" hidden="1">#REF!</definedName>
    <definedName name="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Sort" hidden="1">#REF!</definedName>
    <definedName name="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a" hidden="1">{#N/A,#N/A,FALSE,"CANADA - P&amp;L QTR";#N/A,#N/A,FALSE,"DFSCAN - P&amp;L QTR";#N/A,#N/A,FALSE,"OPC - P&amp;L QTR";#N/A,#N/A,FALSE,"CANOTH - P&amp;L QTR";#N/A,#N/A,FALSE,"TECHCAN - P&amp;L QTR";#N/A,#N/A,FALSE,"FINLINX - P&amp;L QTR";#N/A,#N/A,FALSE,"IFWORKOUT - P&amp;L QTR";#N/A,#N/A,FALSE,"AGILENTCA - P&amp;L QTR";#N/A,#N/A,FALSE,"RFG0011000 - P&amp;L QTR"}</definedName>
    <definedName name="a_new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AAA" hidden="1">{"Total Admin",#N/A,FALSE,"Admin";"Executive",#N/A,FALSE,"Admin";"Finance",#N/A,FALSE,"Admin";"Marketing",#N/A,FALSE,"Admin";"NonDepartmental",#N/A,FALSE,"Admin"}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o" hidden="1">#REF!</definedName>
    <definedName name="AccessDatabase" hidden="1">"G:\GC\INV\554\07_01\554_0701.mdb"</definedName>
    <definedName name="Amort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anscount" hidden="1">1</definedName>
    <definedName name="b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b_new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BBB" hidden="1">{"TOTAL",#N/A,FALSE,"Total";"Total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Plains",#N/A,FALSE,"East";"Total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Louis",#N/A,FALSE,"Central";"Total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Diego",#N/A,FALSE,"West";"Seattle",#N/A,FALSE,"West";"NHEC",#N/A,FALSE,"NHEC";"Total Wholesale",#N/A,FALSE,"Wholesale";"Whsle_Admin",#N/A,FALSE,"Wholesale";"Whsle_Lombard",#N/A,FALSE,"Wholesale";"Whsle_Marlton",#N/A,FALSE,"Wholesale";"Whsle_Pleasanton",#N/A,FALSE,"Wholesale";"Total Admin",#N/A,FALSE,"Admin";"Executive",#N/A,FALSE,"Admin";"Finance",#N/A,FALSE,"Admin";"Marketing",#N/A,FALSE,"Admin";"NonDepartmental",#N/A,FALSE,"Admin";"Total Credit",#N/A,FALSE,"Credit";"Appraisal",#N/A,FALSE,"Credit";"Customer Service",#N/A,FALSE,"Credit";"Home Office",#N/A,FALSE,"Credit";"Quality Control",#N/A,FALSE,"Credit";"Risk Mgmt",#N/A,FALSE,"Credit"}</definedName>
    <definedName name="bv" hidden="1">"c2205"</definedName>
    <definedName name="CAD_USD">captable!#REF!</definedName>
    <definedName name="cc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cc_new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CCC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cccc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ccccc_new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CDG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IQWBGuid" hidden="1">"45a006a7-c443-4050-b795-5abd089b75e8"</definedName>
    <definedName name="CIQWBInfo" hidden="1">"{ ""CIQVersion"":""9.51.3510.3078"" }"</definedName>
    <definedName name="consumer3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a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vad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Cova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define" hidden="1">{#N/A,#N/A,FALSE,"Euromat"}</definedName>
    <definedName name="Depreciation" hidden="1">{#N/A,#N/A,FALSE,"Op Exp By Cost Ctr";#N/A,#N/A,FALSE,"ASSUMPTIONS";#N/A,#N/A,FALSE,"P&amp;L";#N/A,#N/A,FALSE,"Graph";#N/A,#N/A,FALSE,"Op Exp Chart";#N/A,#N/A,FALSE,"Op Exp By Cost Ctr";#N/A,#N/A,FALSE,"FTE Graph"}</definedName>
    <definedName name="EEE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V__LASTREFTIME__" hidden="1">38282.5116550926</definedName>
    <definedName name="Fees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Dan" hidden="1">{"Total Credit",#N/A,FALSE,"Credit";"Appraisal",#N/A,FALSE,"Credit";"Customer Service",#N/A,FALSE,"Credit";"Home Office",#N/A,FALSE,"Credit";"Quality Control",#N/A,FALSE,"Credit";"Risk Mgmt",#N/A,FALSE,"Credit"}</definedName>
    <definedName name="FFF" hidden="1">{"NHEC",#N/A,FALSE,"NHEC"}</definedName>
    <definedName name="FP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GDC" hidden="1">{"Total Admin",#N/A,FALSE,"Admin";"Executive",#N/A,FALSE,"Admin";"Finance",#N/A,FALSE,"Admin";"Marketing",#N/A,FALSE,"Admin";"NonDepartmental",#N/A,FALSE,"Admin"}</definedName>
    <definedName name="GGG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HHH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hhgh" hidden="1">{"Total Admin",#N/A,FALSE,"Admin";"Executive",#N/A,FALSE,"Admin";"Finance",#N/A,FALSE,"Admin";"Marketing",#N/A,FALSE,"Admin";"NonDepartmental",#N/A,FALSE,"Admin"}</definedName>
    <definedName name="III" hidden="1">{"Total Wholesale",#N/A,FALSE,"Wholesale";"Whsle_Admin",#N/A,FALSE,"Wholesale";"Whsle_Lombard",#N/A,FALSE,"Wholesale";"Whsle_Marlton",#N/A,FALSE,"Wholesale";"Whsle_Pleasanton",#N/A,FALSE,"Wholesale"}</definedName>
    <definedName name="infor_basic_shares" localSheetId="0">captable!$F$17</definedName>
    <definedName name="infor_cap_output_ccy" localSheetId="0">captable!$F$5</definedName>
    <definedName name="infor_cap_picture_range" localSheetId="0">captable!$B$15:$F$40</definedName>
    <definedName name="infor_cap_share_inputs" localSheetId="0">captable!$F$168:$F$185</definedName>
    <definedName name="infor_cap_ticker" localSheetId="0">captable!$F$3</definedName>
    <definedName name="infor_comps_group1_block" localSheetId="1">comps!$B$10:$AA$15</definedName>
    <definedName name="infor_comps_group1_label" localSheetId="1">comps!$D$9</definedName>
    <definedName name="infor_comps_group2_block" localSheetId="1">comps!$B$20:$AA$25</definedName>
    <definedName name="infor_comps_group2_label" localSheetId="1">comps!$D$19</definedName>
    <definedName name="infor_comps_group3_block" localSheetId="1">comps!$B$30:$AA$35</definedName>
    <definedName name="infor_comps_group3_label" localSheetId="1">comps!$D$29</definedName>
    <definedName name="infor_comps_output_ccy" localSheetId="1">comps!$F$3</definedName>
    <definedName name="infor_fx_rate" localSheetId="0">captable!$F$7</definedName>
    <definedName name="infor_ltm_ebitda_valuation" localSheetId="0">captable!$D$48</definedName>
    <definedName name="infor_ltm_revenue_valuation" localSheetId="0">captable!$D$47</definedName>
    <definedName name="infor_own_bbg_holder_block" localSheetId="3">'Bloomberg Output'!$C$14:$AC$131</definedName>
    <definedName name="infor_own_bbg_link_block" localSheetId="2">Ownership!$H$68:$J$185</definedName>
    <definedName name="infor_own_insider_block" localSheetId="2">Ownership!$B$39:$J$65</definedName>
    <definedName name="infor_own_insiders_picture_range" localSheetId="2">Ownership!$B$4:$G$17</definedName>
    <definedName name="infor_own_institutions_picture_range" localSheetId="2">Ownership!$B$19:$G$35</definedName>
    <definedName name="infor_own_total_shares" localSheetId="2">Ownership!$F$35</definedName>
    <definedName name="infor_prec_group1_block" localSheetId="4">precedents!$B$8:$AI$13</definedName>
    <definedName name="infor_prec_group1_label" localSheetId="4">precedents!$E$7</definedName>
    <definedName name="infor_prec_group2_block" localSheetId="4">precedents!$B$17:$AI$22</definedName>
    <definedName name="infor_prec_group2_label" localSheetId="4">precedents!$E$16</definedName>
    <definedName name="infor_prec_output_ccy" localSheetId="4">precedents!$C$2</definedName>
    <definedName name="infor_share_price" localSheetId="0">captable!$F$16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L_Q_EST_REUT" hidden="1">"c6800"</definedName>
    <definedName name="IQ_CAL_Y_EST_REUT" hidden="1">"c6801"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SCAL_Q_EST_REUT" hidden="1">"c6798"</definedName>
    <definedName name="IQ_FISCAL_Y_EST_REUT" hidden="1">"c6799"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45694.5691319444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_EXCL_FWD_REUT" hidden="1">"c4049"</definedName>
    <definedName name="IQ_PEG_FWD_REUT" hidden="1">"c4052"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_TARGET_REUT" hidden="1">"c3631"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jv" hidden="1">{#N/A,#N/A,FALSE,"CANADA - P&amp;L QTR";#N/A,#N/A,FALSE,"DFSCAN - P&amp;L QTR";#N/A,#N/A,FALSE,"OPC - P&amp;L QTR";#N/A,#N/A,FALSE,"CANOTH - P&amp;L QTR";#N/A,#N/A,FALSE,"TECHCAN - P&amp;L QTR";#N/A,#N/A,FALSE,"FINLINX - P&amp;L QTR";#N/A,#N/A,FALSE,"IFWORKOUT - P&amp;L QTR";#N/A,#N/A,FALSE,"AGILENTCA - P&amp;L QTR";#N/A,#N/A,FALSE,"RFG0011000 - P&amp;L QTR"}</definedName>
    <definedName name="LLL" hidden="1">{"Total Admin",#N/A,FALSE,"Admin";"Executive",#N/A,FALSE,"Admin";"Finance",#N/A,FALSE,"Admin";"Marketing",#N/A,FALSE,"Admin";"NonDepartmental",#N/A,FALSE,"Admin"}</definedName>
    <definedName name="M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MLNK0017761dc7b84ce49f6735607f067741" hidden="1">#REF!</definedName>
    <definedName name="MLNK008067c1bd0141c1a0d8e8c72aa95d85" comment="Dividend" hidden="1">#REF!</definedName>
    <definedName name="MLNK00e16290804543fdb368e6387c7aa92c" hidden="1">#REF!</definedName>
    <definedName name="MLNK08467adcfc684cca8a82950ebb4d438c" hidden="1">#REF!</definedName>
    <definedName name="MLNK096c723391cb47aa8fdd909a177a7c24" hidden="1">#REF!</definedName>
    <definedName name="MLNK18fe92e4b7924d64b11b0d36fc051fd9" comment="Trading Data - Canada" hidden="1">#REF!</definedName>
    <definedName name="MLNK191a8e8a2b254332a365337ea9e835fc" hidden="1">#REF!</definedName>
    <definedName name="MLNK1f79e4e60dea46088860e093d951e80c" hidden="1">#REF!</definedName>
    <definedName name="MLNK21233e5452834ee9bf1cff7e8b9110d1" hidden="1">#REF!</definedName>
    <definedName name="MLNK235705051fd54a94a12b6f4daf0a48a6" hidden="1">#REF!</definedName>
    <definedName name="MLNK25a44cdb9be44dc681b2e93c3a32b609" comment="Comps" hidden="1">#REF!</definedName>
    <definedName name="MLNK27a8b1bd6ca643d4b08720b6ac3e38c1" hidden="1">#REF!</definedName>
    <definedName name="MLNK368f552a066b4ea1b142018607201f8b" hidden="1">#REF!</definedName>
    <definedName name="MLNK3815fcbfebcb490baf9b86174576ce95" hidden="1">#REF!</definedName>
    <definedName name="MLNK4e27fff2c6d54cd89f951ee86ce4eaad" hidden="1">#REF!</definedName>
    <definedName name="MLNK4fd2e3ceac464726b63c904de1f9a796" hidden="1">#REF!</definedName>
    <definedName name="MLNK56b240f41d2942fcb9b403b5a476a7d8" hidden="1">#REF!</definedName>
    <definedName name="MLNK5ba01ab6b2dd4c4f94bf60093b153ee4" hidden="1">#REF!</definedName>
    <definedName name="MLNK5e5ab4f18b104bcaa26dfc9b8edd8d3d" hidden="1">comps!$D$6:$W$39</definedName>
    <definedName name="MLNK5ec79545d49d493f93a2420475c22a3f" hidden="1">#REF!</definedName>
    <definedName name="MLNK5f342b94d77944659b1ef5a7dbaef93a" hidden="1">#REF!</definedName>
    <definedName name="MLNK601c1ef95cb34d09b82b1a6ff7d9605a" hidden="1">#REF!</definedName>
    <definedName name="MLNK692e97b0272147b189470355d0f6165a" hidden="1">#REF!</definedName>
    <definedName name="MLNK6d5fcc4c2c534538b719d06819b967a8" hidden="1">#REF!</definedName>
    <definedName name="MLNK78682168b0c24d918fa19ab282660391" comment="Trading Data - TSX" hidden="1">#REF!</definedName>
    <definedName name="MLNK8ad5f35a4bfd46728c3273a4d5c7a905" hidden="1">#REF!</definedName>
    <definedName name="MLNK90417d75114a48c0a1779bb363a329cd" hidden="1">#REF!</definedName>
    <definedName name="MLNK90bd4aad386a4451b6d8702c11dda57c" hidden="1">#REF!</definedName>
    <definedName name="MLNK94d282c0cd3c43fb89fa5c845ea3d8b5" hidden="1">comps!$D$6:$W$42</definedName>
    <definedName name="MLNK96eba42b27654b0c96a777c2b1f2c026" hidden="1">#REF!</definedName>
    <definedName name="MLNK9c76f014126946d781f4ec0cf20e8cb4" hidden="1">#REF!</definedName>
    <definedName name="MLNK9ff9d28edd3148e7a8cba265311858fd" hidden="1">#REF!</definedName>
    <definedName name="MLNKa768bbe075e743f795a235173edaddd6" hidden="1">#REF!</definedName>
    <definedName name="MLNKa79299cebbbd4162ae3edb9216b5b356" hidden="1">#REF!</definedName>
    <definedName name="MLNKa999b39ef18b4931b94a318bba8e9bb8" hidden="1">#REF!</definedName>
    <definedName name="MLNKad7b52d9d1da42909516fb3eb60fcf9d" hidden="1">#REF!</definedName>
    <definedName name="MLNKb60a37edcb7e473a9ce34b9a5f47c82b" comment="Share Price" hidden="1">#REF!</definedName>
    <definedName name="MLNKb62cabc7bcec4cdbb3cfc3022396f79f" hidden="1">#REF!</definedName>
    <definedName name="MLNKbe0e2be4027b438ea02d75a505d588e9" hidden="1">#REF!</definedName>
    <definedName name="MLNKc1b93f4a9efa4906bae16c7cccff8d68" hidden="1">#REF!</definedName>
    <definedName name="MLNKc4cd6e0521df420d8dda32549959b881" hidden="1">#REF!</definedName>
    <definedName name="MLNKc7b49e5061db431a836a0cd4d2d30033" comment="Sheet1" hidden="1">#REF!</definedName>
    <definedName name="MLNKc930f2d6b0444c13bf5a495d7326f8e2" hidden="1">#REF!</definedName>
    <definedName name="MLNKced5d0e945a94784b165f0ebc610f111" hidden="1">#REF!</definedName>
    <definedName name="MLNKcee05d54c76044aabaf96e0a7c65c242" comment="Dividend" hidden="1">#REF!</definedName>
    <definedName name="MLNKd241237c88af4508bf3aca2c012af96c" hidden="1">#REF!</definedName>
    <definedName name="MLNKd24dae871040473a813590e9d4f4b491" hidden="1">#REF!</definedName>
    <definedName name="MLNKd275bd902a604f4fb880f53225a2667c" hidden="1">#REF!</definedName>
    <definedName name="MLNKd34b264671104085851f11311f202427" hidden="1">#REF!</definedName>
    <definedName name="MLNKd41edab3364143e09203b074ecf88c48" hidden="1">#REF!</definedName>
    <definedName name="MLNKd4454fa2c78c4246a8fb364d7ef30780" hidden="1">#REF!</definedName>
    <definedName name="MLNKd4f01939bcd24967bbcfbf3ca620aca0" comment="Historical Valuation" hidden="1">#REF!</definedName>
    <definedName name="MLNKd7df039e86cf4a18a8273f85e3d29d8b" comment="Yield" hidden="1">#REF!</definedName>
    <definedName name="MLNKda092e9dc81346ecb06f5cf05e7dba90" hidden="1">#REF!</definedName>
    <definedName name="MLNKda4026ac65084d30a1333076fbef014f" hidden="1">#REF!</definedName>
    <definedName name="MLNKdaff7656396a4e4096ecadc81a37f75b" hidden="1">#REF!</definedName>
    <definedName name="MLNKdba6335f5433442abbb3ca61d88516ed" hidden="1">#REF!</definedName>
    <definedName name="MLNKde5ef28fdf41452692b55d8a5e8f1a4c" hidden="1">#REF!</definedName>
    <definedName name="MLNKdf1e1d7dacd046249874f1d338d1c555" hidden="1">#REF!</definedName>
    <definedName name="MLNKe3010ac5b5bc4749b2bee97f5135e368" hidden="1">#REF!</definedName>
    <definedName name="MLNKe327292fed1643fc867ea79956241d28" hidden="1">#REF!</definedName>
    <definedName name="MLNKe54e41f04e9443a99a4e15130449ac17" hidden="1">#REF!</definedName>
    <definedName name="MLNKe76ccb5d0e0440fc9c0b513f2a72d8a0" hidden="1">comps!$1:$1048576</definedName>
    <definedName name="MLNKf201d55c037d406db81a1f1188ec6a4c" hidden="1">#REF!</definedName>
    <definedName name="MLNKf4749ab5a14f4bc885c12c1aa49bfeb4" hidden="1">#REF!</definedName>
    <definedName name="MLNKf7640b0d849d4118ab005ca0374148c8" hidden="1">#REF!</definedName>
    <definedName name="MLNKfa116274ec374fc08b25aa36a389ea8f" hidden="1">#REF!</definedName>
    <definedName name="MLNKfc58c3645d7f42c59a9727ba333408b9" hidden="1">#REF!</definedName>
    <definedName name="MMM" hidden="1">{"TOTAL",#N/A,FALSE,"Total";"Total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Plains",#N/A,FALSE,"East";"Total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Louis",#N/A,FALSE,"Central";"Total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Diego",#N/A,FALSE,"West";"Seattle",#N/A,FALSE,"West";"NHEC",#N/A,FALSE,"NHEC";"Total Wholesale",#N/A,FALSE,"Wholesale";"Whsle_Admin",#N/A,FALSE,"Wholesale";"Whsle_Lombard",#N/A,FALSE,"Wholesale";"Whsle_Marlton",#N/A,FALSE,"Wholesale";"Whsle_Pleasanton",#N/A,FALSE,"Wholesale";"Total Admin",#N/A,FALSE,"Admin";"Executive",#N/A,FALSE,"Admin";"Finance",#N/A,FALSE,"Admin";"Marketing",#N/A,FALSE,"Admin";"NonDepartmental",#N/A,FALSE,"Admin";"Total Credit",#N/A,FALSE,"Credit";"Appraisal",#N/A,FALSE,"Credit";"Customer Service",#N/A,FALSE,"Credit";"Home Office",#N/A,FALSE,"Credit";"Quality Control",#N/A,FALSE,"Credit";"Risk Mgmt",#N/A,FALSE,"Credit"}</definedName>
    <definedName name="new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NNN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noname" hidden="1">{#N/A,#N/A,FALSE,"Euromat"}</definedName>
    <definedName name="OOO" hidden="1">{"Total Credit",#N/A,FALSE,"Credit";"Appraisal",#N/A,FALSE,"Credit";"Customer Service",#N/A,FALSE,"Credit";"Home Office",#N/A,FALSE,"Credit";"Quality Control",#N/A,FALSE,"Credit";"Risk Mgmt",#N/A,FALSE,"Credit"}</definedName>
    <definedName name="PPP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_xlnm.Print_Area" localSheetId="0">captable!$A$1:$T$187</definedName>
    <definedName name="_xlnm.Print_Area" localSheetId="1">comps!$A$1:$BI$45</definedName>
    <definedName name="Q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QQQ" hidden="1">{"NHEC",#N/A,FALSE,"NHEC"}</definedName>
    <definedName name="RO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RRR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SAPBEXdnldView" hidden="1">"3AZ7TPCT6F7CLWHBG4RBGUQ78"</definedName>
    <definedName name="SAPBEXsysID" hidden="1">"PW1"</definedName>
    <definedName name="SAPFuncF4Help" hidden="1">Main.SAPF4Help()</definedName>
    <definedName name="shit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SL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SS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taft" hidden="1">{#N/A,#N/A,FALSE,"Op Exp By Cost Ctr";#N/A,#N/A,FALSE,"ASSUMPTIONS";#N/A,#N/A,FALSE,"P&amp;L";#N/A,#N/A,FALSE,"Graph";#N/A,#N/A,FALSE,"Op Exp Chart";#N/A,#N/A,FALSE,"Op Exp By Cost Ctr";#N/A,#N/A,FALSE,"FTE Graph"}</definedName>
    <definedName name="TD_BRI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test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test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123" hidden="1">{#N/A,#N/A,FALSE,"Euromat"}</definedName>
    <definedName name="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x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69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hreeTomC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TT" hidden="1">{"Total Wholesale",#N/A,FALSE,"Wholesale";"Whsle_Admin",#N/A,FALSE,"Wholesale";"Whsle_Lombard",#N/A,FALSE,"Wholesale";"Whsle_Marlton",#N/A,FALSE,"Wholesale";"Whsle_Pleasanton",#N/A,FALSE,"Wholesale"}</definedName>
    <definedName name="wrn.2001._.plan." hidden="1">{#N/A,#N/A,FALSE,"Op Exp By Cost Ctr";#N/A,#N/A,FALSE,"ASSUMPTIONS";#N/A,#N/A,FALSE,"P&amp;L";#N/A,#N/A,FALSE,"Graph";#N/A,#N/A,FALSE,"Op Exp Chart";#N/A,#N/A,FALSE,"Op Exp By Cost Ctr";#N/A,#N/A,FALSE,"FTE Graph"}</definedName>
    <definedName name="wrn.Admin." hidden="1">{"Total Admin",#N/A,FALSE,"Admin";"Executive",#N/A,FALSE,"Admin";"Finance",#N/A,FALSE,"Admin";"Marketing",#N/A,FALSE,"Admin";"NonDepartmental",#N/A,FALSE,"Admin"}</definedName>
    <definedName name="wrn.ALL." hidden="1">{"TOTAL",#N/A,FALSE,"Total";"Total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Plains",#N/A,FALSE,"East";"Total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Louis",#N/A,FALSE,"Central";"Total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Diego",#N/A,FALSE,"West";"Seattle",#N/A,FALSE,"West";"NHEC",#N/A,FALSE,"NHEC";"Total Wholesale",#N/A,FALSE,"Wholesale";"Whsle_Admin",#N/A,FALSE,"Wholesale";"Whsle_Lombard",#N/A,FALSE,"Wholesale";"Whsle_Marlton",#N/A,FALSE,"Wholesale";"Whsle_Pleasanton",#N/A,FALSE,"Wholesale";"Total Admin",#N/A,FALSE,"Admin";"Executive",#N/A,FALSE,"Admin";"Finance",#N/A,FALSE,"Admin";"Marketing",#N/A,FALSE,"Admin";"NonDepartmental",#N/A,FALSE,"Admin";"Total Credit",#N/A,FALSE,"Credit";"Appraisal",#N/A,FALSE,"Credit";"Customer Service",#N/A,FALSE,"Credit";"Home Office",#N/A,FALSE,"Credit";"Quality Control",#N/A,FALSE,"Credit";"Risk Mgmt",#N/A,FALSE,"Credit"}</definedName>
    <definedName name="wrn.All._.3._.Pages.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wrn.Bluebook." hidden="1">{#N/A,#N/A,FALSE,"P&amp;L";#N/A,#N/A,FALSE,"Graph";#N/A,#N/A,FALSE,"Variance Commentary";#N/A,#N/A,FALSE,"FTE Graph"}</definedName>
    <definedName name="wrn.Business._.Activities." hidden="1">{#N/A,#N/A,FALSE,"Trends";#N/A,#N/A,FALSE,"LnsCust";#N/A,#N/A,FALSE,"Collections";#N/A,#N/A,FALSE,"Summary";#N/A,#N/A,FALSE,"Actual-Input";#N/A,#N/A,FALSE,"Plan"}</definedName>
    <definedName name="wrn.Central." hidden="1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redit." hidden="1">{"Total Credit",#N/A,FALSE,"Credit";"Appraisal",#N/A,FALSE,"Credit";"Customer Service",#N/A,FALSE,"Credit";"Home Office",#N/A,FALSE,"Credit";"Quality Control",#N/A,FALSE,"Credit";"Risk Mgmt",#N/A,FALSE,"Credit"}</definedName>
    <definedName name="wrn.CUNA." hidden="1">{#N/A,#N/A,FALSE,"Sales Results";#N/A,#N/A,FALSE,"Sales Results"}</definedName>
    <definedName name="wrn.East." hidden="1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uromaterials_LEa" hidden="1">{#N/A,#N/A,FALSE,"Euromat"}</definedName>
    <definedName name="wrn.Euromaterials_LEb" hidden="1">{#N/A,#N/A,FALSE,"Euromat"}</definedName>
    <definedName name="wrn.Executive._.Summary._.Growth.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wrn.Month_Level_01." hidden="1">{#N/A,#N/A,FALSE,"CANADA - P&amp;L MONTH";#N/A,#N/A,FALSE,"DFSCAN - P&amp;L MONTH";#N/A,#N/A,FALSE,"OPC - P&amp;L MONTH";#N/A,#N/A,FALSE,"CANOTH - P&amp;L MONTH"}</definedName>
    <definedName name="wrn.Month_Level_02." hidden="1">{#N/A,#N/A,FALSE,"CANADA - P&amp;L MONTH";#N/A,#N/A,FALSE,"DFSCAN - P&amp;L MONTH";#N/A,#N/A,FALSE,"OPC - P&amp;L MONTH";#N/A,#N/A,FALSE,"CANOTH - P&amp;L MONTH";#N/A,#N/A,FALSE,"TECHCAN - P&amp;L MONTH";#N/A,#N/A,FALSE,"FINLINX - P&amp;L MONTH";#N/A,#N/A,FALSE,"IFWORKOUT - P&amp;L MONTH";#N/A,#N/A,FALSE,"AGILENTICA - P&amp;L MONTH";#N/A,#N/A,FALSE,"RFG0011000 - P&amp;L MONTH"}</definedName>
    <definedName name="wrn.NHEC." hidden="1">{"NHEC",#N/A,FALSE,"NHEC"}</definedName>
    <definedName name="wrn.QTR_Level_01." hidden="1">{#N/A,#N/A,FALSE,"CANADA - P&amp;L QTR";#N/A,#N/A,FALSE,"DFSCAN - P&amp;L QTR";#N/A,#N/A,FALSE,"OPC - P&amp;L QTR";#N/A,#N/A,FALSE,"CANOTH - P&amp;L QTR"}</definedName>
    <definedName name="wrn.QTR_Level_02." hidden="1">{#N/A,#N/A,FALSE,"CANADA - P&amp;L QTR";#N/A,#N/A,FALSE,"DFSCAN - P&amp;L QTR";#N/A,#N/A,FALSE,"OPC - P&amp;L QTR";#N/A,#N/A,FALSE,"CANOTH - P&amp;L QTR";#N/A,#N/A,FALSE,"TECHCAN - P&amp;L QTR";#N/A,#N/A,FALSE,"FINLINX - P&amp;L QTR";#N/A,#N/A,FALSE,"IFWORKOUT - P&amp;L QTR";#N/A,#N/A,FALSE,"AGILENTCA - P&amp;L QTR";#N/A,#N/A,FALSE,"RFG0011000 - P&amp;L QTR"}</definedName>
    <definedName name="wrn.REPORT." hidden="1">{#N/A,#N/A,FALSE,"PAYOUT FAX";#N/A,#N/A,FALSE,"LOANS NOT FUNDED";#N/A,#N/A,FALSE,"CHCKDIGT";#N/A,#N/A,FALSE,"JRNL_ENT"}</definedName>
    <definedName name="wrn.REPORT._.SET." hidden="1">{"PRINTED COLUMNS ONLY",#N/A,FALSE,"PURCHASE FAX";"JE",#N/A,FALSE,"JRNL_ENT"}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scorecard.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wrn.scorecard._new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wrn.SEC._.QUARTERLY._.PROJ." hidden="1">{"Cover Sheet",#N/A,FALSE,"Cover Sheet";"SEC QTRLY INC STMT",#N/A,FALSE,"SEC Quarterlies";"SEC QTRLY BAL SHEET",#N/A,FALSE,"SEC Quarterlies";"SEC QTRLY CASH FLOW",#N/A,FALSE,"SEC Quarterlies";"SEC QTRLY ASSUMPTIONS",#N/A,FALSE,"SEC Quarterlies"}</definedName>
    <definedName name="wrn.Summary." hidden="1">{#N/A,#N/A,FALSE,"INPUT";#N/A,#N/A,FALSE,"P&amp;L";#N/A,#N/A,FALSE,"Graph";#N/A,#N/A,FALSE,"Op Exp By Cost Ctr";#N/A,#N/A,FALSE,"Op Exp Chart"}</definedName>
    <definedName name="wrn.summary._.reports." hidden="1">{#N/A,#N/A,FALSE,"Total Capital Plan";#N/A,#N/A,FALSE,"2000 EDULINX Capital Plan";#N/A,#N/A,FALSE,"1999 EDULINX Capital Plan";#N/A,#N/A,FALSE,"1999 CIBC Funded Capital Plan";#N/A,#N/A,FALSE,"Summary"}</definedName>
    <definedName name="wrn.TOTAL." hidden="1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wrn.West." hidden="1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holesale." hidden="1">{"Total Wholesale",#N/A,FALSE,"Wholesale";"Whsle_Admin",#N/A,FALSE,"Wholesale";"Whsle_Lombard",#N/A,FALSE,"Wholesale";"Whsle_Marlton",#N/A,FALSE,"Wholesale";"Whsle_Pleasanton",#N/A,FALSE,"Wholesale"}</definedName>
    <definedName name="Z_61F3E348_5958_11D3_8892_0000832DEAF9_.wvu.PrintTitles" hidden="1">#REF!,#REF!</definedName>
    <definedName name="Z_61F3E349_5958_11D3_8892_0000832DEAF9_.wvu.PrintTitles" hidden="1">#REF!,#REF!</definedName>
    <definedName name="Z_61F3E34B_5958_11D3_8892_0000832DEAF9_.wvu.PrintTitles" hidden="1">#REF!,#REF!</definedName>
    <definedName name="Z_61F3E34C_5958_11D3_8892_0000832DEAF9_.wvu.PrintTitles" hidden="1">#REF!,#REF!</definedName>
    <definedName name="Z_61F3E34E_5958_11D3_8892_0000832DEAF9_.wvu.PrintTitles" hidden="1">#REF!,#REF!</definedName>
    <definedName name="Z_61F3E34F_5958_11D3_8892_0000832DEAF9_.wvu.PrintTitles" hidden="1">#REF!,#REF!</definedName>
    <definedName name="Z_61F3E351_5958_11D3_8892_0000832DEAF9_.wvu.PrintTitles" hidden="1">#REF!,#REF!</definedName>
    <definedName name="Z_61F3E352_5958_11D3_8892_0000832DEAF9_.wvu.PrintTitles" hidden="1">#REF!,#REF!</definedName>
    <definedName name="Z_61F3E355_5958_11D3_8892_0000832DEAF9_.wvu.PrintTitles" hidden="1">#REF!,#REF!</definedName>
    <definedName name="Z_61F3E356_5958_11D3_8892_0000832DEAF9_.wvu.PrintTitles" hidden="1">#REF!,#REF!</definedName>
    <definedName name="Z_61F3E358_5958_11D3_8892_0000832DEAF9_.wvu.PrintTitles" hidden="1">#REF!,#REF!</definedName>
    <definedName name="Z_61F3E359_5958_11D3_8892_0000832DEAF9_.wvu.PrintTitles" hidden="1">#REF!,#REF!</definedName>
    <definedName name="Z_61F3E35B_5958_11D3_8892_0000832DEAF9_.wvu.PrintTitles" hidden="1">#REF!,#REF!</definedName>
    <definedName name="Z_61F3E35C_5958_11D3_8892_0000832DEAF9_.wvu.PrintTitles" hidden="1">#REF!,#REF!</definedName>
    <definedName name="Z_61F3E35E_5958_11D3_8892_0000832DEAF9_.wvu.PrintTitles" hidden="1">#REF!,#REF!</definedName>
    <definedName name="Z_61F3E35F_5958_11D3_8892_0000832DEAF9_.wvu.PrintTitles" hidden="1">#REF!,#REF!</definedName>
    <definedName name="Z_61F3E361_5958_11D3_8892_0000832DEAF9_.wvu.PrintTitles" hidden="1">#REF!,#REF!</definedName>
    <definedName name="Z_61F3E362_5958_11D3_8892_0000832DEAF9_.wvu.PrintTitles" hidden="1">#REF!,#REF!</definedName>
    <definedName name="Z_61F3E364_5958_11D3_8892_0000832DEAF9_.wvu.PrintTitles" hidden="1">#REF!,#REF!</definedName>
    <definedName name="Z_61F3E365_5958_11D3_8892_0000832DEAF9_.wvu.PrintTitles" hidden="1">#REF!,#REF!</definedName>
    <definedName name="Z_87743A9C_80A6_11D3_8889_0000832DEAF9_.wvu.Cols" hidden="1">#REF!,#REF!</definedName>
    <definedName name="Z_87743A9C_80A6_11D3_8889_0000832DEAF9_.wvu.PrintTitles" hidden="1">#REF!,#REF!</definedName>
    <definedName name="Z_87743A9C_80A6_11D3_8889_0000832DEAF9_.wvu.Rows" hidden="1">#REF!,#REF!,#REF!,#REF!,#REF!,#REF!,#REF!</definedName>
    <definedName name="Z_87743A9D_80A6_11D3_8889_0000832DEAF9_.wvu.Cols" hidden="1">#REF!,#REF!</definedName>
    <definedName name="Z_87743A9D_80A6_11D3_8889_0000832DEAF9_.wvu.PrintTitles" hidden="1">#REF!,#REF!</definedName>
    <definedName name="Z_87743A9D_80A6_11D3_8889_0000832DEAF9_.wvu.Rows" hidden="1">#REF!,#REF!,#REF!,#REF!,#REF!,#REF!,#REF!</definedName>
    <definedName name="Z_87743A9E_80A6_11D3_8889_0000832DEAF9_.wvu.Cols" hidden="1">#REF!,#REF!</definedName>
    <definedName name="Z_87743A9E_80A6_11D3_8889_0000832DEAF9_.wvu.PrintTitles" hidden="1">#REF!,#REF!</definedName>
    <definedName name="Z_87743A9E_80A6_11D3_8889_0000832DEAF9_.wvu.Rows" hidden="1">#REF!,#REF!,#REF!,#REF!,#REF!,#REF!,#REF!</definedName>
    <definedName name="Z_87743A9F_80A6_11D3_8889_0000832DEAF9_.wvu.Cols" hidden="1">#REF!,#REF!</definedName>
    <definedName name="Z_87743A9F_80A6_11D3_8889_0000832DEAF9_.wvu.PrintTitles" hidden="1">#REF!,#REF!</definedName>
    <definedName name="Z_87743A9F_80A6_11D3_8889_0000832DEAF9_.wvu.Rows" hidden="1">#REF!,#REF!,#REF!,#REF!,#REF!,#REF!,#REF!</definedName>
    <definedName name="Z_87743AA0_80A6_11D3_8889_0000832DEAF9_.wvu.Cols" hidden="1">#REF!,#REF!</definedName>
    <definedName name="Z_87743AA0_80A6_11D3_8889_0000832DEAF9_.wvu.PrintTitles" hidden="1">#REF!,#REF!</definedName>
    <definedName name="Z_87743AA0_80A6_11D3_8889_0000832DEAF9_.wvu.Rows" hidden="1">#REF!,#REF!,#REF!,#REF!,#REF!,#REF!,#REF!</definedName>
    <definedName name="Z_87743AA1_80A6_11D3_8889_0000832DEAF9_.wvu.Cols" hidden="1">#REF!,#REF!</definedName>
    <definedName name="Z_87743AA1_80A6_11D3_8889_0000832DEAF9_.wvu.PrintTitles" hidden="1">#REF!,#REF!</definedName>
    <definedName name="Z_87743AA1_80A6_11D3_8889_0000832DEAF9_.wvu.Rows" hidden="1">#REF!,#REF!,#REF!,#REF!,#REF!,#REF!,#REF!</definedName>
    <definedName name="Z_87743AA2_80A6_11D3_8889_0000832DEAF9_.wvu.Cols" hidden="1">#REF!,#REF!</definedName>
    <definedName name="Z_87743AA2_80A6_11D3_8889_0000832DEAF9_.wvu.PrintTitles" hidden="1">#REF!,#REF!</definedName>
    <definedName name="Z_87743AA2_80A6_11D3_8889_0000832DEAF9_.wvu.Rows" hidden="1">#REF!,#REF!,#REF!,#REF!,#REF!,#REF!,#REF!</definedName>
    <definedName name="Z_87743AA3_80A6_11D3_8889_0000832DEAF9_.wvu.Cols" hidden="1">#REF!,#REF!</definedName>
    <definedName name="Z_87743AA3_80A6_11D3_8889_0000832DEAF9_.wvu.PrintTitles" hidden="1">#REF!,#REF!</definedName>
    <definedName name="Z_87743AA3_80A6_11D3_8889_0000832DEAF9_.wvu.Rows" hidden="1">#REF!,#REF!,#REF!,#REF!,#REF!,#REF!,#REF!</definedName>
    <definedName name="Z_87743AA4_80A6_11D3_8889_0000832DEAF9_.wvu.Cols" hidden="1">#REF!,#REF!</definedName>
    <definedName name="Z_87743AA4_80A6_11D3_8889_0000832DEAF9_.wvu.PrintTitles" hidden="1">#REF!,#REF!</definedName>
    <definedName name="Z_87743AA4_80A6_11D3_8889_0000832DEAF9_.wvu.Rows" hidden="1">#REF!,#REF!,#REF!,#REF!,#REF!,#REF!,#REF!</definedName>
    <definedName name="Z_87743AA5_80A6_11D3_8889_0000832DEAF9_.wvu.Cols" hidden="1">#REF!,#REF!</definedName>
    <definedName name="Z_87743AA5_80A6_11D3_8889_0000832DEAF9_.wvu.PrintTitles" hidden="1">#REF!,#REF!</definedName>
    <definedName name="Z_87743AA5_80A6_11D3_8889_0000832DEAF9_.wvu.Rows" hidden="1">#REF!,#REF!,#REF!,#REF!,#REF!,#REF!,#REF!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2" i="7" l="1"/>
  <c r="Y22" i="7"/>
  <c r="X22" i="7"/>
  <c r="W22" i="7"/>
  <c r="V22" i="7"/>
  <c r="U22" i="7"/>
  <c r="T22" i="7"/>
  <c r="S22" i="7"/>
  <c r="C22" i="7" a="1"/>
  <c r="C22" i="7" s="1"/>
  <c r="J22" i="7" s="1"/>
  <c r="Z21" i="7"/>
  <c r="Y21" i="7"/>
  <c r="X21" i="7"/>
  <c r="W21" i="7"/>
  <c r="V21" i="7"/>
  <c r="U21" i="7"/>
  <c r="T21" i="7"/>
  <c r="S21" i="7"/>
  <c r="C21" i="7" a="1"/>
  <c r="C21" i="7" s="1"/>
  <c r="J21" i="7" s="1"/>
  <c r="Z20" i="7"/>
  <c r="Y20" i="7"/>
  <c r="Y23" i="7" s="1"/>
  <c r="X20" i="7"/>
  <c r="W20" i="7"/>
  <c r="V20" i="7"/>
  <c r="U20" i="7"/>
  <c r="T20" i="7"/>
  <c r="S20" i="7"/>
  <c r="J20" i="7"/>
  <c r="C20" i="7"/>
  <c r="C20" i="7" a="1"/>
  <c r="Z19" i="7"/>
  <c r="Y19" i="7"/>
  <c r="X19" i="7"/>
  <c r="W19" i="7"/>
  <c r="V19" i="7"/>
  <c r="U19" i="7"/>
  <c r="T19" i="7"/>
  <c r="S19" i="7"/>
  <c r="S26" i="7" s="1"/>
  <c r="C19" i="7" a="1"/>
  <c r="C19" i="7" s="1"/>
  <c r="J19" i="7" s="1"/>
  <c r="Z18" i="7"/>
  <c r="Y18" i="7"/>
  <c r="X18" i="7"/>
  <c r="W18" i="7"/>
  <c r="V18" i="7"/>
  <c r="U18" i="7"/>
  <c r="T18" i="7"/>
  <c r="S18" i="7"/>
  <c r="C18" i="7"/>
  <c r="J18" i="7" s="1"/>
  <c r="C18" i="7" a="1"/>
  <c r="Z17" i="7"/>
  <c r="Y17" i="7"/>
  <c r="X17" i="7"/>
  <c r="W17" i="7"/>
  <c r="W25" i="7" s="1"/>
  <c r="V17" i="7"/>
  <c r="V26" i="7" s="1"/>
  <c r="U17" i="7"/>
  <c r="U26" i="7" s="1"/>
  <c r="T17" i="7"/>
  <c r="S17" i="7"/>
  <c r="J17" i="7"/>
  <c r="C17" i="7"/>
  <c r="C17" i="7" a="1"/>
  <c r="Z13" i="7"/>
  <c r="Y13" i="7"/>
  <c r="X13" i="7"/>
  <c r="W13" i="7"/>
  <c r="V13" i="7"/>
  <c r="U13" i="7"/>
  <c r="T13" i="7"/>
  <c r="S13" i="7"/>
  <c r="C13" i="7"/>
  <c r="J13" i="7" s="1"/>
  <c r="C13" i="7" a="1"/>
  <c r="Z12" i="7"/>
  <c r="Y12" i="7"/>
  <c r="Y14" i="7" s="1"/>
  <c r="X12" i="7"/>
  <c r="W12" i="7"/>
  <c r="V12" i="7"/>
  <c r="U12" i="7"/>
  <c r="T12" i="7"/>
  <c r="S12" i="7"/>
  <c r="C12" i="7" a="1"/>
  <c r="C12" i="7" s="1"/>
  <c r="J12" i="7" s="1"/>
  <c r="Z11" i="7"/>
  <c r="Y11" i="7"/>
  <c r="X11" i="7"/>
  <c r="W11" i="7"/>
  <c r="V11" i="7"/>
  <c r="U11" i="7"/>
  <c r="T11" i="7"/>
  <c r="S11" i="7"/>
  <c r="S14" i="7" s="1"/>
  <c r="C11" i="7" a="1"/>
  <c r="C11" i="7" s="1"/>
  <c r="J11" i="7" s="1"/>
  <c r="Z10" i="7"/>
  <c r="Y10" i="7"/>
  <c r="X10" i="7"/>
  <c r="W10" i="7"/>
  <c r="V10" i="7"/>
  <c r="U10" i="7"/>
  <c r="T10" i="7"/>
  <c r="S10" i="7"/>
  <c r="J10" i="7"/>
  <c r="C10" i="7" a="1"/>
  <c r="C10" i="7" s="1"/>
  <c r="Z9" i="7"/>
  <c r="Y9" i="7"/>
  <c r="X9" i="7"/>
  <c r="W9" i="7"/>
  <c r="W30" i="7" s="1"/>
  <c r="V9" i="7"/>
  <c r="U9" i="7"/>
  <c r="T9" i="7"/>
  <c r="S9" i="7"/>
  <c r="J9" i="7"/>
  <c r="C9" i="7"/>
  <c r="C9" i="7" a="1"/>
  <c r="Z8" i="7"/>
  <c r="Y8" i="7"/>
  <c r="X8" i="7"/>
  <c r="W8" i="7"/>
  <c r="W29" i="7" s="1"/>
  <c r="V8" i="7"/>
  <c r="U8" i="7"/>
  <c r="T8" i="7"/>
  <c r="S8" i="7"/>
  <c r="S30" i="7" s="1"/>
  <c r="C8" i="7" a="1"/>
  <c r="C8" i="7" s="1"/>
  <c r="J8" i="7" s="1"/>
  <c r="I185" i="5"/>
  <c r="G185" i="5"/>
  <c r="B185" i="5"/>
  <c r="F185" i="5" s="1"/>
  <c r="F184" i="5"/>
  <c r="I184" i="5" s="1"/>
  <c r="B184" i="5"/>
  <c r="G184" i="5" s="1"/>
  <c r="G183" i="5"/>
  <c r="F183" i="5"/>
  <c r="I183" i="5" s="1"/>
  <c r="B183" i="5"/>
  <c r="B182" i="5"/>
  <c r="B181" i="5"/>
  <c r="G181" i="5" s="1"/>
  <c r="G180" i="5"/>
  <c r="B180" i="5"/>
  <c r="F180" i="5" s="1"/>
  <c r="I180" i="5" s="1"/>
  <c r="B179" i="5"/>
  <c r="G179" i="5" s="1"/>
  <c r="G178" i="5"/>
  <c r="F178" i="5"/>
  <c r="I178" i="5" s="1"/>
  <c r="B178" i="5"/>
  <c r="B177" i="5"/>
  <c r="B176" i="5"/>
  <c r="G176" i="5" s="1"/>
  <c r="G175" i="5"/>
  <c r="B175" i="5"/>
  <c r="F175" i="5" s="1"/>
  <c r="I175" i="5" s="1"/>
  <c r="F174" i="5"/>
  <c r="I174" i="5" s="1"/>
  <c r="B174" i="5"/>
  <c r="G174" i="5" s="1"/>
  <c r="G173" i="5"/>
  <c r="F173" i="5"/>
  <c r="I173" i="5" s="1"/>
  <c r="B173" i="5"/>
  <c r="B172" i="5"/>
  <c r="B171" i="5"/>
  <c r="G171" i="5" s="1"/>
  <c r="G170" i="5"/>
  <c r="B170" i="5"/>
  <c r="F170" i="5" s="1"/>
  <c r="I170" i="5" s="1"/>
  <c r="B169" i="5"/>
  <c r="G169" i="5" s="1"/>
  <c r="G168" i="5"/>
  <c r="F168" i="5"/>
  <c r="I168" i="5" s="1"/>
  <c r="B168" i="5"/>
  <c r="B167" i="5"/>
  <c r="B166" i="5"/>
  <c r="G166" i="5" s="1"/>
  <c r="G165" i="5"/>
  <c r="B165" i="5"/>
  <c r="F165" i="5" s="1"/>
  <c r="I165" i="5" s="1"/>
  <c r="F164" i="5"/>
  <c r="I164" i="5" s="1"/>
  <c r="B164" i="5"/>
  <c r="G164" i="5" s="1"/>
  <c r="G163" i="5"/>
  <c r="F163" i="5"/>
  <c r="I163" i="5" s="1"/>
  <c r="B163" i="5"/>
  <c r="B162" i="5"/>
  <c r="B161" i="5"/>
  <c r="G161" i="5" s="1"/>
  <c r="G160" i="5"/>
  <c r="B160" i="5"/>
  <c r="F160" i="5" s="1"/>
  <c r="I160" i="5" s="1"/>
  <c r="B159" i="5"/>
  <c r="G159" i="5" s="1"/>
  <c r="G158" i="5"/>
  <c r="F158" i="5"/>
  <c r="I158" i="5" s="1"/>
  <c r="B158" i="5"/>
  <c r="B157" i="5"/>
  <c r="B156" i="5"/>
  <c r="G156" i="5" s="1"/>
  <c r="G155" i="5"/>
  <c r="B155" i="5"/>
  <c r="F155" i="5" s="1"/>
  <c r="I155" i="5" s="1"/>
  <c r="F154" i="5"/>
  <c r="I154" i="5" s="1"/>
  <c r="B154" i="5"/>
  <c r="G154" i="5" s="1"/>
  <c r="G153" i="5"/>
  <c r="F153" i="5"/>
  <c r="I153" i="5" s="1"/>
  <c r="B153" i="5"/>
  <c r="B152" i="5"/>
  <c r="B151" i="5"/>
  <c r="G151" i="5" s="1"/>
  <c r="G150" i="5"/>
  <c r="B150" i="5"/>
  <c r="F150" i="5" s="1"/>
  <c r="I150" i="5" s="1"/>
  <c r="B149" i="5"/>
  <c r="G149" i="5" s="1"/>
  <c r="G148" i="5"/>
  <c r="F148" i="5"/>
  <c r="I148" i="5" s="1"/>
  <c r="B148" i="5"/>
  <c r="B147" i="5"/>
  <c r="B146" i="5"/>
  <c r="G146" i="5" s="1"/>
  <c r="G145" i="5"/>
  <c r="B145" i="5"/>
  <c r="F145" i="5" s="1"/>
  <c r="I145" i="5" s="1"/>
  <c r="F144" i="5"/>
  <c r="I144" i="5" s="1"/>
  <c r="B144" i="5"/>
  <c r="G144" i="5" s="1"/>
  <c r="G143" i="5"/>
  <c r="F143" i="5"/>
  <c r="I143" i="5" s="1"/>
  <c r="B143" i="5"/>
  <c r="B142" i="5"/>
  <c r="B141" i="5"/>
  <c r="G141" i="5" s="1"/>
  <c r="G140" i="5"/>
  <c r="B140" i="5"/>
  <c r="F140" i="5" s="1"/>
  <c r="I140" i="5" s="1"/>
  <c r="B139" i="5"/>
  <c r="G139" i="5" s="1"/>
  <c r="G138" i="5"/>
  <c r="F138" i="5"/>
  <c r="I138" i="5" s="1"/>
  <c r="B138" i="5"/>
  <c r="B137" i="5"/>
  <c r="B136" i="5"/>
  <c r="G136" i="5" s="1"/>
  <c r="G135" i="5"/>
  <c r="B135" i="5"/>
  <c r="F135" i="5" s="1"/>
  <c r="I135" i="5" s="1"/>
  <c r="F134" i="5"/>
  <c r="I134" i="5" s="1"/>
  <c r="B134" i="5"/>
  <c r="G134" i="5" s="1"/>
  <c r="G133" i="5"/>
  <c r="F133" i="5"/>
  <c r="I133" i="5" s="1"/>
  <c r="B133" i="5"/>
  <c r="B132" i="5"/>
  <c r="B131" i="5"/>
  <c r="G131" i="5" s="1"/>
  <c r="G130" i="5"/>
  <c r="B130" i="5"/>
  <c r="F130" i="5" s="1"/>
  <c r="I130" i="5" s="1"/>
  <c r="F129" i="5"/>
  <c r="I129" i="5" s="1"/>
  <c r="B129" i="5"/>
  <c r="G129" i="5" s="1"/>
  <c r="G128" i="5"/>
  <c r="F128" i="5"/>
  <c r="I128" i="5" s="1"/>
  <c r="B128" i="5"/>
  <c r="B127" i="5"/>
  <c r="B126" i="5"/>
  <c r="G126" i="5" s="1"/>
  <c r="G125" i="5"/>
  <c r="B125" i="5"/>
  <c r="F125" i="5" s="1"/>
  <c r="I125" i="5" s="1"/>
  <c r="F124" i="5"/>
  <c r="I124" i="5" s="1"/>
  <c r="B124" i="5"/>
  <c r="G124" i="5" s="1"/>
  <c r="G123" i="5"/>
  <c r="F123" i="5"/>
  <c r="I123" i="5" s="1"/>
  <c r="B123" i="5"/>
  <c r="B122" i="5"/>
  <c r="B121" i="5"/>
  <c r="G121" i="5" s="1"/>
  <c r="G120" i="5"/>
  <c r="B120" i="5"/>
  <c r="F120" i="5" s="1"/>
  <c r="I120" i="5" s="1"/>
  <c r="B119" i="5"/>
  <c r="G119" i="5" s="1"/>
  <c r="G118" i="5"/>
  <c r="F118" i="5"/>
  <c r="I118" i="5" s="1"/>
  <c r="B118" i="5"/>
  <c r="B117" i="5"/>
  <c r="B116" i="5"/>
  <c r="G116" i="5" s="1"/>
  <c r="G115" i="5"/>
  <c r="B115" i="5"/>
  <c r="F115" i="5" s="1"/>
  <c r="I115" i="5" s="1"/>
  <c r="F114" i="5"/>
  <c r="I114" i="5" s="1"/>
  <c r="B114" i="5"/>
  <c r="G114" i="5" s="1"/>
  <c r="G113" i="5"/>
  <c r="F113" i="5"/>
  <c r="I113" i="5" s="1"/>
  <c r="B113" i="5"/>
  <c r="B112" i="5"/>
  <c r="B111" i="5"/>
  <c r="G111" i="5" s="1"/>
  <c r="G110" i="5"/>
  <c r="B110" i="5"/>
  <c r="F110" i="5" s="1"/>
  <c r="I110" i="5" s="1"/>
  <c r="F109" i="5"/>
  <c r="I109" i="5" s="1"/>
  <c r="B109" i="5"/>
  <c r="G109" i="5" s="1"/>
  <c r="G108" i="5"/>
  <c r="F108" i="5"/>
  <c r="I108" i="5" s="1"/>
  <c r="B108" i="5"/>
  <c r="B107" i="5"/>
  <c r="B106" i="5"/>
  <c r="G106" i="5" s="1"/>
  <c r="G105" i="5"/>
  <c r="B105" i="5"/>
  <c r="F105" i="5" s="1"/>
  <c r="I105" i="5" s="1"/>
  <c r="F104" i="5"/>
  <c r="I104" i="5" s="1"/>
  <c r="B104" i="5"/>
  <c r="G104" i="5" s="1"/>
  <c r="G103" i="5"/>
  <c r="F103" i="5"/>
  <c r="I103" i="5" s="1"/>
  <c r="B103" i="5"/>
  <c r="B102" i="5"/>
  <c r="B101" i="5"/>
  <c r="G101" i="5" s="1"/>
  <c r="G100" i="5"/>
  <c r="B100" i="5"/>
  <c r="F100" i="5" s="1"/>
  <c r="I100" i="5" s="1"/>
  <c r="B99" i="5"/>
  <c r="G99" i="5" s="1"/>
  <c r="G98" i="5"/>
  <c r="F98" i="5"/>
  <c r="I98" i="5" s="1"/>
  <c r="B98" i="5"/>
  <c r="B97" i="5"/>
  <c r="B96" i="5"/>
  <c r="G96" i="5" s="1"/>
  <c r="G95" i="5"/>
  <c r="B95" i="5"/>
  <c r="F95" i="5" s="1"/>
  <c r="I95" i="5" s="1"/>
  <c r="F94" i="5"/>
  <c r="I94" i="5" s="1"/>
  <c r="B94" i="5"/>
  <c r="G94" i="5" s="1"/>
  <c r="G93" i="5"/>
  <c r="F93" i="5"/>
  <c r="I93" i="5" s="1"/>
  <c r="B93" i="5"/>
  <c r="B92" i="5"/>
  <c r="B91" i="5"/>
  <c r="G91" i="5" s="1"/>
  <c r="G90" i="5"/>
  <c r="B90" i="5"/>
  <c r="F90" i="5" s="1"/>
  <c r="I90" i="5" s="1"/>
  <c r="F89" i="5"/>
  <c r="I89" i="5" s="1"/>
  <c r="B89" i="5"/>
  <c r="G89" i="5" s="1"/>
  <c r="G88" i="5"/>
  <c r="F88" i="5"/>
  <c r="I88" i="5" s="1"/>
  <c r="B88" i="5"/>
  <c r="B87" i="5"/>
  <c r="B86" i="5"/>
  <c r="G86" i="5" s="1"/>
  <c r="G85" i="5"/>
  <c r="B85" i="5"/>
  <c r="F85" i="5" s="1"/>
  <c r="I85" i="5" s="1"/>
  <c r="F84" i="5"/>
  <c r="I84" i="5" s="1"/>
  <c r="B84" i="5"/>
  <c r="G84" i="5" s="1"/>
  <c r="G83" i="5"/>
  <c r="F83" i="5"/>
  <c r="I83" i="5" s="1"/>
  <c r="B83" i="5"/>
  <c r="B82" i="5"/>
  <c r="B81" i="5"/>
  <c r="G81" i="5" s="1"/>
  <c r="G80" i="5"/>
  <c r="B80" i="5"/>
  <c r="F80" i="5" s="1"/>
  <c r="I80" i="5" s="1"/>
  <c r="B79" i="5"/>
  <c r="G79" i="5" s="1"/>
  <c r="G78" i="5"/>
  <c r="F78" i="5"/>
  <c r="I78" i="5" s="1"/>
  <c r="B78" i="5"/>
  <c r="B77" i="5"/>
  <c r="B76" i="5"/>
  <c r="G76" i="5" s="1"/>
  <c r="G75" i="5"/>
  <c r="B75" i="5"/>
  <c r="F75" i="5" s="1"/>
  <c r="I75" i="5" s="1"/>
  <c r="F74" i="5"/>
  <c r="I74" i="5" s="1"/>
  <c r="B74" i="5"/>
  <c r="G74" i="5" s="1"/>
  <c r="G73" i="5"/>
  <c r="F73" i="5"/>
  <c r="I73" i="5" s="1"/>
  <c r="B73" i="5"/>
  <c r="B72" i="5"/>
  <c r="B71" i="5"/>
  <c r="G71" i="5" s="1"/>
  <c r="G70" i="5"/>
  <c r="B70" i="5"/>
  <c r="F70" i="5" s="1"/>
  <c r="I70" i="5" s="1"/>
  <c r="B69" i="5"/>
  <c r="G69" i="5" s="1"/>
  <c r="G68" i="5"/>
  <c r="F68" i="5"/>
  <c r="I68" i="5" s="1"/>
  <c r="B68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F8" i="5" s="1"/>
  <c r="I50" i="5"/>
  <c r="I49" i="5"/>
  <c r="I48" i="5"/>
  <c r="I47" i="5"/>
  <c r="F16" i="5" s="1"/>
  <c r="I46" i="5"/>
  <c r="I45" i="5"/>
  <c r="I44" i="5"/>
  <c r="I43" i="5"/>
  <c r="I42" i="5"/>
  <c r="F15" i="5" s="1"/>
  <c r="I41" i="5"/>
  <c r="I40" i="5"/>
  <c r="I39" i="5"/>
  <c r="G35" i="5"/>
  <c r="F26" i="5"/>
  <c r="F25" i="5"/>
  <c r="F24" i="5"/>
  <c r="BH35" i="4"/>
  <c r="BG35" i="4"/>
  <c r="BF35" i="4"/>
  <c r="BE35" i="4"/>
  <c r="BC35" i="4" a="1"/>
  <c r="BC35" i="4" s="1"/>
  <c r="BA35" i="4"/>
  <c r="BB35" i="4" s="1"/>
  <c r="BA35" i="4" a="1"/>
  <c r="AZ35" i="4"/>
  <c r="AZ35" i="4" a="1"/>
  <c r="AY35" i="4"/>
  <c r="AY35" i="4" a="1"/>
  <c r="AX35" i="4"/>
  <c r="AX35" i="4" a="1"/>
  <c r="AV35" i="4"/>
  <c r="AV35" i="4" a="1"/>
  <c r="AT35" i="4" a="1"/>
  <c r="AT35" i="4" s="1"/>
  <c r="AR35" i="4"/>
  <c r="AR35" i="4" a="1"/>
  <c r="AP35" i="4" a="1"/>
  <c r="AP35" i="4" s="1"/>
  <c r="AO35" i="4" a="1"/>
  <c r="AO35" i="4" s="1"/>
  <c r="AN35" i="4"/>
  <c r="AN35" i="4" a="1"/>
  <c r="AM35" i="4" a="1"/>
  <c r="AM35" i="4" s="1"/>
  <c r="AK35" i="4"/>
  <c r="AK35" i="4" a="1"/>
  <c r="AJ35" i="4"/>
  <c r="AJ35" i="4" a="1"/>
  <c r="AI35" i="4"/>
  <c r="AI35" i="4" a="1"/>
  <c r="AH35" i="4"/>
  <c r="AH35" i="4" a="1"/>
  <c r="AF35" i="4" a="1"/>
  <c r="AF35" i="4" s="1"/>
  <c r="AE35" i="4"/>
  <c r="AE35" i="4" a="1"/>
  <c r="AD35" i="4" a="1"/>
  <c r="AD35" i="4" s="1"/>
  <c r="AC35" i="4" a="1"/>
  <c r="AC35" i="4" s="1"/>
  <c r="Z35" i="4"/>
  <c r="Y35" i="4"/>
  <c r="X35" i="4"/>
  <c r="Q35" i="4"/>
  <c r="L35" i="4"/>
  <c r="K35" i="4"/>
  <c r="K35" i="4" a="1"/>
  <c r="J35" i="4" a="1"/>
  <c r="J35" i="4" s="1"/>
  <c r="I35" i="4" a="1"/>
  <c r="I35" i="4" s="1"/>
  <c r="H35" i="4"/>
  <c r="H35" i="4" a="1"/>
  <c r="G35" i="4"/>
  <c r="G35" i="4" a="1"/>
  <c r="D35" i="4"/>
  <c r="D35" i="4" a="1"/>
  <c r="BH34" i="4"/>
  <c r="BG34" i="4"/>
  <c r="BF34" i="4"/>
  <c r="BE34" i="4"/>
  <c r="BC34" i="4"/>
  <c r="BC34" i="4" a="1"/>
  <c r="BA34" i="4" a="1"/>
  <c r="BA34" i="4" s="1"/>
  <c r="AZ34" i="4" a="1"/>
  <c r="AZ34" i="4" s="1"/>
  <c r="BB34" i="4" s="1"/>
  <c r="AY34" i="4"/>
  <c r="AY34" i="4" a="1"/>
  <c r="AX34" i="4" a="1"/>
  <c r="AX34" i="4" s="1"/>
  <c r="AV34" i="4" a="1"/>
  <c r="AV34" i="4" s="1"/>
  <c r="AT34" i="4"/>
  <c r="AT34" i="4" a="1"/>
  <c r="AR34" i="4" a="1"/>
  <c r="AR34" i="4" s="1"/>
  <c r="AP34" i="4" a="1"/>
  <c r="AP34" i="4" s="1"/>
  <c r="AO34" i="4" a="1"/>
  <c r="AO34" i="4" s="1"/>
  <c r="AN34" i="4" a="1"/>
  <c r="AN34" i="4" s="1"/>
  <c r="AM34" i="4" a="1"/>
  <c r="AM34" i="4" s="1"/>
  <c r="AK34" i="4" a="1"/>
  <c r="AK34" i="4" s="1"/>
  <c r="AJ34" i="4"/>
  <c r="AJ34" i="4" a="1"/>
  <c r="AI34" i="4" a="1"/>
  <c r="AI34" i="4" s="1"/>
  <c r="AH34" i="4"/>
  <c r="AH34" i="4" a="1"/>
  <c r="AF34" i="4" a="1"/>
  <c r="AF34" i="4" s="1"/>
  <c r="S34" i="4" s="1"/>
  <c r="AE34" i="4" a="1"/>
  <c r="AE34" i="4" s="1"/>
  <c r="AD34" i="4" a="1"/>
  <c r="AD34" i="4" s="1"/>
  <c r="AC34" i="4" a="1"/>
  <c r="AC34" i="4" s="1"/>
  <c r="X34" i="4"/>
  <c r="K34" i="4" a="1"/>
  <c r="K34" i="4" s="1"/>
  <c r="J34" i="4" a="1"/>
  <c r="J34" i="4" s="1"/>
  <c r="I34" i="4" a="1"/>
  <c r="I34" i="4" s="1"/>
  <c r="H34" i="4" a="1"/>
  <c r="H34" i="4" s="1"/>
  <c r="G34" i="4"/>
  <c r="G34" i="4" a="1"/>
  <c r="D34" i="4" a="1"/>
  <c r="D34" i="4" s="1"/>
  <c r="BH33" i="4"/>
  <c r="BG33" i="4"/>
  <c r="BF33" i="4"/>
  <c r="BE33" i="4"/>
  <c r="BC33" i="4"/>
  <c r="BC33" i="4" a="1"/>
  <c r="BA33" i="4"/>
  <c r="BA33" i="4" a="1"/>
  <c r="AZ33" i="4"/>
  <c r="BB33" i="4" s="1"/>
  <c r="AZ33" i="4" a="1"/>
  <c r="AY33" i="4"/>
  <c r="AY33" i="4" a="1"/>
  <c r="AX33" i="4"/>
  <c r="AX33" i="4" a="1"/>
  <c r="AV33" i="4" a="1"/>
  <c r="AV33" i="4" s="1"/>
  <c r="AT33" i="4"/>
  <c r="AT33" i="4" a="1"/>
  <c r="AR33" i="4" a="1"/>
  <c r="AR33" i="4" s="1"/>
  <c r="X33" i="4" s="1"/>
  <c r="AP33" i="4" a="1"/>
  <c r="AP33" i="4" s="1"/>
  <c r="AO33" i="4" a="1"/>
  <c r="AO33" i="4" s="1"/>
  <c r="AN33" i="4"/>
  <c r="AN33" i="4" a="1"/>
  <c r="AM33" i="4"/>
  <c r="AM33" i="4" a="1"/>
  <c r="AK33" i="4"/>
  <c r="AK33" i="4" a="1"/>
  <c r="AJ33" i="4"/>
  <c r="AJ33" i="4" a="1"/>
  <c r="AI33" i="4"/>
  <c r="AI33" i="4" a="1"/>
  <c r="AH33" i="4" a="1"/>
  <c r="AH33" i="4" s="1"/>
  <c r="AF33" i="4"/>
  <c r="AF33" i="4" a="1"/>
  <c r="AE33" i="4"/>
  <c r="R33" i="4" s="1"/>
  <c r="AE33" i="4" a="1"/>
  <c r="AD33" i="4" a="1"/>
  <c r="AD33" i="4" s="1"/>
  <c r="AC33" i="4" a="1"/>
  <c r="AC33" i="4" s="1"/>
  <c r="K33" i="4" a="1"/>
  <c r="K33" i="4" s="1"/>
  <c r="J33" i="4" a="1"/>
  <c r="J33" i="4" s="1"/>
  <c r="I33" i="4"/>
  <c r="I33" i="4" a="1"/>
  <c r="H33" i="4"/>
  <c r="H33" i="4" a="1"/>
  <c r="G33" i="4"/>
  <c r="G33" i="4" a="1"/>
  <c r="D33" i="4"/>
  <c r="D33" i="4" a="1"/>
  <c r="BH32" i="4"/>
  <c r="BG32" i="4"/>
  <c r="BF32" i="4"/>
  <c r="BE32" i="4"/>
  <c r="BC32" i="4" a="1"/>
  <c r="BC32" i="4" s="1"/>
  <c r="BB32" i="4"/>
  <c r="BA32" i="4" a="1"/>
  <c r="BA32" i="4" s="1"/>
  <c r="AZ32" i="4"/>
  <c r="AZ32" i="4" a="1"/>
  <c r="AY32" i="4" a="1"/>
  <c r="AY32" i="4" s="1"/>
  <c r="AX32" i="4" a="1"/>
  <c r="AX32" i="4" s="1"/>
  <c r="AV32" i="4" a="1"/>
  <c r="AV32" i="4" s="1"/>
  <c r="Z32" i="4" s="1"/>
  <c r="AT32" i="4" a="1"/>
  <c r="AT32" i="4" s="1"/>
  <c r="AR32" i="4" a="1"/>
  <c r="AR32" i="4" s="1"/>
  <c r="X32" i="4" s="1"/>
  <c r="AP32" i="4" a="1"/>
  <c r="AP32" i="4" s="1"/>
  <c r="AO32" i="4" a="1"/>
  <c r="AO32" i="4" s="1"/>
  <c r="AN32" i="4" a="1"/>
  <c r="AN32" i="4" s="1"/>
  <c r="AM32" i="4" a="1"/>
  <c r="AM32" i="4" s="1"/>
  <c r="AK32" i="4"/>
  <c r="AK32" i="4" a="1"/>
  <c r="AJ32" i="4"/>
  <c r="AJ32" i="4" a="1"/>
  <c r="AI32" i="4" a="1"/>
  <c r="AI32" i="4" s="1"/>
  <c r="P32" i="4" s="1"/>
  <c r="AH32" i="4"/>
  <c r="AH32" i="4" a="1"/>
  <c r="AF32" i="4" a="1"/>
  <c r="AF32" i="4" s="1"/>
  <c r="S32" i="4" s="1"/>
  <c r="AE32" i="4" a="1"/>
  <c r="AE32" i="4" s="1"/>
  <c r="R32" i="4" s="1"/>
  <c r="AD32" i="4" a="1"/>
  <c r="AD32" i="4" s="1"/>
  <c r="AC32" i="4" a="1"/>
  <c r="AC32" i="4" s="1"/>
  <c r="L32" i="4" s="1"/>
  <c r="Y32" i="4"/>
  <c r="W32" i="4"/>
  <c r="V32" i="4"/>
  <c r="O32" i="4"/>
  <c r="N32" i="4"/>
  <c r="K32" i="4" a="1"/>
  <c r="K32" i="4" s="1"/>
  <c r="J32" i="4" a="1"/>
  <c r="J32" i="4" s="1"/>
  <c r="I32" i="4" a="1"/>
  <c r="I32" i="4" s="1"/>
  <c r="H32" i="4"/>
  <c r="H32" i="4" a="1"/>
  <c r="G32" i="4" a="1"/>
  <c r="G32" i="4" s="1"/>
  <c r="D32" i="4"/>
  <c r="D32" i="4" a="1"/>
  <c r="BH31" i="4"/>
  <c r="BG31" i="4"/>
  <c r="BF31" i="4"/>
  <c r="BE31" i="4"/>
  <c r="BC31" i="4"/>
  <c r="BC31" i="4" a="1"/>
  <c r="BA31" i="4"/>
  <c r="BA31" i="4" a="1"/>
  <c r="AZ31" i="4"/>
  <c r="BB31" i="4" s="1"/>
  <c r="AZ31" i="4" a="1"/>
  <c r="AY31" i="4"/>
  <c r="AY31" i="4" a="1"/>
  <c r="AX31" i="4" a="1"/>
  <c r="AX31" i="4" s="1"/>
  <c r="AV31" i="4"/>
  <c r="AV31" i="4" a="1"/>
  <c r="AT31" i="4"/>
  <c r="AT31" i="4" a="1"/>
  <c r="AR31" i="4" a="1"/>
  <c r="AR31" i="4" s="1"/>
  <c r="AP31" i="4" a="1"/>
  <c r="AP31" i="4" s="1"/>
  <c r="AO31" i="4"/>
  <c r="V31" i="4" s="1"/>
  <c r="AO31" i="4" a="1"/>
  <c r="AN31" i="4"/>
  <c r="AN31" i="4" a="1"/>
  <c r="AM31" i="4"/>
  <c r="AM31" i="4" a="1"/>
  <c r="AK31" i="4"/>
  <c r="AK31" i="4" a="1"/>
  <c r="AJ31" i="4"/>
  <c r="AJ31" i="4" a="1"/>
  <c r="AI31" i="4" a="1"/>
  <c r="AI31" i="4" s="1"/>
  <c r="AH31" i="4"/>
  <c r="AH31" i="4" a="1"/>
  <c r="AF31" i="4" a="1"/>
  <c r="AF31" i="4" s="1"/>
  <c r="S31" i="4" s="1"/>
  <c r="AE31" i="4" a="1"/>
  <c r="AE31" i="4" s="1"/>
  <c r="AD31" i="4" a="1"/>
  <c r="AD31" i="4" s="1"/>
  <c r="M31" i="4" s="1"/>
  <c r="AC31" i="4" a="1"/>
  <c r="AC31" i="4" s="1"/>
  <c r="Z31" i="4"/>
  <c r="X31" i="4"/>
  <c r="P31" i="4"/>
  <c r="O31" i="4"/>
  <c r="K31" i="4" a="1"/>
  <c r="K31" i="4" s="1"/>
  <c r="J31" i="4" a="1"/>
  <c r="J31" i="4" s="1"/>
  <c r="I31" i="4" a="1"/>
  <c r="I31" i="4" s="1"/>
  <c r="H31" i="4"/>
  <c r="H31" i="4" a="1"/>
  <c r="G31" i="4"/>
  <c r="G31" i="4" a="1"/>
  <c r="D31" i="4"/>
  <c r="D31" i="4" a="1"/>
  <c r="BH30" i="4"/>
  <c r="BG30" i="4"/>
  <c r="BF30" i="4"/>
  <c r="BE30" i="4"/>
  <c r="BC30" i="4"/>
  <c r="BC30" i="4" a="1"/>
  <c r="BA30" i="4"/>
  <c r="BA30" i="4" a="1"/>
  <c r="AZ30" i="4" a="1"/>
  <c r="AZ30" i="4" s="1"/>
  <c r="BB30" i="4" s="1"/>
  <c r="AY30" i="4" a="1"/>
  <c r="AY30" i="4" s="1"/>
  <c r="AX30" i="4"/>
  <c r="AX30" i="4" a="1"/>
  <c r="AV30" i="4" a="1"/>
  <c r="AV30" i="4" s="1"/>
  <c r="AT30" i="4" a="1"/>
  <c r="AT30" i="4" s="1"/>
  <c r="AR30" i="4" a="1"/>
  <c r="AR30" i="4" s="1"/>
  <c r="AP30" i="4" a="1"/>
  <c r="AP30" i="4" s="1"/>
  <c r="AO30" i="4" a="1"/>
  <c r="AO30" i="4" s="1"/>
  <c r="AN30" i="4" a="1"/>
  <c r="AN30" i="4" s="1"/>
  <c r="AM30" i="4"/>
  <c r="AM30" i="4" a="1"/>
  <c r="AK30" i="4" a="1"/>
  <c r="AK30" i="4" s="1"/>
  <c r="AJ30" i="4"/>
  <c r="AJ30" i="4" a="1"/>
  <c r="AI30" i="4" a="1"/>
  <c r="AI30" i="4" s="1"/>
  <c r="AH30" i="4" a="1"/>
  <c r="AH30" i="4" s="1"/>
  <c r="AF30" i="4" a="1"/>
  <c r="AF30" i="4" s="1"/>
  <c r="AE30" i="4" a="1"/>
  <c r="AE30" i="4" s="1"/>
  <c r="S30" i="4" s="1"/>
  <c r="AD30" i="4" a="1"/>
  <c r="AD30" i="4" s="1"/>
  <c r="AC30" i="4"/>
  <c r="AC30" i="4" a="1"/>
  <c r="X30" i="4"/>
  <c r="R30" i="4"/>
  <c r="Q30" i="4"/>
  <c r="P30" i="4"/>
  <c r="K30" i="4" a="1"/>
  <c r="K30" i="4" s="1"/>
  <c r="J30" i="4" a="1"/>
  <c r="J30" i="4" s="1"/>
  <c r="I30" i="4" a="1"/>
  <c r="I30" i="4" s="1"/>
  <c r="H30" i="4" a="1"/>
  <c r="H30" i="4" s="1"/>
  <c r="Y30" i="4" s="1"/>
  <c r="G30" i="4"/>
  <c r="G30" i="4" a="1"/>
  <c r="D30" i="4"/>
  <c r="D30" i="4" a="1"/>
  <c r="BH25" i="4"/>
  <c r="BG25" i="4"/>
  <c r="BF25" i="4"/>
  <c r="BE25" i="4"/>
  <c r="BC25" i="4"/>
  <c r="BC25" i="4" a="1"/>
  <c r="BA25" i="4" a="1"/>
  <c r="BA25" i="4" s="1"/>
  <c r="AZ25" i="4"/>
  <c r="BB25" i="4" s="1"/>
  <c r="AZ25" i="4" a="1"/>
  <c r="AY25" i="4"/>
  <c r="AY25" i="4" a="1"/>
  <c r="AX25" i="4"/>
  <c r="AX25" i="4" a="1"/>
  <c r="AV25" i="4"/>
  <c r="AV25" i="4" a="1"/>
  <c r="AT25" i="4" a="1"/>
  <c r="AT25" i="4" s="1"/>
  <c r="AR25" i="4"/>
  <c r="AR25" i="4" a="1"/>
  <c r="AP25" i="4" a="1"/>
  <c r="AP25" i="4" s="1"/>
  <c r="W25" i="4" s="1"/>
  <c r="AO25" i="4" a="1"/>
  <c r="AO25" i="4" s="1"/>
  <c r="AN25" i="4"/>
  <c r="AN25" i="4" a="1"/>
  <c r="AM25" i="4" a="1"/>
  <c r="AM25" i="4" s="1"/>
  <c r="AK25" i="4"/>
  <c r="AK25" i="4" a="1"/>
  <c r="AJ25" i="4"/>
  <c r="AJ25" i="4" a="1"/>
  <c r="AI25" i="4"/>
  <c r="AI25" i="4" a="1"/>
  <c r="AH25" i="4"/>
  <c r="AH25" i="4" a="1"/>
  <c r="AF25" i="4" a="1"/>
  <c r="AF25" i="4" s="1"/>
  <c r="S25" i="4" s="1"/>
  <c r="AE25" i="4"/>
  <c r="AE25" i="4" a="1"/>
  <c r="AD25" i="4"/>
  <c r="AD25" i="4" a="1"/>
  <c r="AC25" i="4" a="1"/>
  <c r="AC25" i="4" s="1"/>
  <c r="Z25" i="4"/>
  <c r="Y25" i="4"/>
  <c r="X25" i="4"/>
  <c r="K25" i="4"/>
  <c r="L25" i="4" s="1"/>
  <c r="K25" i="4" a="1"/>
  <c r="J25" i="4"/>
  <c r="J25" i="4" a="1"/>
  <c r="I25" i="4" a="1"/>
  <c r="I25" i="4" s="1"/>
  <c r="H25" i="4"/>
  <c r="H25" i="4" a="1"/>
  <c r="G25" i="4" a="1"/>
  <c r="G25" i="4" s="1"/>
  <c r="D25" i="4"/>
  <c r="D25" i="4" a="1"/>
  <c r="BH24" i="4"/>
  <c r="BG24" i="4"/>
  <c r="BF24" i="4"/>
  <c r="BE24" i="4"/>
  <c r="BC24" i="4"/>
  <c r="BC24" i="4" a="1"/>
  <c r="BA24" i="4" a="1"/>
  <c r="BA24" i="4" s="1"/>
  <c r="AZ24" i="4" a="1"/>
  <c r="AZ24" i="4" s="1"/>
  <c r="BB24" i="4" s="1"/>
  <c r="AY24" i="4"/>
  <c r="AY24" i="4" a="1"/>
  <c r="AX24" i="4" a="1"/>
  <c r="AX24" i="4" s="1"/>
  <c r="AV24" i="4"/>
  <c r="AV24" i="4" a="1"/>
  <c r="AT24" i="4" a="1"/>
  <c r="AT24" i="4" s="1"/>
  <c r="Y24" i="4" s="1"/>
  <c r="AR24" i="4" a="1"/>
  <c r="AR24" i="4" s="1"/>
  <c r="X24" i="4" s="1"/>
  <c r="AP24" i="4" a="1"/>
  <c r="AP24" i="4" s="1"/>
  <c r="AO24" i="4" a="1"/>
  <c r="AO24" i="4" s="1"/>
  <c r="V24" i="4" s="1"/>
  <c r="AN24" i="4" a="1"/>
  <c r="AN24" i="4" s="1"/>
  <c r="AM24" i="4"/>
  <c r="AM24" i="4" a="1"/>
  <c r="AK24" i="4" a="1"/>
  <c r="AK24" i="4" s="1"/>
  <c r="AJ24" i="4"/>
  <c r="AJ24" i="4" a="1"/>
  <c r="AI24" i="4" a="1"/>
  <c r="AI24" i="4" s="1"/>
  <c r="AH24" i="4"/>
  <c r="AH24" i="4" a="1"/>
  <c r="AF24" i="4" a="1"/>
  <c r="AF24" i="4" s="1"/>
  <c r="AE24" i="4" a="1"/>
  <c r="AE24" i="4" s="1"/>
  <c r="AD24" i="4" a="1"/>
  <c r="AD24" i="4" s="1"/>
  <c r="AC24" i="4" a="1"/>
  <c r="AC24" i="4" s="1"/>
  <c r="L24" i="4" s="1"/>
  <c r="W24" i="4"/>
  <c r="U24" i="4"/>
  <c r="O24" i="4"/>
  <c r="M24" i="4"/>
  <c r="K24" i="4"/>
  <c r="Q24" i="4" s="1"/>
  <c r="K24" i="4" a="1"/>
  <c r="J24" i="4" a="1"/>
  <c r="J24" i="4" s="1"/>
  <c r="I24" i="4" a="1"/>
  <c r="I24" i="4" s="1"/>
  <c r="H24" i="4" a="1"/>
  <c r="H24" i="4" s="1"/>
  <c r="G24" i="4" a="1"/>
  <c r="G24" i="4" s="1"/>
  <c r="D24" i="4"/>
  <c r="D24" i="4" a="1"/>
  <c r="BH23" i="4"/>
  <c r="BG23" i="4"/>
  <c r="BF23" i="4"/>
  <c r="BE23" i="4"/>
  <c r="BC23" i="4"/>
  <c r="BC23" i="4" a="1"/>
  <c r="BA23" i="4" a="1"/>
  <c r="BA23" i="4" s="1"/>
  <c r="AZ23" i="4"/>
  <c r="BB23" i="4" s="1"/>
  <c r="AZ23" i="4" a="1"/>
  <c r="AY23" i="4"/>
  <c r="AY23" i="4" a="1"/>
  <c r="AX23" i="4"/>
  <c r="AX23" i="4" a="1"/>
  <c r="AV23" i="4" a="1"/>
  <c r="AV23" i="4" s="1"/>
  <c r="AT23" i="4" a="1"/>
  <c r="AT23" i="4" s="1"/>
  <c r="AR23" i="4" a="1"/>
  <c r="AR23" i="4" s="1"/>
  <c r="X23" i="4" s="1"/>
  <c r="AP23" i="4" a="1"/>
  <c r="AP23" i="4" s="1"/>
  <c r="AO23" i="4"/>
  <c r="AO23" i="4" a="1"/>
  <c r="AN23" i="4"/>
  <c r="AN23" i="4" a="1"/>
  <c r="AM23" i="4" a="1"/>
  <c r="AM23" i="4" s="1"/>
  <c r="AK23" i="4"/>
  <c r="AK23" i="4" a="1"/>
  <c r="AJ23" i="4"/>
  <c r="AJ23" i="4" a="1"/>
  <c r="AI23" i="4"/>
  <c r="AI23" i="4" a="1"/>
  <c r="AH23" i="4"/>
  <c r="AH23" i="4" a="1"/>
  <c r="AF23" i="4" a="1"/>
  <c r="AF23" i="4" s="1"/>
  <c r="AE23" i="4" a="1"/>
  <c r="AE23" i="4" s="1"/>
  <c r="R23" i="4" s="1"/>
  <c r="AD23" i="4" a="1"/>
  <c r="AD23" i="4" s="1"/>
  <c r="AC23" i="4" a="1"/>
  <c r="AC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D23" i="4"/>
  <c r="D23" i="4" a="1"/>
  <c r="BH22" i="4"/>
  <c r="BG22" i="4"/>
  <c r="BF22" i="4"/>
  <c r="BE22" i="4"/>
  <c r="BC22" i="4" a="1"/>
  <c r="BC22" i="4" s="1"/>
  <c r="BB22" i="4"/>
  <c r="BA22" i="4"/>
  <c r="BA22" i="4" a="1"/>
  <c r="AZ22" i="4"/>
  <c r="AZ22" i="4" a="1"/>
  <c r="AY22" i="4" a="1"/>
  <c r="AY22" i="4" s="1"/>
  <c r="AX22" i="4" a="1"/>
  <c r="AX22" i="4" s="1"/>
  <c r="AV22" i="4" a="1"/>
  <c r="AV22" i="4" s="1"/>
  <c r="AT22" i="4" a="1"/>
  <c r="AT22" i="4" s="1"/>
  <c r="AR22" i="4" a="1"/>
  <c r="AR22" i="4" s="1"/>
  <c r="X22" i="4" s="1"/>
  <c r="AP22" i="4" a="1"/>
  <c r="AP22" i="4" s="1"/>
  <c r="AO22" i="4" a="1"/>
  <c r="AO22" i="4" s="1"/>
  <c r="AN22" i="4" a="1"/>
  <c r="AN22" i="4" s="1"/>
  <c r="AM22" i="4" a="1"/>
  <c r="AM22" i="4" s="1"/>
  <c r="AK22" i="4"/>
  <c r="AK22" i="4" a="1"/>
  <c r="AJ22" i="4" a="1"/>
  <c r="AJ22" i="4" s="1"/>
  <c r="Q22" i="4" s="1"/>
  <c r="AI22" i="4"/>
  <c r="AI22" i="4" a="1"/>
  <c r="AH22" i="4" a="1"/>
  <c r="AH22" i="4" s="1"/>
  <c r="AF22" i="4" a="1"/>
  <c r="AF22" i="4" s="1"/>
  <c r="S22" i="4" s="1"/>
  <c r="AE22" i="4" a="1"/>
  <c r="AE22" i="4" s="1"/>
  <c r="R22" i="4" s="1"/>
  <c r="AD22" i="4" a="1"/>
  <c r="AD22" i="4" s="1"/>
  <c r="AC22" i="4" a="1"/>
  <c r="AC22" i="4" s="1"/>
  <c r="K22" i="4" a="1"/>
  <c r="K22" i="4" s="1"/>
  <c r="P22" i="4" s="1"/>
  <c r="J22" i="4" a="1"/>
  <c r="J22" i="4" s="1"/>
  <c r="I22" i="4" a="1"/>
  <c r="I22" i="4" s="1"/>
  <c r="H22" i="4" a="1"/>
  <c r="H22" i="4" s="1"/>
  <c r="G22" i="4" a="1"/>
  <c r="G22" i="4" s="1"/>
  <c r="D22" i="4"/>
  <c r="D22" i="4" a="1"/>
  <c r="BH21" i="4"/>
  <c r="BG21" i="4"/>
  <c r="BF21" i="4"/>
  <c r="BE21" i="4"/>
  <c r="BC21" i="4" a="1"/>
  <c r="BC21" i="4" s="1"/>
  <c r="BB21" i="4"/>
  <c r="BA21" i="4"/>
  <c r="BA21" i="4" a="1"/>
  <c r="AZ21" i="4"/>
  <c r="AZ21" i="4" a="1"/>
  <c r="AY21" i="4"/>
  <c r="AY21" i="4" a="1"/>
  <c r="AX21" i="4" a="1"/>
  <c r="AX21" i="4" s="1"/>
  <c r="AV21" i="4" a="1"/>
  <c r="AV21" i="4" s="1"/>
  <c r="AT21" i="4" a="1"/>
  <c r="AT21" i="4" s="1"/>
  <c r="AR21" i="4" a="1"/>
  <c r="AR21" i="4" s="1"/>
  <c r="AP21" i="4" a="1"/>
  <c r="AP21" i="4" s="1"/>
  <c r="AO21" i="4" a="1"/>
  <c r="AO21" i="4" s="1"/>
  <c r="AN21" i="4" a="1"/>
  <c r="AN21" i="4" s="1"/>
  <c r="AM21" i="4"/>
  <c r="AM21" i="4" a="1"/>
  <c r="AK21" i="4"/>
  <c r="AK21" i="4" a="1"/>
  <c r="AJ21" i="4"/>
  <c r="AJ21" i="4" a="1"/>
  <c r="AI21" i="4" a="1"/>
  <c r="AI21" i="4" s="1"/>
  <c r="AH21" i="4"/>
  <c r="AH21" i="4" a="1"/>
  <c r="AF21" i="4" a="1"/>
  <c r="AF21" i="4" s="1"/>
  <c r="S21" i="4" s="1"/>
  <c r="AE21" i="4" a="1"/>
  <c r="AE21" i="4" s="1"/>
  <c r="R21" i="4" s="1"/>
  <c r="AD21" i="4"/>
  <c r="AD21" i="4" a="1"/>
  <c r="AC21" i="4" a="1"/>
  <c r="AC21" i="4" s="1"/>
  <c r="X21" i="4"/>
  <c r="K21" i="4" a="1"/>
  <c r="K21" i="4" s="1"/>
  <c r="J21" i="4" a="1"/>
  <c r="J21" i="4" s="1"/>
  <c r="I21" i="4" a="1"/>
  <c r="I21" i="4" s="1"/>
  <c r="H21" i="4"/>
  <c r="H21" i="4" a="1"/>
  <c r="G21" i="4"/>
  <c r="G21" i="4" a="1"/>
  <c r="D21" i="4"/>
  <c r="D21" i="4" a="1"/>
  <c r="BH20" i="4"/>
  <c r="BG20" i="4"/>
  <c r="BF20" i="4"/>
  <c r="BE20" i="4"/>
  <c r="BC20" i="4" a="1"/>
  <c r="BC20" i="4" s="1"/>
  <c r="BA20" i="4"/>
  <c r="BA20" i="4" a="1"/>
  <c r="AZ20" i="4" a="1"/>
  <c r="AZ20" i="4" s="1"/>
  <c r="BB20" i="4" s="1"/>
  <c r="AY20" i="4"/>
  <c r="AY20" i="4" a="1"/>
  <c r="AX20" i="4" a="1"/>
  <c r="AX20" i="4" s="1"/>
  <c r="AV20" i="4"/>
  <c r="AV20" i="4" a="1"/>
  <c r="AT20" i="4" a="1"/>
  <c r="AT20" i="4" s="1"/>
  <c r="AR20" i="4" a="1"/>
  <c r="AR20" i="4" s="1"/>
  <c r="AP20" i="4" a="1"/>
  <c r="AP20" i="4" s="1"/>
  <c r="AO20" i="4" a="1"/>
  <c r="AO20" i="4" s="1"/>
  <c r="AN20" i="4"/>
  <c r="AN20" i="4" a="1"/>
  <c r="AM20" i="4"/>
  <c r="AM20" i="4" a="1"/>
  <c r="AK20" i="4" a="1"/>
  <c r="AK20" i="4" s="1"/>
  <c r="AJ20" i="4" a="1"/>
  <c r="AJ20" i="4" s="1"/>
  <c r="AI20" i="4" a="1"/>
  <c r="AI20" i="4" s="1"/>
  <c r="AH20" i="4" a="1"/>
  <c r="AH20" i="4" s="1"/>
  <c r="AF20" i="4" a="1"/>
  <c r="AF20" i="4" s="1"/>
  <c r="S20" i="4" s="1"/>
  <c r="AE20" i="4" a="1"/>
  <c r="AE20" i="4" s="1"/>
  <c r="R20" i="4" s="1"/>
  <c r="AD20" i="4" a="1"/>
  <c r="AD20" i="4" s="1"/>
  <c r="AC20" i="4" a="1"/>
  <c r="AC20" i="4" s="1"/>
  <c r="Z20" i="4"/>
  <c r="Y20" i="4"/>
  <c r="X20" i="4"/>
  <c r="K20" i="4" a="1"/>
  <c r="K20" i="4" s="1"/>
  <c r="J20" i="4" a="1"/>
  <c r="J20" i="4" s="1"/>
  <c r="I20" i="4"/>
  <c r="I20" i="4" a="1"/>
  <c r="H20" i="4"/>
  <c r="H20" i="4" a="1"/>
  <c r="G20" i="4"/>
  <c r="G20" i="4" a="1"/>
  <c r="D20" i="4" a="1"/>
  <c r="D20" i="4" s="1"/>
  <c r="BH15" i="4"/>
  <c r="BG15" i="4"/>
  <c r="BF15" i="4"/>
  <c r="BE15" i="4"/>
  <c r="BC15" i="4"/>
  <c r="BC15" i="4" a="1"/>
  <c r="BA15" i="4" a="1"/>
  <c r="BA15" i="4" s="1"/>
  <c r="AZ15" i="4" a="1"/>
  <c r="AZ15" i="4" s="1"/>
  <c r="BB15" i="4" s="1"/>
  <c r="AY15" i="4"/>
  <c r="AY15" i="4" a="1"/>
  <c r="AX15" i="4"/>
  <c r="AX15" i="4" a="1"/>
  <c r="AV15" i="4"/>
  <c r="AV15" i="4" a="1"/>
  <c r="AT15" i="4" a="1"/>
  <c r="AT15" i="4" s="1"/>
  <c r="AR15" i="4" a="1"/>
  <c r="AR15" i="4" s="1"/>
  <c r="X15" i="4" s="1"/>
  <c r="AP15" i="4" a="1"/>
  <c r="AP15" i="4" s="1"/>
  <c r="AO15" i="4" a="1"/>
  <c r="AO15" i="4" s="1"/>
  <c r="AN15" i="4"/>
  <c r="AN15" i="4" a="1"/>
  <c r="AM15" i="4" a="1"/>
  <c r="AM15" i="4" s="1"/>
  <c r="AK15" i="4" a="1"/>
  <c r="AK15" i="4" s="1"/>
  <c r="AJ15" i="4"/>
  <c r="AJ15" i="4" a="1"/>
  <c r="AI15" i="4"/>
  <c r="AI15" i="4" a="1"/>
  <c r="AH15" i="4"/>
  <c r="AH15" i="4" a="1"/>
  <c r="AF15" i="4" a="1"/>
  <c r="AF15" i="4" s="1"/>
  <c r="AE15" i="4" a="1"/>
  <c r="AE15" i="4" s="1"/>
  <c r="AD15" i="4" a="1"/>
  <c r="AD15" i="4" s="1"/>
  <c r="AC15" i="4" a="1"/>
  <c r="AC15" i="4" s="1"/>
  <c r="K15" i="4" a="1"/>
  <c r="K15" i="4" s="1"/>
  <c r="J15" i="4" a="1"/>
  <c r="J15" i="4" s="1"/>
  <c r="I15" i="4" a="1"/>
  <c r="I15" i="4" s="1"/>
  <c r="H15" i="4" a="1"/>
  <c r="H15" i="4" s="1"/>
  <c r="G15" i="4"/>
  <c r="G15" i="4" a="1"/>
  <c r="D15" i="4"/>
  <c r="D15" i="4" a="1"/>
  <c r="BH14" i="4"/>
  <c r="BG14" i="4"/>
  <c r="BF14" i="4"/>
  <c r="BE14" i="4"/>
  <c r="BC14" i="4"/>
  <c r="BC14" i="4" a="1"/>
  <c r="BA14" i="4"/>
  <c r="BA14" i="4" a="1"/>
  <c r="AZ14" i="4" a="1"/>
  <c r="AZ14" i="4" s="1"/>
  <c r="BB14" i="4" s="1"/>
  <c r="AY14" i="4"/>
  <c r="AY14" i="4" a="1"/>
  <c r="AX14" i="4" a="1"/>
  <c r="AX14" i="4" s="1"/>
  <c r="AV14" i="4" a="1"/>
  <c r="AV14" i="4" s="1"/>
  <c r="AT14" i="4" a="1"/>
  <c r="AT14" i="4" s="1"/>
  <c r="AR14" i="4"/>
  <c r="X14" i="4" s="1"/>
  <c r="AR14" i="4" a="1"/>
  <c r="AP14" i="4" a="1"/>
  <c r="AP14" i="4" s="1"/>
  <c r="AO14" i="4" a="1"/>
  <c r="AO14" i="4" s="1"/>
  <c r="AN14" i="4" a="1"/>
  <c r="AN14" i="4" s="1"/>
  <c r="AM14" i="4" a="1"/>
  <c r="AM14" i="4" s="1"/>
  <c r="AK14" i="4"/>
  <c r="AK14" i="4" a="1"/>
  <c r="AJ14" i="4"/>
  <c r="AJ14" i="4" a="1"/>
  <c r="AI14" i="4"/>
  <c r="AI14" i="4" a="1"/>
  <c r="AH14" i="4" a="1"/>
  <c r="AH14" i="4" s="1"/>
  <c r="AF14" i="4" a="1"/>
  <c r="AF14" i="4" s="1"/>
  <c r="S14" i="4" s="1"/>
  <c r="AE14" i="4"/>
  <c r="R14" i="4" s="1"/>
  <c r="AE14" i="4" a="1"/>
  <c r="AD14" i="4" a="1"/>
  <c r="AD14" i="4" s="1"/>
  <c r="AC14" i="4" a="1"/>
  <c r="AC14" i="4" s="1"/>
  <c r="Q14" i="4"/>
  <c r="K14" i="4" a="1"/>
  <c r="K14" i="4" s="1"/>
  <c r="J14" i="4" a="1"/>
  <c r="J14" i="4" s="1"/>
  <c r="I14" i="4" a="1"/>
  <c r="I14" i="4" s="1"/>
  <c r="H14" i="4" a="1"/>
  <c r="H14" i="4" s="1"/>
  <c r="G14" i="4"/>
  <c r="G14" i="4" a="1"/>
  <c r="D14" i="4"/>
  <c r="D14" i="4" a="1"/>
  <c r="BH13" i="4"/>
  <c r="BG13" i="4"/>
  <c r="BF13" i="4"/>
  <c r="BE13" i="4"/>
  <c r="BC13" i="4" a="1"/>
  <c r="BC13" i="4" s="1"/>
  <c r="BA13" i="4" a="1"/>
  <c r="BA13" i="4" s="1"/>
  <c r="BB13" i="4" s="1"/>
  <c r="AZ13" i="4"/>
  <c r="AZ13" i="4" a="1"/>
  <c r="AY13" i="4"/>
  <c r="AY13" i="4" a="1"/>
  <c r="AX13" i="4"/>
  <c r="AX13" i="4" a="1"/>
  <c r="AV13" i="4" a="1"/>
  <c r="AV13" i="4" s="1"/>
  <c r="AT13" i="4" a="1"/>
  <c r="AT13" i="4" s="1"/>
  <c r="AR13" i="4"/>
  <c r="AR13" i="4" a="1"/>
  <c r="AP13" i="4" a="1"/>
  <c r="AP13" i="4" s="1"/>
  <c r="AO13" i="4" a="1"/>
  <c r="AO13" i="4" s="1"/>
  <c r="AN13" i="4" a="1"/>
  <c r="AN13" i="4" s="1"/>
  <c r="AM13" i="4"/>
  <c r="AM13" i="4" a="1"/>
  <c r="AK13" i="4"/>
  <c r="AK13" i="4" a="1"/>
  <c r="AJ13" i="4"/>
  <c r="AJ13" i="4" a="1"/>
  <c r="AI13" i="4"/>
  <c r="AI13" i="4" a="1"/>
  <c r="AH13" i="4" a="1"/>
  <c r="AH13" i="4" s="1"/>
  <c r="AF13" i="4"/>
  <c r="S13" i="4" s="1"/>
  <c r="AF13" i="4" a="1"/>
  <c r="AE13" i="4"/>
  <c r="R13" i="4" s="1"/>
  <c r="AE13" i="4" a="1"/>
  <c r="AD13" i="4" a="1"/>
  <c r="AD13" i="4" s="1"/>
  <c r="AC13" i="4" a="1"/>
  <c r="AC13" i="4" s="1"/>
  <c r="X13" i="4"/>
  <c r="K13" i="4"/>
  <c r="K13" i="4" a="1"/>
  <c r="J13" i="4" a="1"/>
  <c r="J13" i="4" s="1"/>
  <c r="I13" i="4" a="1"/>
  <c r="I13" i="4" s="1"/>
  <c r="H13" i="4"/>
  <c r="H13" i="4" a="1"/>
  <c r="G13" i="4" a="1"/>
  <c r="G13" i="4" s="1"/>
  <c r="D13" i="4"/>
  <c r="D13" i="4" a="1"/>
  <c r="BH12" i="4"/>
  <c r="BG12" i="4"/>
  <c r="BF12" i="4"/>
  <c r="BE12" i="4"/>
  <c r="BC12" i="4" a="1"/>
  <c r="BC12" i="4" s="1"/>
  <c r="BA12" i="4" a="1"/>
  <c r="BA12" i="4" s="1"/>
  <c r="AZ12" i="4"/>
  <c r="AZ12" i="4" a="1"/>
  <c r="AY12" i="4"/>
  <c r="AY12" i="4" a="1"/>
  <c r="AX12" i="4"/>
  <c r="AX12" i="4" a="1"/>
  <c r="AV12" i="4"/>
  <c r="AV12" i="4" a="1"/>
  <c r="AT12" i="4" a="1"/>
  <c r="AT12" i="4" s="1"/>
  <c r="Y12" i="4" s="1"/>
  <c r="AR12" i="4" a="1"/>
  <c r="AR12" i="4" s="1"/>
  <c r="AP12" i="4" a="1"/>
  <c r="AP12" i="4" s="1"/>
  <c r="AO12" i="4" a="1"/>
  <c r="AO12" i="4" s="1"/>
  <c r="AN12" i="4"/>
  <c r="AN12" i="4" a="1"/>
  <c r="AM12" i="4" a="1"/>
  <c r="AM12" i="4" s="1"/>
  <c r="AK12" i="4"/>
  <c r="AK12" i="4" a="1"/>
  <c r="AJ12" i="4" a="1"/>
  <c r="AJ12" i="4" s="1"/>
  <c r="AI12" i="4" a="1"/>
  <c r="AI12" i="4" s="1"/>
  <c r="AH12" i="4" a="1"/>
  <c r="AH12" i="4" s="1"/>
  <c r="AF12" i="4"/>
  <c r="S12" i="4" s="1"/>
  <c r="AF12" i="4" a="1"/>
  <c r="AE12" i="4" a="1"/>
  <c r="AE12" i="4" s="1"/>
  <c r="AD12" i="4" a="1"/>
  <c r="AD12" i="4" s="1"/>
  <c r="AC12" i="4" a="1"/>
  <c r="AC12" i="4" s="1"/>
  <c r="Z12" i="4"/>
  <c r="X12" i="4"/>
  <c r="R12" i="4"/>
  <c r="K12" i="4" a="1"/>
  <c r="K12" i="4" s="1"/>
  <c r="M12" i="4" s="1"/>
  <c r="J12" i="4" a="1"/>
  <c r="J12" i="4" s="1"/>
  <c r="I12" i="4" a="1"/>
  <c r="I12" i="4" s="1"/>
  <c r="H12" i="4"/>
  <c r="H12" i="4" a="1"/>
  <c r="G12" i="4" a="1"/>
  <c r="G12" i="4" s="1"/>
  <c r="D12" i="4"/>
  <c r="D12" i="4" a="1"/>
  <c r="BH11" i="4"/>
  <c r="BG11" i="4"/>
  <c r="BF11" i="4"/>
  <c r="BE11" i="4"/>
  <c r="BC11" i="4"/>
  <c r="BC11" i="4" a="1"/>
  <c r="BA11" i="4"/>
  <c r="BA11" i="4" a="1"/>
  <c r="AZ11" i="4"/>
  <c r="BB11" i="4" s="1"/>
  <c r="AZ11" i="4" a="1"/>
  <c r="AY11" i="4"/>
  <c r="AY11" i="4" a="1"/>
  <c r="AX11" i="4"/>
  <c r="AX11" i="4" a="1"/>
  <c r="AV11" i="4" a="1"/>
  <c r="AV11" i="4" s="1"/>
  <c r="AT11" i="4" a="1"/>
  <c r="AT11" i="4" s="1"/>
  <c r="AR11" i="4" a="1"/>
  <c r="AR11" i="4" s="1"/>
  <c r="X11" i="4" s="1"/>
  <c r="AP11" i="4"/>
  <c r="AP11" i="4" a="1"/>
  <c r="AO11" i="4" a="1"/>
  <c r="AO11" i="4" s="1"/>
  <c r="AN11" i="4"/>
  <c r="AN11" i="4" a="1"/>
  <c r="AM11" i="4"/>
  <c r="AM11" i="4" a="1"/>
  <c r="AK11" i="4"/>
  <c r="Q11" i="4" s="1"/>
  <c r="AK11" i="4" a="1"/>
  <c r="AJ11" i="4"/>
  <c r="AJ11" i="4" a="1"/>
  <c r="AI11" i="4" a="1"/>
  <c r="AI11" i="4" s="1"/>
  <c r="AH11" i="4"/>
  <c r="AH11" i="4" a="1"/>
  <c r="AF11" i="4" a="1"/>
  <c r="AF11" i="4" s="1"/>
  <c r="S11" i="4" s="1"/>
  <c r="AE11" i="4" a="1"/>
  <c r="AE11" i="4" s="1"/>
  <c r="AD11" i="4" a="1"/>
  <c r="AD11" i="4" s="1"/>
  <c r="AC11" i="4"/>
  <c r="AC11" i="4" a="1"/>
  <c r="P11" i="4"/>
  <c r="O11" i="4"/>
  <c r="M11" i="4"/>
  <c r="L11" i="4"/>
  <c r="K11" i="4" a="1"/>
  <c r="K11" i="4" s="1"/>
  <c r="J11" i="4" a="1"/>
  <c r="J11" i="4" s="1"/>
  <c r="I11" i="4" a="1"/>
  <c r="I11" i="4" s="1"/>
  <c r="H11" i="4" a="1"/>
  <c r="H11" i="4" s="1"/>
  <c r="G11" i="4"/>
  <c r="G11" i="4" a="1"/>
  <c r="D11" i="4"/>
  <c r="D11" i="4" a="1"/>
  <c r="BH10" i="4"/>
  <c r="BG10" i="4"/>
  <c r="BF10" i="4"/>
  <c r="BE10" i="4"/>
  <c r="BC10" i="4"/>
  <c r="BC10" i="4" a="1"/>
  <c r="BB10" i="4"/>
  <c r="BA10" i="4"/>
  <c r="BA10" i="4" a="1"/>
  <c r="AZ10" i="4"/>
  <c r="AZ10" i="4" a="1"/>
  <c r="AY10" i="4" a="1"/>
  <c r="AY10" i="4" s="1"/>
  <c r="AX10" i="4" a="1"/>
  <c r="AX10" i="4" s="1"/>
  <c r="AV10" i="4"/>
  <c r="AV10" i="4" a="1"/>
  <c r="AT10" i="4" a="1"/>
  <c r="AT10" i="4" s="1"/>
  <c r="AR10" i="4" a="1"/>
  <c r="AR10" i="4" s="1"/>
  <c r="AP10" i="4" a="1"/>
  <c r="AP10" i="4" s="1"/>
  <c r="AO10" i="4" a="1"/>
  <c r="AO10" i="4" s="1"/>
  <c r="V10" i="4" s="1"/>
  <c r="AN10" i="4" a="1"/>
  <c r="AN10" i="4" s="1"/>
  <c r="AM10" i="4"/>
  <c r="AM10" i="4" a="1"/>
  <c r="AK10" i="4" a="1"/>
  <c r="AK10" i="4" s="1"/>
  <c r="Q10" i="4" s="1"/>
  <c r="AJ10" i="4"/>
  <c r="AJ10" i="4" a="1"/>
  <c r="AI10" i="4" a="1"/>
  <c r="AI10" i="4" s="1"/>
  <c r="AH10" i="4" a="1"/>
  <c r="AH10" i="4" s="1"/>
  <c r="AF10" i="4"/>
  <c r="S10" i="4" s="1"/>
  <c r="AF10" i="4" a="1"/>
  <c r="AE10" i="4" a="1"/>
  <c r="AE10" i="4" s="1"/>
  <c r="AD10" i="4" a="1"/>
  <c r="AD10" i="4" s="1"/>
  <c r="AC10" i="4"/>
  <c r="AC10" i="4" a="1"/>
  <c r="X10" i="4"/>
  <c r="U10" i="4"/>
  <c r="R10" i="4"/>
  <c r="K10" i="4" a="1"/>
  <c r="K10" i="4" s="1"/>
  <c r="J10" i="4" a="1"/>
  <c r="J10" i="4" s="1"/>
  <c r="I10" i="4"/>
  <c r="I10" i="4" a="1"/>
  <c r="H10" i="4" a="1"/>
  <c r="H10" i="4" s="1"/>
  <c r="G10" i="4"/>
  <c r="G10" i="4" a="1"/>
  <c r="D10" i="4" a="1"/>
  <c r="D10" i="4" s="1"/>
  <c r="BH7" i="4"/>
  <c r="BG7" i="4"/>
  <c r="BF7" i="4"/>
  <c r="AP7" i="4"/>
  <c r="AO7" i="4"/>
  <c r="AN7" i="4"/>
  <c r="AK7" i="4"/>
  <c r="AJ7" i="4"/>
  <c r="AI7" i="4"/>
  <c r="AF7" i="4"/>
  <c r="AE7" i="4"/>
  <c r="AD7" i="4"/>
  <c r="R7" i="4" s="1"/>
  <c r="W7" i="4"/>
  <c r="V7" i="4"/>
  <c r="S7" i="4"/>
  <c r="Q7" i="4"/>
  <c r="P7" i="4"/>
  <c r="N7" i="4"/>
  <c r="M7" i="4"/>
  <c r="H7" i="4"/>
  <c r="G7" i="4"/>
  <c r="D6" i="4"/>
  <c r="F2" i="4"/>
  <c r="B8" i="5" l="1"/>
  <c r="G8" i="5"/>
  <c r="U23" i="4"/>
  <c r="W23" i="4"/>
  <c r="V23" i="4"/>
  <c r="Y23" i="4"/>
  <c r="Z23" i="4"/>
  <c r="W15" i="4"/>
  <c r="V15" i="4"/>
  <c r="U15" i="4"/>
  <c r="Y15" i="4"/>
  <c r="Z15" i="4"/>
  <c r="U22" i="4"/>
  <c r="W22" i="4"/>
  <c r="V22" i="4"/>
  <c r="Y22" i="4"/>
  <c r="Z22" i="4"/>
  <c r="U11" i="4"/>
  <c r="U43" i="4" s="1"/>
  <c r="Z11" i="4"/>
  <c r="Y11" i="4"/>
  <c r="V11" i="4"/>
  <c r="V17" i="4" s="1"/>
  <c r="W11" i="4"/>
  <c r="R15" i="4"/>
  <c r="Q34" i="4"/>
  <c r="P34" i="4"/>
  <c r="O34" i="4"/>
  <c r="N34" i="4"/>
  <c r="L34" i="4"/>
  <c r="F119" i="5"/>
  <c r="I119" i="5" s="1"/>
  <c r="O10" i="4"/>
  <c r="N10" i="4"/>
  <c r="L10" i="4"/>
  <c r="M10" i="4"/>
  <c r="P10" i="4"/>
  <c r="X37" i="4"/>
  <c r="S33" i="4"/>
  <c r="S37" i="4" s="1"/>
  <c r="M34" i="4"/>
  <c r="U13" i="4"/>
  <c r="U17" i="4" s="1"/>
  <c r="Z13" i="4"/>
  <c r="Y13" i="4"/>
  <c r="W13" i="4"/>
  <c r="V13" i="4"/>
  <c r="L12" i="4"/>
  <c r="T30" i="7"/>
  <c r="T14" i="7"/>
  <c r="T29" i="7"/>
  <c r="N12" i="4"/>
  <c r="X43" i="4"/>
  <c r="X39" i="4"/>
  <c r="X17" i="4"/>
  <c r="X44" i="4"/>
  <c r="P15" i="4"/>
  <c r="O15" i="4"/>
  <c r="N15" i="4"/>
  <c r="M15" i="4"/>
  <c r="L15" i="4"/>
  <c r="R24" i="4"/>
  <c r="N24" i="4"/>
  <c r="F79" i="5"/>
  <c r="I79" i="5" s="1"/>
  <c r="F179" i="5"/>
  <c r="I179" i="5" s="1"/>
  <c r="Q15" i="4"/>
  <c r="G15" i="5"/>
  <c r="B15" i="5"/>
  <c r="T26" i="7"/>
  <c r="T25" i="7"/>
  <c r="T23" i="7"/>
  <c r="F99" i="5"/>
  <c r="I99" i="5" s="1"/>
  <c r="G16" i="5"/>
  <c r="B16" i="5"/>
  <c r="X30" i="7"/>
  <c r="S24" i="4"/>
  <c r="F7" i="5"/>
  <c r="F69" i="5"/>
  <c r="I69" i="5" s="1"/>
  <c r="F169" i="5"/>
  <c r="I169" i="5" s="1"/>
  <c r="Q21" i="4"/>
  <c r="P21" i="4"/>
  <c r="O21" i="4"/>
  <c r="L21" i="4"/>
  <c r="N21" i="4"/>
  <c r="M21" i="4"/>
  <c r="Q13" i="4"/>
  <c r="P13" i="4"/>
  <c r="O13" i="4"/>
  <c r="L13" i="4"/>
  <c r="N13" i="4"/>
  <c r="M13" i="4"/>
  <c r="S15" i="4"/>
  <c r="S44" i="4" s="1"/>
  <c r="Q23" i="4"/>
  <c r="P23" i="4"/>
  <c r="O23" i="4"/>
  <c r="N23" i="4"/>
  <c r="M23" i="4"/>
  <c r="L23" i="4"/>
  <c r="W33" i="4"/>
  <c r="U33" i="4"/>
  <c r="Y33" i="4"/>
  <c r="Z33" i="4"/>
  <c r="V33" i="4"/>
  <c r="F159" i="5"/>
  <c r="I159" i="5" s="1"/>
  <c r="G24" i="5"/>
  <c r="B24" i="5"/>
  <c r="Y37" i="4"/>
  <c r="F149" i="5"/>
  <c r="I149" i="5" s="1"/>
  <c r="S23" i="4"/>
  <c r="S40" i="4" s="1"/>
  <c r="P12" i="4"/>
  <c r="Q12" i="4"/>
  <c r="Q39" i="4" s="1"/>
  <c r="O12" i="4"/>
  <c r="M20" i="4"/>
  <c r="O20" i="4"/>
  <c r="P20" i="4"/>
  <c r="Q20" i="4"/>
  <c r="N11" i="4"/>
  <c r="Z14" i="4"/>
  <c r="W14" i="4"/>
  <c r="V14" i="4"/>
  <c r="U14" i="4"/>
  <c r="Y14" i="4"/>
  <c r="L20" i="4"/>
  <c r="BB12" i="4"/>
  <c r="N20" i="4"/>
  <c r="L33" i="4"/>
  <c r="Q33" i="4"/>
  <c r="P33" i="4"/>
  <c r="P37" i="4" s="1"/>
  <c r="O33" i="4"/>
  <c r="N33" i="4"/>
  <c r="M33" i="4"/>
  <c r="G26" i="5"/>
  <c r="B26" i="5"/>
  <c r="X40" i="4"/>
  <c r="X41" i="4"/>
  <c r="X27" i="4"/>
  <c r="O30" i="4"/>
  <c r="M30" i="4"/>
  <c r="N30" i="4"/>
  <c r="V34" i="4"/>
  <c r="Z34" i="4"/>
  <c r="Y34" i="4"/>
  <c r="W34" i="4"/>
  <c r="U34" i="4"/>
  <c r="F139" i="5"/>
  <c r="I139" i="5" s="1"/>
  <c r="W10" i="4"/>
  <c r="Z10" i="4"/>
  <c r="Y10" i="4"/>
  <c r="P14" i="4"/>
  <c r="O14" i="4"/>
  <c r="N14" i="4"/>
  <c r="M14" i="4"/>
  <c r="L14" i="4"/>
  <c r="Y27" i="4"/>
  <c r="W21" i="4"/>
  <c r="U21" i="4"/>
  <c r="Y21" i="4"/>
  <c r="Y41" i="4" s="1"/>
  <c r="Z21" i="4"/>
  <c r="V21" i="4"/>
  <c r="L30" i="4"/>
  <c r="W35" i="4"/>
  <c r="U12" i="4"/>
  <c r="W20" i="4"/>
  <c r="P35" i="4"/>
  <c r="O35" i="4"/>
  <c r="N35" i="4"/>
  <c r="M35" i="4"/>
  <c r="G77" i="5"/>
  <c r="F77" i="5"/>
  <c r="I77" i="5" s="1"/>
  <c r="G87" i="5"/>
  <c r="F87" i="5"/>
  <c r="I87" i="5" s="1"/>
  <c r="G97" i="5"/>
  <c r="F97" i="5"/>
  <c r="I97" i="5" s="1"/>
  <c r="G107" i="5"/>
  <c r="F107" i="5"/>
  <c r="I107" i="5" s="1"/>
  <c r="G117" i="5"/>
  <c r="F117" i="5"/>
  <c r="I117" i="5" s="1"/>
  <c r="G127" i="5"/>
  <c r="F127" i="5"/>
  <c r="I127" i="5" s="1"/>
  <c r="G137" i="5"/>
  <c r="F137" i="5"/>
  <c r="I137" i="5" s="1"/>
  <c r="G147" i="5"/>
  <c r="F147" i="5"/>
  <c r="I147" i="5" s="1"/>
  <c r="G157" i="5"/>
  <c r="F157" i="5"/>
  <c r="I157" i="5" s="1"/>
  <c r="G167" i="5"/>
  <c r="F167" i="5"/>
  <c r="I167" i="5" s="1"/>
  <c r="G177" i="5"/>
  <c r="F177" i="5"/>
  <c r="I177" i="5" s="1"/>
  <c r="G25" i="5"/>
  <c r="B25" i="5"/>
  <c r="F31" i="5"/>
  <c r="F30" i="5"/>
  <c r="F29" i="5"/>
  <c r="F22" i="5"/>
  <c r="F28" i="5"/>
  <c r="F27" i="5"/>
  <c r="F20" i="5"/>
  <c r="U30" i="7"/>
  <c r="V30" i="7"/>
  <c r="U30" i="4"/>
  <c r="X25" i="7"/>
  <c r="L22" i="4"/>
  <c r="Z24" i="4"/>
  <c r="Z27" i="4" s="1"/>
  <c r="V30" i="4"/>
  <c r="V37" i="4" s="1"/>
  <c r="F12" i="5"/>
  <c r="Y26" i="7"/>
  <c r="F10" i="5"/>
  <c r="M22" i="4"/>
  <c r="U25" i="4"/>
  <c r="R31" i="4"/>
  <c r="R37" i="4" s="1"/>
  <c r="U32" i="4"/>
  <c r="G72" i="5"/>
  <c r="F72" i="5"/>
  <c r="I72" i="5" s="1"/>
  <c r="G82" i="5"/>
  <c r="F82" i="5"/>
  <c r="I82" i="5" s="1"/>
  <c r="G92" i="5"/>
  <c r="F92" i="5"/>
  <c r="I92" i="5" s="1"/>
  <c r="G102" i="5"/>
  <c r="F102" i="5"/>
  <c r="I102" i="5" s="1"/>
  <c r="G112" i="5"/>
  <c r="F112" i="5"/>
  <c r="I112" i="5" s="1"/>
  <c r="G122" i="5"/>
  <c r="F122" i="5"/>
  <c r="I122" i="5" s="1"/>
  <c r="G132" i="5"/>
  <c r="F132" i="5"/>
  <c r="I132" i="5" s="1"/>
  <c r="G142" i="5"/>
  <c r="F142" i="5"/>
  <c r="I142" i="5" s="1"/>
  <c r="G152" i="5"/>
  <c r="F152" i="5"/>
  <c r="I152" i="5" s="1"/>
  <c r="G162" i="5"/>
  <c r="F162" i="5"/>
  <c r="I162" i="5" s="1"/>
  <c r="G172" i="5"/>
  <c r="F172" i="5"/>
  <c r="I172" i="5" s="1"/>
  <c r="G182" i="5"/>
  <c r="F182" i="5"/>
  <c r="I182" i="5" s="1"/>
  <c r="Z25" i="7"/>
  <c r="Z23" i="7"/>
  <c r="Z26" i="7"/>
  <c r="Y30" i="7"/>
  <c r="Z30" i="7"/>
  <c r="Z29" i="7"/>
  <c r="R25" i="4"/>
  <c r="R41" i="4" s="1"/>
  <c r="N22" i="4"/>
  <c r="R35" i="4"/>
  <c r="F14" i="5"/>
  <c r="V12" i="4"/>
  <c r="V44" i="4" s="1"/>
  <c r="U20" i="4"/>
  <c r="O22" i="4"/>
  <c r="S35" i="4"/>
  <c r="W12" i="4"/>
  <c r="V20" i="4"/>
  <c r="Y31" i="4"/>
  <c r="W31" i="4"/>
  <c r="U31" i="4"/>
  <c r="M32" i="4"/>
  <c r="U14" i="7"/>
  <c r="V14" i="7"/>
  <c r="S25" i="7"/>
  <c r="V35" i="4"/>
  <c r="U35" i="4"/>
  <c r="F5" i="5"/>
  <c r="X14" i="7"/>
  <c r="X29" i="7"/>
  <c r="P25" i="4"/>
  <c r="O25" i="4"/>
  <c r="M25" i="4"/>
  <c r="N25" i="4"/>
  <c r="Z30" i="4"/>
  <c r="Z37" i="4" s="1"/>
  <c r="W30" i="4"/>
  <c r="W37" i="4" s="1"/>
  <c r="R11" i="4"/>
  <c r="R44" i="4" s="1"/>
  <c r="F21" i="5"/>
  <c r="F9" i="5"/>
  <c r="F13" i="5"/>
  <c r="F6" i="5"/>
  <c r="X23" i="7"/>
  <c r="Q25" i="4"/>
  <c r="R34" i="4"/>
  <c r="W14" i="7"/>
  <c r="W26" i="7"/>
  <c r="P24" i="4"/>
  <c r="N31" i="4"/>
  <c r="Q31" i="4"/>
  <c r="Q37" i="4" s="1"/>
  <c r="Q32" i="4"/>
  <c r="V25" i="4"/>
  <c r="L31" i="4"/>
  <c r="F23" i="5"/>
  <c r="Z14" i="7"/>
  <c r="Y25" i="7"/>
  <c r="S23" i="7"/>
  <c r="F11" i="5"/>
  <c r="F71" i="5"/>
  <c r="I71" i="5" s="1"/>
  <c r="F76" i="5"/>
  <c r="I76" i="5" s="1"/>
  <c r="F81" i="5"/>
  <c r="I81" i="5" s="1"/>
  <c r="F86" i="5"/>
  <c r="I86" i="5" s="1"/>
  <c r="F91" i="5"/>
  <c r="I91" i="5" s="1"/>
  <c r="F96" i="5"/>
  <c r="I96" i="5" s="1"/>
  <c r="F101" i="5"/>
  <c r="I101" i="5" s="1"/>
  <c r="F106" i="5"/>
  <c r="I106" i="5" s="1"/>
  <c r="F111" i="5"/>
  <c r="I111" i="5" s="1"/>
  <c r="F116" i="5"/>
  <c r="I116" i="5" s="1"/>
  <c r="F121" i="5"/>
  <c r="I121" i="5" s="1"/>
  <c r="F126" i="5"/>
  <c r="I126" i="5" s="1"/>
  <c r="F131" i="5"/>
  <c r="I131" i="5" s="1"/>
  <c r="F136" i="5"/>
  <c r="I136" i="5" s="1"/>
  <c r="F141" i="5"/>
  <c r="I141" i="5" s="1"/>
  <c r="F146" i="5"/>
  <c r="I146" i="5" s="1"/>
  <c r="F151" i="5"/>
  <c r="I151" i="5" s="1"/>
  <c r="F156" i="5"/>
  <c r="I156" i="5" s="1"/>
  <c r="F161" i="5"/>
  <c r="I161" i="5" s="1"/>
  <c r="F166" i="5"/>
  <c r="I166" i="5" s="1"/>
  <c r="F171" i="5"/>
  <c r="I171" i="5" s="1"/>
  <c r="F176" i="5"/>
  <c r="I176" i="5" s="1"/>
  <c r="F181" i="5"/>
  <c r="I181" i="5" s="1"/>
  <c r="X26" i="7"/>
  <c r="U23" i="7"/>
  <c r="V23" i="7"/>
  <c r="W23" i="7"/>
  <c r="S29" i="7"/>
  <c r="U29" i="7"/>
  <c r="V29" i="7"/>
  <c r="U25" i="7"/>
  <c r="Y29" i="7"/>
  <c r="V25" i="7"/>
  <c r="F186" i="2"/>
  <c r="F17" i="2" s="1"/>
  <c r="F164" i="2"/>
  <c r="F26" i="2" s="1"/>
  <c r="F143" i="2"/>
  <c r="F25" i="2" s="1"/>
  <c r="F122" i="2"/>
  <c r="F24" i="2" s="1"/>
  <c r="F103" i="2"/>
  <c r="F102" i="2"/>
  <c r="F104" i="2" s="1"/>
  <c r="F20" i="2" s="1"/>
  <c r="F101" i="2"/>
  <c r="F100" i="2"/>
  <c r="F99" i="2"/>
  <c r="F98" i="2"/>
  <c r="F97" i="2"/>
  <c r="F96" i="2"/>
  <c r="F95" i="2"/>
  <c r="F94" i="2"/>
  <c r="F93" i="2"/>
  <c r="F92" i="2"/>
  <c r="F91" i="2"/>
  <c r="F90" i="2"/>
  <c r="E81" i="2"/>
  <c r="F81" i="2" s="1"/>
  <c r="F80" i="2"/>
  <c r="E80" i="2"/>
  <c r="E79" i="2"/>
  <c r="F79" i="2" s="1"/>
  <c r="E78" i="2"/>
  <c r="F78" i="2" s="1"/>
  <c r="E77" i="2"/>
  <c r="F77" i="2" s="1"/>
  <c r="E76" i="2"/>
  <c r="F76" i="2" s="1"/>
  <c r="F75" i="2"/>
  <c r="E75" i="2"/>
  <c r="E74" i="2"/>
  <c r="F74" i="2" s="1"/>
  <c r="E73" i="2"/>
  <c r="F73" i="2" s="1"/>
  <c r="F72" i="2"/>
  <c r="E72" i="2"/>
  <c r="E71" i="2"/>
  <c r="F71" i="2" s="1"/>
  <c r="F70" i="2"/>
  <c r="E70" i="2"/>
  <c r="E69" i="2"/>
  <c r="F69" i="2" s="1"/>
  <c r="E68" i="2"/>
  <c r="F68" i="2" s="1"/>
  <c r="E67" i="2"/>
  <c r="F67" i="2" s="1"/>
  <c r="E66" i="2"/>
  <c r="F66" i="2" s="1"/>
  <c r="E65" i="2"/>
  <c r="F65" i="2" s="1"/>
  <c r="F64" i="2"/>
  <c r="E64" i="2"/>
  <c r="E63" i="2"/>
  <c r="F63" i="2" s="1"/>
  <c r="E62" i="2"/>
  <c r="F62" i="2" s="1"/>
  <c r="E61" i="2"/>
  <c r="F61" i="2" s="1"/>
  <c r="F60" i="2"/>
  <c r="E60" i="2"/>
  <c r="E59" i="2"/>
  <c r="F59" i="2" s="1"/>
  <c r="E58" i="2"/>
  <c r="F58" i="2" s="1"/>
  <c r="E57" i="2"/>
  <c r="F57" i="2" s="1"/>
  <c r="F48" i="2" a="1"/>
  <c r="F48" i="2" s="1"/>
  <c r="F35" i="2" s="1"/>
  <c r="E48" i="2" a="1"/>
  <c r="E48" i="2" s="1"/>
  <c r="E35" i="2" s="1"/>
  <c r="F47" i="2" a="1"/>
  <c r="F47" i="2" s="1"/>
  <c r="F34" i="2" s="1"/>
  <c r="E47" i="2" a="1"/>
  <c r="E47" i="2" s="1"/>
  <c r="E34" i="2" s="1"/>
  <c r="F43" i="2" a="1"/>
  <c r="F43" i="2" s="1"/>
  <c r="D35" i="2"/>
  <c r="D36" i="2" s="1"/>
  <c r="D34" i="2"/>
  <c r="F30" i="2"/>
  <c r="F29" i="2"/>
  <c r="F27" i="2"/>
  <c r="B19" i="2"/>
  <c r="F15" i="2"/>
  <c r="F6" i="2"/>
  <c r="B16" i="2" s="1"/>
  <c r="F4" i="2" a="1"/>
  <c r="F4" i="2" s="1"/>
  <c r="F44" i="2" s="1" a="1"/>
  <c r="F44" i="2" s="1"/>
  <c r="F45" i="2" s="1"/>
  <c r="F2" i="2" a="1"/>
  <c r="F2" i="2" s="1"/>
  <c r="B13" i="2" s="1"/>
  <c r="F18" i="2" l="1"/>
  <c r="E36" i="2"/>
  <c r="F36" i="2"/>
  <c r="F82" i="2"/>
  <c r="F85" i="2" s="1"/>
  <c r="F28" i="2"/>
  <c r="B29" i="5"/>
  <c r="G29" i="5"/>
  <c r="V39" i="4"/>
  <c r="B30" i="5"/>
  <c r="G30" i="5"/>
  <c r="M40" i="4"/>
  <c r="M41" i="4"/>
  <c r="M27" i="4"/>
  <c r="B7" i="5"/>
  <c r="G7" i="5"/>
  <c r="V43" i="4"/>
  <c r="G31" i="5"/>
  <c r="B31" i="5"/>
  <c r="U40" i="4"/>
  <c r="U41" i="4"/>
  <c r="U27" i="4"/>
  <c r="B10" i="5"/>
  <c r="G10" i="5"/>
  <c r="G11" i="5"/>
  <c r="B11" i="5"/>
  <c r="O41" i="4"/>
  <c r="O27" i="4"/>
  <c r="O40" i="4"/>
  <c r="G23" i="5"/>
  <c r="B23" i="5"/>
  <c r="Y43" i="4"/>
  <c r="Y44" i="4"/>
  <c r="Y39" i="4"/>
  <c r="Y17" i="4"/>
  <c r="Z43" i="4"/>
  <c r="Z39" i="4"/>
  <c r="Z44" i="4"/>
  <c r="Z17" i="4"/>
  <c r="R40" i="4"/>
  <c r="E82" i="2"/>
  <c r="F84" i="2" s="1"/>
  <c r="R27" i="4"/>
  <c r="S39" i="4"/>
  <c r="G14" i="5"/>
  <c r="B14" i="5"/>
  <c r="Z41" i="4"/>
  <c r="S43" i="4"/>
  <c r="U44" i="4"/>
  <c r="P17" i="4"/>
  <c r="P44" i="4"/>
  <c r="P39" i="4"/>
  <c r="P43" i="4"/>
  <c r="Q43" i="4"/>
  <c r="S17" i="4"/>
  <c r="W27" i="4"/>
  <c r="W41" i="4"/>
  <c r="W40" i="4"/>
  <c r="L40" i="4"/>
  <c r="L41" i="4"/>
  <c r="L27" i="4"/>
  <c r="U39" i="4"/>
  <c r="M43" i="4"/>
  <c r="M44" i="4"/>
  <c r="M39" i="4"/>
  <c r="M17" i="4"/>
  <c r="Q44" i="4"/>
  <c r="U37" i="4"/>
  <c r="R17" i="4"/>
  <c r="L43" i="4"/>
  <c r="L44" i="4"/>
  <c r="L39" i="4"/>
  <c r="L17" i="4"/>
  <c r="Q17" i="4"/>
  <c r="R39" i="4"/>
  <c r="N39" i="4"/>
  <c r="N44" i="4"/>
  <c r="N43" i="4"/>
  <c r="N17" i="4"/>
  <c r="N40" i="4"/>
  <c r="N41" i="4"/>
  <c r="N27" i="4"/>
  <c r="R43" i="4"/>
  <c r="O43" i="4"/>
  <c r="O39" i="4"/>
  <c r="O44" i="4"/>
  <c r="O17" i="4"/>
  <c r="G12" i="5"/>
  <c r="B12" i="5"/>
  <c r="Y40" i="4"/>
  <c r="L37" i="4"/>
  <c r="N37" i="4"/>
  <c r="G6" i="5"/>
  <c r="B6" i="5"/>
  <c r="G20" i="5"/>
  <c r="B20" i="5"/>
  <c r="F32" i="5"/>
  <c r="Z40" i="4"/>
  <c r="M37" i="4"/>
  <c r="S27" i="4"/>
  <c r="W39" i="4"/>
  <c r="W44" i="4"/>
  <c r="W43" i="4"/>
  <c r="W17" i="4"/>
  <c r="O37" i="4"/>
  <c r="S41" i="4"/>
  <c r="Q40" i="4"/>
  <c r="Q41" i="4"/>
  <c r="Q27" i="4"/>
  <c r="B5" i="5"/>
  <c r="F17" i="5"/>
  <c r="G17" i="5" s="1"/>
  <c r="G5" i="5"/>
  <c r="G13" i="5"/>
  <c r="B13" i="5"/>
  <c r="G27" i="5"/>
  <c r="B27" i="5"/>
  <c r="B9" i="5"/>
  <c r="G9" i="5"/>
  <c r="G28" i="5"/>
  <c r="B28" i="5"/>
  <c r="G21" i="5"/>
  <c r="B21" i="5"/>
  <c r="V40" i="4"/>
  <c r="V27" i="4"/>
  <c r="V41" i="4"/>
  <c r="G22" i="5"/>
  <c r="B22" i="5"/>
  <c r="P27" i="4"/>
  <c r="P40" i="4"/>
  <c r="P41" i="4"/>
  <c r="G32" i="5" l="1"/>
  <c r="F33" i="5"/>
  <c r="G33" i="5" s="1"/>
  <c r="F86" i="2"/>
  <c r="F19" i="2" s="1"/>
  <c r="F21" i="2" s="1"/>
  <c r="F22" i="2" s="1"/>
  <c r="F31" i="2" s="1"/>
  <c r="F40" i="2" l="1"/>
  <c r="E40" i="2"/>
  <c r="D40" i="2"/>
  <c r="F39" i="2"/>
  <c r="E39" i="2"/>
  <c r="D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Tate Wilson</author>
  </authors>
  <commentList>
    <comment ref="F7" authorId="0" shapeId="0" xr:uid="{2E78F0F9-04F4-4F67-849C-07EDE9FD7012}">
      <text>
        <r>
          <rPr>
            <b/>
            <sz val="9"/>
            <color indexed="81"/>
            <rFont val="Tahoma"/>
            <charset val="1"/>
          </rPr>
          <t>Tate Wilson:</t>
        </r>
        <r>
          <rPr>
            <sz val="9"/>
            <color indexed="81"/>
            <rFont val="Tahoma"/>
            <charset val="1"/>
          </rPr>
          <t xml:space="preserve">
=SPG("$"&amp;F5&amp;$F$4,"SP_PRICE_CLOSE",WORKDAY($F$6+1,-1),"Options: NA=NA")</t>
        </r>
      </text>
    </comment>
    <comment ref="F16" authorId="0" shapeId="0" xr:uid="{346234C1-1D43-43B3-9B50-E6B4CF796612}">
      <text>
        <r>
          <rPr>
            <b/>
            <sz val="9"/>
            <color indexed="81"/>
            <rFont val="Tahoma"/>
            <charset val="1"/>
          </rPr>
          <t>Tate Wilson:</t>
        </r>
        <r>
          <rPr>
            <sz val="9"/>
            <color indexed="81"/>
            <rFont val="Tahoma"/>
            <charset val="1"/>
          </rPr>
          <t xml:space="preserve">
=SPG($F$3,"SP_LASTSALEPRICE",$F$6,"Options:NA=NA,Curr="&amp;$F$5)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<sst xmlns="http://schemas.openxmlformats.org/spreadsheetml/2006/main" count="334" uniqueCount="170">
  <si>
    <t xml:space="preserve"> </t>
  </si>
  <si>
    <t>Name:</t>
  </si>
  <si>
    <t>Ticker:</t>
  </si>
  <si>
    <t>Input Currency:</t>
  </si>
  <si>
    <t>Output Currency:</t>
  </si>
  <si>
    <t>CAD</t>
  </si>
  <si>
    <t>Date:</t>
  </si>
  <si>
    <t>FX Rate:</t>
  </si>
  <si>
    <t>Toggles</t>
  </si>
  <si>
    <t>Dilutives Method:</t>
  </si>
  <si>
    <t>Treasury Stock</t>
  </si>
  <si>
    <t>Lease Toggle:</t>
  </si>
  <si>
    <t>ON</t>
  </si>
  <si>
    <t>Company Ticker:</t>
  </si>
  <si>
    <t>Basic Shares Outstanding</t>
  </si>
  <si>
    <t>Basic Market Cap</t>
  </si>
  <si>
    <t>ITM Convertible Debentures</t>
  </si>
  <si>
    <t>Fully-Diluted Shares Outstanding</t>
  </si>
  <si>
    <t>Fully-Diluted Market Cap</t>
  </si>
  <si>
    <t>Add: Debt</t>
  </si>
  <si>
    <t>Add: Leases</t>
  </si>
  <si>
    <t>Less: Cash</t>
  </si>
  <si>
    <t>Less: Cash from ITM Proceeds</t>
  </si>
  <si>
    <t>Net Debt</t>
  </si>
  <si>
    <t>Preferred Shares</t>
  </si>
  <si>
    <t>Non-Controlling Interest</t>
  </si>
  <si>
    <t>Enterprise Value</t>
  </si>
  <si>
    <t>Financial Metrics</t>
  </si>
  <si>
    <t>LTM</t>
  </si>
  <si>
    <t>CY2026</t>
  </si>
  <si>
    <t>CY2027</t>
  </si>
  <si>
    <t>Revenue</t>
  </si>
  <si>
    <t>Adj. EBITDA</t>
  </si>
  <si>
    <t>Adj. EBITDA Margin</t>
  </si>
  <si>
    <t>Valuation Metrics</t>
  </si>
  <si>
    <t>EV / Revenue</t>
  </si>
  <si>
    <t>EV / Adj. EBITDA</t>
  </si>
  <si>
    <t>Street Metrics</t>
  </si>
  <si>
    <t>Analyst Coverage (# of Analysts)</t>
  </si>
  <si>
    <t>Average Target Price</t>
  </si>
  <si>
    <t>% Upside vs. Current</t>
  </si>
  <si>
    <t>I. Non-Controlling Interest &amp; Preferred Shares</t>
  </si>
  <si>
    <t>Type</t>
  </si>
  <si>
    <t>Date</t>
  </si>
  <si>
    <t>Amount</t>
  </si>
  <si>
    <t>II. ITM OPTIONS, WARRANTS, RSUs, DSUs</t>
  </si>
  <si>
    <t>Strike</t>
  </si>
  <si>
    <t>ITM</t>
  </si>
  <si>
    <t>Proceeds</t>
  </si>
  <si>
    <t>Total</t>
  </si>
  <si>
    <t>Total ITM Options, Warrants, etc.</t>
  </si>
  <si>
    <t>Less: Total Repurchased and Cancelled</t>
  </si>
  <si>
    <t>Net ITM Options, Warrants, etc.</t>
  </si>
  <si>
    <t>III. ITM CONVERTIBLE DEBENTURES OR CONVERTIBLE PREFERRED SHARES</t>
  </si>
  <si>
    <t>Shares / $1,000</t>
  </si>
  <si>
    <t>Total ITM Convertible Debentures &amp; Preferreds</t>
  </si>
  <si>
    <t>IV. DEBT</t>
  </si>
  <si>
    <t>Total Debt</t>
  </si>
  <si>
    <t>V. LEASES</t>
  </si>
  <si>
    <t>VI. CASH</t>
  </si>
  <si>
    <t>Total Cash</t>
  </si>
  <si>
    <t>VII. BASIC SHARES OUTSTANDING</t>
  </si>
  <si>
    <t>Description</t>
  </si>
  <si>
    <t>Total Basic Shares Outstanding</t>
  </si>
  <si>
    <t>$F$2</t>
  </si>
  <si>
    <t>EV/Revenue</t>
  </si>
  <si>
    <t>EV/EBITDA</t>
  </si>
  <si>
    <t>Currency:</t>
  </si>
  <si>
    <t>Min</t>
  </si>
  <si>
    <t>Period:</t>
  </si>
  <si>
    <t>Max</t>
  </si>
  <si>
    <t>Price</t>
  </si>
  <si>
    <t>Native</t>
  </si>
  <si>
    <t>Market</t>
  </si>
  <si>
    <t>Enterprise</t>
  </si>
  <si>
    <t>EV / EBITDA</t>
  </si>
  <si>
    <t>Rev. Growth</t>
  </si>
  <si>
    <t>P / E</t>
  </si>
  <si>
    <t>ROE</t>
  </si>
  <si>
    <t>P / B</t>
  </si>
  <si>
    <t>P / TBV</t>
  </si>
  <si>
    <t>EBITDA</t>
  </si>
  <si>
    <t>EPS</t>
  </si>
  <si>
    <t>BVPS</t>
  </si>
  <si>
    <t>TBVPS</t>
  </si>
  <si>
    <t>Div.</t>
  </si>
  <si>
    <t>Book</t>
  </si>
  <si>
    <t>Cash &amp; ST</t>
  </si>
  <si>
    <t>Gross Margin (%)</t>
  </si>
  <si>
    <t>Company</t>
  </si>
  <si>
    <t>Currency</t>
  </si>
  <si>
    <t>Cap</t>
  </si>
  <si>
    <t>Value</t>
  </si>
  <si>
    <t>Current</t>
  </si>
  <si>
    <t>Yield</t>
  </si>
  <si>
    <t>Debt</t>
  </si>
  <si>
    <t>Investments</t>
  </si>
  <si>
    <t>Equity</t>
  </si>
  <si>
    <t>\</t>
  </si>
  <si>
    <t>[Group #1]</t>
  </si>
  <si>
    <t>Group Average</t>
  </si>
  <si>
    <t>[Group #2]</t>
  </si>
  <si>
    <t>[Group #3]</t>
  </si>
  <si>
    <t>Global Average</t>
  </si>
  <si>
    <t>Global Average (Excl. High / Low)</t>
  </si>
  <si>
    <t>Global Median</t>
  </si>
  <si>
    <t>25th Percentile</t>
  </si>
  <si>
    <t>75th Percentile</t>
  </si>
  <si>
    <t>Ownership</t>
  </si>
  <si>
    <t>Select Insiders</t>
  </si>
  <si>
    <t xml:space="preserve">(000s) </t>
  </si>
  <si>
    <t xml:space="preserve">% </t>
  </si>
  <si>
    <t>Subtotal</t>
  </si>
  <si>
    <t>Select Institutions</t>
  </si>
  <si>
    <t>Other Shareholders</t>
  </si>
  <si>
    <t>SEDI Name</t>
  </si>
  <si>
    <t>Basic</t>
  </si>
  <si>
    <t>Include</t>
  </si>
  <si>
    <t>Adj. #</t>
  </si>
  <si>
    <t>Adj. Name</t>
  </si>
  <si>
    <t>From Bloomberg</t>
  </si>
  <si>
    <t>Name</t>
  </si>
  <si>
    <t>Ticker</t>
  </si>
  <si>
    <t>View</t>
  </si>
  <si>
    <t>Sort By</t>
  </si>
  <si>
    <t>Order</t>
  </si>
  <si>
    <t>Holder Name</t>
  </si>
  <si>
    <t>Portfolio Name</t>
  </si>
  <si>
    <t>Position</t>
  </si>
  <si>
    <t>Latest Chg</t>
  </si>
  <si>
    <t>Filing Date</t>
  </si>
  <si>
    <t>Source</t>
  </si>
  <si>
    <t>% Out</t>
  </si>
  <si>
    <t>% Portfolio</t>
  </si>
  <si>
    <t>Insider Status</t>
  </si>
  <si>
    <t>Institution Type</t>
  </si>
  <si>
    <t>Metro Area</t>
  </si>
  <si>
    <t>Country</t>
  </si>
  <si>
    <t>Market Value</t>
  </si>
  <si>
    <t>Hold Period</t>
  </si>
  <si>
    <t>Cost (FIFO)</t>
  </si>
  <si>
    <t>Cost (LIFO)</t>
  </si>
  <si>
    <t>Cost (Avg.)</t>
  </si>
  <si>
    <t>Ret % (FIFO)</t>
  </si>
  <si>
    <t>Ret % (LIFO)</t>
  </si>
  <si>
    <t>Ret % (Avg)</t>
  </si>
  <si>
    <t>Output:</t>
  </si>
  <si>
    <t>USD</t>
  </si>
  <si>
    <t>Input</t>
  </si>
  <si>
    <t>(In US$MM, unless otherwise noted)</t>
  </si>
  <si>
    <t>TEV</t>
  </si>
  <si>
    <t>Revenue - Source FX</t>
  </si>
  <si>
    <t>Net Income - Source FX</t>
  </si>
  <si>
    <t>Adj. EBITDA - Source FX</t>
  </si>
  <si>
    <t>Book Value - Source FX</t>
  </si>
  <si>
    <t>P/ E</t>
  </si>
  <si>
    <t>Rev.</t>
  </si>
  <si>
    <t>Net Inc.</t>
  </si>
  <si>
    <t>FX</t>
  </si>
  <si>
    <t>Ann. Date</t>
  </si>
  <si>
    <t>Target</t>
  </si>
  <si>
    <t>Acquiror</t>
  </si>
  <si>
    <t>HQ</t>
  </si>
  <si>
    <t>Source FX</t>
  </si>
  <si>
    <t>(LTM)</t>
  </si>
  <si>
    <t>(NTM)</t>
  </si>
  <si>
    <t>BV</t>
  </si>
  <si>
    <t>TBV</t>
  </si>
  <si>
    <t>(Current)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</si>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</sst>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#,##0.000000"/>
    <numFmt numFmtId="165" formatCode="#,##0.0000\x_);\(#,##0.0000\x\);&quot;--&quot;"/>
    <numFmt numFmtId="166" formatCode="#,##0.0000_);\(#,##0.0000\);&quot;-- &quot;"/>
    <numFmt numFmtId="167" formatCode="&quot;$&quot;#,##0.00_);\(&quot;$&quot;#,##0.00\);&quot;--&quot;"/>
    <numFmt numFmtId="168" formatCode="#,##0.0_);\(#,##0.0\);&quot;-- &quot;"/>
    <numFmt numFmtId="169" formatCode="&quot;$&quot;#,##0.0_);\(&quot;$&quot;#,##0.0\);&quot;-- &quot;"/>
    <numFmt numFmtId="170" formatCode="&quot;$&quot;#,##0.00"/>
    <numFmt numFmtId="171" formatCode="&quot;$&quot;#,##0.0_);\(&quot;$&quot;#,##0.0\);\-\-_);&quot;--&quot;_)"/>
    <numFmt numFmtId="172" formatCode=";;;@"/>
    <numFmt numFmtId="173" formatCode=";;;@&quot;E&quot;"/>
    <numFmt numFmtId="174" formatCode="&quot;$&quot;#,##0.0_);\(&quot;$&quot;#,##0.0\);&quot;--&quot;"/>
    <numFmt numFmtId="175" formatCode="#,##0.0%_);\(#,##0.0%\);&quot;--&quot;"/>
    <numFmt numFmtId="176" formatCode="0.0\x_);\(0.0\x\);&quot;-- &quot;"/>
    <numFmt numFmtId="177" formatCode="#,##0\ &quot;Analysts&quot;_);\(#,##0\);\-\-_)"/>
    <numFmt numFmtId="178" formatCode="&quot;$&quot;#,##0.00_);\(&quot;$&quot;#,##0.00\);&quot;-- &quot;"/>
    <numFmt numFmtId="179" formatCode="0.0%_);\(0.0%\);&quot;-- &quot;"/>
    <numFmt numFmtId="180" formatCode="[$-1009]d\-mmm\-yy;@"/>
    <numFmt numFmtId="181" formatCode="0.0"/>
    <numFmt numFmtId="182" formatCode="&quot;$&quot;#,##0.0"/>
    <numFmt numFmtId="183" formatCode="#,##0.0"/>
    <numFmt numFmtId="186" formatCode="mmm\.\ d\,\ yyyy"/>
    <numFmt numFmtId="187" formatCode="&quot;$&quot;#,##0_);\(&quot;$&quot;#,##0\);&quot;-- &quot;"/>
    <numFmt numFmtId="188" formatCode="#,##0.0_);\(#,##0.0\);&quot;--&quot;"/>
    <numFmt numFmtId="189" formatCode="#,##0.0\x_);\(#,##0.0\x\);&quot;--&quot;"/>
    <numFmt numFmtId="191" formatCode="0.0%"/>
    <numFmt numFmtId="192" formatCode="#,##0,_);\(#,##0,\);&quot;-- &quot;"/>
    <numFmt numFmtId="193" formatCode="#,##0.0,_);\(#,##0.0,\);&quot;-- &quot;"/>
    <numFmt numFmtId="194" formatCode="#,##0_);\(#,##0\);&quot;-- &quot;"/>
    <numFmt numFmtId="195" formatCode="#,##0.00000\x_);\(#,##0.00000\x\);&quot;--&quot;"/>
    <numFmt numFmtId="196" formatCode="&quot;$&quot;#,##0_);\(&quot;$&quot;#,##0\);&quot;--&quot;"/>
  </numFmts>
  <fonts count="57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Palatino Linotype"/>
      <family val="1"/>
    </font>
    <font>
      <sz val="9"/>
      <color rgb="FF000000"/>
      <name val="Palatino Linotype"/>
      <family val="1"/>
    </font>
    <font>
      <sz val="11"/>
      <color theme="1"/>
      <name val="Aptos Narrow"/>
      <family val="2"/>
      <scheme val="minor"/>
    </font>
    <font>
      <i/>
      <sz val="9"/>
      <color rgb="FF000000"/>
      <name val="Palatino Linotype"/>
      <family val="1"/>
    </font>
    <font>
      <sz val="9"/>
      <color rgb="FFFF0000"/>
      <name val="Palatino Linotype"/>
      <family val="1"/>
    </font>
    <font>
      <sz val="9"/>
      <color rgb="FF0000FF"/>
      <name val="Palatino Linotype"/>
      <family val="1"/>
    </font>
    <font>
      <i/>
      <sz val="9"/>
      <name val="Palatino Linotype"/>
      <family val="1"/>
    </font>
    <font>
      <b/>
      <sz val="9"/>
      <color theme="1"/>
      <name val="Palatino Linotype"/>
      <family val="1"/>
    </font>
    <font>
      <b/>
      <u val="singleAccounting"/>
      <sz val="9"/>
      <color theme="0"/>
      <name val="Palatino Linotype"/>
      <family val="1"/>
    </font>
    <font>
      <b/>
      <sz val="9"/>
      <color theme="0"/>
      <name val="Palatino Linotype"/>
      <family val="1"/>
    </font>
    <font>
      <sz val="9"/>
      <name val="Palatino Linotype"/>
      <family val="1"/>
    </font>
    <font>
      <i/>
      <sz val="9"/>
      <color theme="1"/>
      <name val="Palatino Linotype"/>
      <family val="1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9"/>
      <color rgb="FF000000"/>
      <name val="Palatino Linotype"/>
      <family val="1"/>
    </font>
    <font>
      <sz val="9"/>
      <color rgb="FF008000"/>
      <name val="Palatino Linotype"/>
      <family val="1"/>
    </font>
    <font>
      <b/>
      <i/>
      <sz val="9"/>
      <color theme="1"/>
      <name val="Palatino Linotype"/>
      <family val="1"/>
    </font>
    <font>
      <b/>
      <u val="singleAccounting"/>
      <sz val="9"/>
      <color theme="1"/>
      <name val="Palatino Linotype"/>
      <family val="1"/>
    </font>
    <font>
      <sz val="9"/>
      <color rgb="FF800080"/>
      <name val="Palatino Linotype"/>
      <family val="1"/>
    </font>
    <font>
      <b/>
      <sz val="9"/>
      <color rgb="FFFFFFFF"/>
      <name val="Palatino Linotype"/>
      <family val="1"/>
    </font>
    <font>
      <b/>
      <sz val="9"/>
      <color rgb="FFFF0000"/>
      <name val="Palatino Linotype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6"/>
      <color rgb="FF000000"/>
      <name val="Arial"/>
      <family val="2"/>
    </font>
    <font>
      <b/>
      <i/>
      <sz val="9"/>
      <color theme="0"/>
      <name val="Palatino Linotype"/>
      <family val="1"/>
    </font>
    <font>
      <sz val="9"/>
      <color theme="0"/>
      <name val="Palatino Linotype"/>
      <family val="1"/>
    </font>
    <font>
      <b/>
      <u/>
      <sz val="9"/>
      <color rgb="FF000000"/>
      <name val="Palatino Linotype"/>
      <family val="1"/>
    </font>
    <font>
      <sz val="11"/>
      <color theme="1"/>
      <name val="Palatino Linotype"/>
      <family val="2"/>
    </font>
    <font>
      <b/>
      <sz val="9"/>
      <color rgb="FF0000FF"/>
      <name val="Palatino Linotype"/>
      <family val="1"/>
    </font>
    <font>
      <sz val="10"/>
      <color theme="1"/>
      <name val="Palatino Linotype"/>
      <family val="1"/>
    </font>
    <font>
      <b/>
      <sz val="11"/>
      <color theme="0"/>
      <name val="Palatino Linotype"/>
      <family val="1"/>
    </font>
    <font>
      <b/>
      <sz val="10"/>
      <color theme="0"/>
      <name val="Palatino Linotype"/>
      <family val="1"/>
    </font>
    <font>
      <b/>
      <sz val="12"/>
      <color theme="0"/>
      <name val="Palatino Linotype"/>
      <family val="1"/>
    </font>
    <font>
      <sz val="10"/>
      <color theme="0"/>
      <name val="Palatino Linotype"/>
      <family val="1"/>
    </font>
    <font>
      <b/>
      <sz val="10"/>
      <color theme="1"/>
      <name val="Palatino Linotype"/>
      <family val="1"/>
    </font>
    <font>
      <sz val="11"/>
      <color theme="1"/>
      <name val="Palatino Linotype"/>
      <family val="1"/>
    </font>
    <font>
      <sz val="10"/>
      <color rgb="FF000000"/>
      <name val="Palatino Linotype"/>
      <family val="1"/>
    </font>
    <font>
      <i/>
      <sz val="10"/>
      <color rgb="FF000000"/>
      <name val="Palatino Linotype"/>
      <family val="1"/>
    </font>
    <font>
      <i/>
      <sz val="10"/>
      <color theme="1"/>
      <name val="Palatino Linotype"/>
      <family val="1"/>
    </font>
    <font>
      <sz val="10"/>
      <color rgb="FF0000FF"/>
      <name val="Palatino Linotype"/>
      <family val="1"/>
    </font>
    <font>
      <b/>
      <sz val="11"/>
      <color theme="1"/>
      <name val="Palatino Linotype"/>
      <family val="1"/>
    </font>
    <font>
      <b/>
      <i/>
      <sz val="10"/>
      <color theme="1"/>
      <name val="Palatino Linotype"/>
      <family val="1"/>
    </font>
    <font>
      <b/>
      <sz val="10"/>
      <color rgb="FF000000"/>
      <name val="Palatino Linotype"/>
      <family val="1"/>
    </font>
    <font>
      <b/>
      <i/>
      <sz val="10"/>
      <color theme="0"/>
      <name val="Palatino Linotype"/>
      <family val="1"/>
    </font>
    <font>
      <b/>
      <sz val="10"/>
      <color rgb="FFFFFFFF"/>
      <name val="Palatino Linotype"/>
      <family val="1"/>
    </font>
    <font>
      <sz val="10"/>
      <color rgb="FFFFFFFF"/>
      <name val="Palatino Linotype"/>
      <family val="1"/>
    </font>
    <font>
      <sz val="10"/>
      <color rgb="FF008000"/>
      <name val="Palatino Linotype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u/>
      <sz val="9"/>
      <color theme="1"/>
      <name val="Palatino Linotype"/>
      <family val="1"/>
    </font>
    <font>
      <u/>
      <sz val="11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E5E3E3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E213F"/>
        <bgColor rgb="FF000000"/>
      </patternFill>
    </fill>
    <fill>
      <gradientFill>
        <stop position="0">
          <color theme="4" tint="0.59999389629810485"/>
        </stop>
        <stop position="0.5">
          <color theme="4" tint="0.80001220740379042"/>
        </stop>
        <stop position="1">
          <color theme="4" tint="0.59999389629810485"/>
        </stop>
      </gradientFill>
    </fill>
    <fill>
      <gradientFill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patternFill patternType="solid">
        <fgColor theme="9" tint="0.79998168889431442"/>
        <bgColor indexed="64"/>
      </pattern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indexed="8"/>
      </bottom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n">
        <color theme="0"/>
      </right>
      <top style="thin">
        <color indexed="8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/>
      <top style="thin">
        <color indexed="8"/>
      </top>
      <bottom/>
      <diagonal/>
    </border>
    <border>
      <left style="thin">
        <color rgb="FFFFFFFF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8DB4E2"/>
      </bottom>
      <diagonal/>
    </border>
    <border>
      <left/>
      <right/>
      <top style="thin">
        <color rgb="FF000000"/>
      </top>
      <bottom style="thin">
        <color rgb="FF8DB4E2"/>
      </bottom>
      <diagonal/>
    </border>
    <border>
      <left style="thin">
        <color rgb="FF8DB4E2"/>
      </left>
      <right/>
      <top style="thin">
        <color rgb="FF000000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000000"/>
      </top>
      <bottom style="thin">
        <color rgb="FF8DB4E2"/>
      </bottom>
      <diagonal/>
    </border>
    <border>
      <left style="thin">
        <color rgb="FF8DB4E2"/>
      </left>
      <right style="thin">
        <color rgb="FF000000"/>
      </right>
      <top style="thin">
        <color rgb="FF000000"/>
      </top>
      <bottom style="thin">
        <color rgb="FF8DB4E2"/>
      </bottom>
      <diagonal/>
    </border>
    <border>
      <left style="thin">
        <color rgb="FF000000"/>
      </left>
      <right/>
      <top style="thin">
        <color rgb="FF8DB4E2"/>
      </top>
      <bottom style="thin">
        <color rgb="FF8DB4E2"/>
      </bottom>
      <diagonal/>
    </border>
    <border>
      <left/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000000"/>
      </right>
      <top style="thin">
        <color rgb="FF8DB4E2"/>
      </top>
      <bottom style="thin">
        <color rgb="FF8DB4E2"/>
      </bottom>
      <diagonal/>
    </border>
    <border>
      <left style="thin">
        <color rgb="FF000000"/>
      </left>
      <right/>
      <top style="thin">
        <color rgb="FF8DB4E2"/>
      </top>
      <bottom style="thin">
        <color rgb="FF000000"/>
      </bottom>
      <diagonal/>
    </border>
    <border>
      <left/>
      <right/>
      <top style="thin">
        <color rgb="FF8DB4E2"/>
      </top>
      <bottom style="thin">
        <color rgb="FF000000"/>
      </bottom>
      <diagonal/>
    </border>
    <border>
      <left style="thin">
        <color rgb="FF8DB4E2"/>
      </left>
      <right/>
      <top style="thin">
        <color rgb="FF8DB4E2"/>
      </top>
      <bottom style="thin">
        <color rgb="FF000000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000000"/>
      </bottom>
      <diagonal/>
    </border>
    <border>
      <left style="thin">
        <color rgb="FF8DB4E2"/>
      </left>
      <right style="thin">
        <color rgb="FF000000"/>
      </right>
      <top style="thin">
        <color rgb="FF8DB4E2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4" fillId="0" borderId="0"/>
    <xf numFmtId="0" fontId="4" fillId="2" borderId="1" applyNumberFormat="0" applyFont="0" applyAlignment="0" applyProtection="0"/>
    <xf numFmtId="0" fontId="4" fillId="0" borderId="0"/>
    <xf numFmtId="0" fontId="4" fillId="0" borderId="0"/>
    <xf numFmtId="0" fontId="1" fillId="0" borderId="0"/>
    <xf numFmtId="0" fontId="29" fillId="0" borderId="0"/>
    <xf numFmtId="9" fontId="4" fillId="0" borderId="0"/>
    <xf numFmtId="0" fontId="4" fillId="2" borderId="1"/>
    <xf numFmtId="0" fontId="56" fillId="0" borderId="0"/>
  </cellStyleXfs>
  <cellXfs count="373">
    <xf numFmtId="0" fontId="0" fillId="0" borderId="0" xfId="0"/>
    <xf numFmtId="0" fontId="2" fillId="0" borderId="0" xfId="1" applyFont="1"/>
    <xf numFmtId="15" fontId="3" fillId="0" borderId="0" xfId="1" applyNumberFormat="1" applyFont="1" applyAlignment="1">
      <alignment horizontal="right"/>
    </xf>
    <xf numFmtId="164" fontId="5" fillId="0" borderId="0" xfId="2" applyNumberFormat="1" applyFont="1" applyAlignment="1">
      <alignment horizontal="right"/>
    </xf>
    <xf numFmtId="0" fontId="6" fillId="0" borderId="0" xfId="1" applyFont="1"/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horizontal="right" vertical="center"/>
    </xf>
    <xf numFmtId="0" fontId="2" fillId="0" borderId="5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7" fillId="3" borderId="6" xfId="1" applyFont="1" applyFill="1" applyBorder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15" fontId="3" fillId="0" borderId="6" xfId="3" applyNumberFormat="1" applyFont="1" applyFill="1" applyBorder="1" applyAlignment="1">
      <alignment horizontal="right" vertical="center"/>
    </xf>
    <xf numFmtId="165" fontId="3" fillId="0" borderId="6" xfId="1" applyNumberFormat="1" applyFont="1" applyBorder="1" applyAlignment="1">
      <alignment horizontal="right" vertical="center"/>
    </xf>
    <xf numFmtId="15" fontId="7" fillId="0" borderId="0" xfId="1" applyNumberFormat="1" applyFont="1" applyAlignment="1">
      <alignment horizontal="right"/>
    </xf>
    <xf numFmtId="0" fontId="8" fillId="0" borderId="0" xfId="2" applyFont="1" applyAlignment="1">
      <alignment horizontal="right"/>
    </xf>
    <xf numFmtId="0" fontId="2" fillId="0" borderId="5" xfId="1" applyFont="1" applyBorder="1"/>
    <xf numFmtId="166" fontId="3" fillId="0" borderId="6" xfId="1" applyNumberFormat="1" applyFont="1" applyBorder="1" applyAlignment="1">
      <alignment horizontal="right"/>
    </xf>
    <xf numFmtId="0" fontId="9" fillId="0" borderId="7" xfId="1" applyFont="1" applyBorder="1"/>
    <xf numFmtId="0" fontId="2" fillId="0" borderId="8" xfId="1" applyFont="1" applyBorder="1"/>
    <xf numFmtId="0" fontId="2" fillId="0" borderId="5" xfId="1" applyFont="1" applyBorder="1" applyAlignment="1">
      <alignment horizontal="left" vertical="center"/>
    </xf>
    <xf numFmtId="15" fontId="3" fillId="4" borderId="9" xfId="1" applyNumberFormat="1" applyFont="1" applyFill="1" applyBorder="1" applyAlignment="1">
      <alignment horizontal="center" vertical="center"/>
    </xf>
    <xf numFmtId="15" fontId="2" fillId="0" borderId="10" xfId="1" applyNumberFormat="1" applyFont="1" applyBorder="1" applyAlignment="1">
      <alignment horizontal="left" vertical="center"/>
    </xf>
    <xf numFmtId="0" fontId="2" fillId="0" borderId="11" xfId="1" applyFont="1" applyBorder="1"/>
    <xf numFmtId="0" fontId="2" fillId="5" borderId="12" xfId="1" applyFont="1" applyFill="1" applyBorder="1" applyAlignment="1">
      <alignment horizontal="center" vertical="center"/>
    </xf>
    <xf numFmtId="166" fontId="3" fillId="0" borderId="0" xfId="1" applyNumberFormat="1" applyFont="1" applyAlignment="1">
      <alignment horizontal="right"/>
    </xf>
    <xf numFmtId="0" fontId="10" fillId="6" borderId="11" xfId="2" quotePrefix="1" applyFont="1" applyFill="1" applyBorder="1" applyAlignment="1">
      <alignment horizontal="centerContinuous" vertical="center"/>
    </xf>
    <xf numFmtId="0" fontId="11" fillId="6" borderId="11" xfId="2" applyFont="1" applyFill="1" applyBorder="1" applyAlignment="1">
      <alignment horizontal="centerContinuous" vertical="center"/>
    </xf>
    <xf numFmtId="0" fontId="9" fillId="0" borderId="0" xfId="1" quotePrefix="1" applyFont="1"/>
    <xf numFmtId="0" fontId="9" fillId="0" borderId="0" xfId="1" applyFont="1"/>
    <xf numFmtId="0" fontId="9" fillId="0" borderId="0" xfId="1" applyFont="1" applyAlignment="1">
      <alignment horizontal="right"/>
    </xf>
    <xf numFmtId="0" fontId="2" fillId="0" borderId="0" xfId="1" applyFont="1" applyAlignment="1">
      <alignment horizontal="left" vertical="center" indent="1"/>
    </xf>
    <xf numFmtId="0" fontId="2" fillId="0" borderId="0" xfId="1" applyFont="1" applyAlignment="1">
      <alignment horizontal="right" vertical="center" indent="1"/>
    </xf>
    <xf numFmtId="167" fontId="12" fillId="0" borderId="0" xfId="1" applyNumberFormat="1" applyFont="1" applyAlignment="1">
      <alignment horizontal="right" vertical="center" indent="1"/>
    </xf>
    <xf numFmtId="0" fontId="2" fillId="0" borderId="0" xfId="1" applyFont="1" applyAlignment="1">
      <alignment horizontal="left" vertical="center" indent="2"/>
    </xf>
    <xf numFmtId="168" fontId="3" fillId="0" borderId="0" xfId="1" applyNumberFormat="1" applyFont="1" applyAlignment="1">
      <alignment horizontal="right" vertical="center" indent="1"/>
    </xf>
    <xf numFmtId="0" fontId="13" fillId="0" borderId="0" xfId="1" applyFont="1" applyAlignment="1">
      <alignment horizontal="center"/>
    </xf>
    <xf numFmtId="0" fontId="2" fillId="0" borderId="13" xfId="1" applyFont="1" applyBorder="1" applyAlignment="1">
      <alignment horizontal="left" vertical="center" indent="1"/>
    </xf>
    <xf numFmtId="0" fontId="2" fillId="0" borderId="13" xfId="1" applyFont="1" applyBorder="1"/>
    <xf numFmtId="169" fontId="3" fillId="0" borderId="14" xfId="1" applyNumberFormat="1" applyFont="1" applyBorder="1" applyAlignment="1">
      <alignment horizontal="right" vertical="center" indent="1"/>
    </xf>
    <xf numFmtId="0" fontId="14" fillId="0" borderId="0" xfId="2" applyFont="1"/>
    <xf numFmtId="0" fontId="15" fillId="0" borderId="0" xfId="2" applyFont="1" applyAlignment="1">
      <alignment horizontal="center"/>
    </xf>
    <xf numFmtId="168" fontId="3" fillId="0" borderId="13" xfId="1" applyNumberFormat="1" applyFont="1" applyBorder="1" applyAlignment="1">
      <alignment horizontal="right" vertical="center" indent="1"/>
    </xf>
    <xf numFmtId="0" fontId="9" fillId="0" borderId="15" xfId="1" applyFont="1" applyBorder="1" applyAlignment="1">
      <alignment horizontal="left" vertical="center" indent="1"/>
    </xf>
    <xf numFmtId="0" fontId="9" fillId="0" borderId="15" xfId="1" applyFont="1" applyBorder="1"/>
    <xf numFmtId="169" fontId="16" fillId="0" borderId="15" xfId="1" applyNumberFormat="1" applyFont="1" applyBorder="1" applyAlignment="1">
      <alignment horizontal="right" vertical="center" indent="1"/>
    </xf>
    <xf numFmtId="170" fontId="6" fillId="0" borderId="0" xfId="1" applyNumberFormat="1" applyFont="1"/>
    <xf numFmtId="169" fontId="3" fillId="0" borderId="0" xfId="1" applyNumberFormat="1" applyFont="1" applyAlignment="1">
      <alignment horizontal="right" vertical="center" indent="1"/>
    </xf>
    <xf numFmtId="0" fontId="2" fillId="0" borderId="16" xfId="1" applyFont="1" applyBorder="1" applyAlignment="1">
      <alignment horizontal="left" vertical="center" indent="1"/>
    </xf>
    <xf numFmtId="0" fontId="2" fillId="0" borderId="16" xfId="1" applyFont="1" applyBorder="1"/>
    <xf numFmtId="169" fontId="3" fillId="0" borderId="16" xfId="1" applyNumberFormat="1" applyFont="1" applyBorder="1" applyAlignment="1">
      <alignment horizontal="right" vertical="center" indent="1"/>
    </xf>
    <xf numFmtId="0" fontId="12" fillId="0" borderId="0" xfId="4" applyFont="1" applyAlignment="1">
      <alignment horizontal="left" vertical="center" indent="1"/>
    </xf>
    <xf numFmtId="0" fontId="12" fillId="0" borderId="0" xfId="4" applyFont="1"/>
    <xf numFmtId="168" fontId="3" fillId="0" borderId="0" xfId="2" applyNumberFormat="1" applyFont="1" applyAlignment="1">
      <alignment horizontal="right"/>
    </xf>
    <xf numFmtId="171" fontId="3" fillId="0" borderId="0" xfId="4" applyNumberFormat="1" applyFont="1" applyAlignment="1">
      <alignment horizontal="right" vertical="center" indent="1"/>
    </xf>
    <xf numFmtId="0" fontId="2" fillId="0" borderId="0" xfId="2" applyFont="1"/>
    <xf numFmtId="0" fontId="6" fillId="0" borderId="0" xfId="2" applyFont="1"/>
    <xf numFmtId="0" fontId="2" fillId="0" borderId="0" xfId="4" applyFont="1"/>
    <xf numFmtId="0" fontId="12" fillId="0" borderId="17" xfId="4" applyFont="1" applyBorder="1" applyAlignment="1">
      <alignment horizontal="left" vertical="center" indent="1"/>
    </xf>
    <xf numFmtId="0" fontId="12" fillId="0" borderId="17" xfId="4" applyFont="1" applyBorder="1"/>
    <xf numFmtId="168" fontId="3" fillId="0" borderId="17" xfId="2" applyNumberFormat="1" applyFont="1" applyBorder="1" applyAlignment="1">
      <alignment horizontal="right"/>
    </xf>
    <xf numFmtId="0" fontId="2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169" fontId="17" fillId="0" borderId="0" xfId="1" applyNumberFormat="1" applyFont="1" applyAlignment="1">
      <alignment horizontal="right" vertical="center"/>
    </xf>
    <xf numFmtId="0" fontId="18" fillId="0" borderId="0" xfId="1" applyFont="1" applyAlignment="1">
      <alignment horizontal="left" vertical="center"/>
    </xf>
    <xf numFmtId="172" fontId="19" fillId="0" borderId="0" xfId="1" quotePrefix="1" applyNumberFormat="1" applyFont="1" applyAlignment="1">
      <alignment horizontal="center" vertical="center"/>
    </xf>
    <xf numFmtId="173" fontId="19" fillId="0" borderId="0" xfId="1" quotePrefix="1" applyNumberFormat="1" applyFont="1" applyAlignment="1">
      <alignment horizontal="center" vertical="center"/>
    </xf>
    <xf numFmtId="174" fontId="3" fillId="0" borderId="0" xfId="1" applyNumberFormat="1" applyFont="1" applyAlignment="1">
      <alignment horizontal="right" vertical="center"/>
    </xf>
    <xf numFmtId="169" fontId="3" fillId="0" borderId="0" xfId="1" applyNumberFormat="1" applyFont="1" applyAlignment="1">
      <alignment horizontal="right" vertical="center"/>
    </xf>
    <xf numFmtId="175" fontId="3" fillId="0" borderId="0" xfId="1" applyNumberFormat="1" applyFont="1" applyAlignment="1">
      <alignment horizontal="right" vertical="center"/>
    </xf>
    <xf numFmtId="169" fontId="3" fillId="0" borderId="0" xfId="1" applyNumberFormat="1" applyFont="1" applyAlignment="1">
      <alignment horizontal="right"/>
    </xf>
    <xf numFmtId="0" fontId="2" fillId="0" borderId="0" xfId="1" applyFont="1" applyAlignment="1">
      <alignment horizontal="right"/>
    </xf>
    <xf numFmtId="176" fontId="3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right"/>
    </xf>
    <xf numFmtId="176" fontId="2" fillId="0" borderId="0" xfId="1" applyNumberFormat="1" applyFont="1" applyAlignment="1">
      <alignment horizontal="right" indent="1"/>
    </xf>
    <xf numFmtId="0" fontId="2" fillId="0" borderId="0" xfId="5" applyFont="1" applyAlignment="1">
      <alignment horizontal="left" vertical="center" indent="1"/>
    </xf>
    <xf numFmtId="177" fontId="3" fillId="0" borderId="0" xfId="5" applyNumberFormat="1" applyFont="1" applyAlignment="1">
      <alignment horizontal="right" vertical="center"/>
    </xf>
    <xf numFmtId="3" fontId="6" fillId="0" borderId="0" xfId="1" applyNumberFormat="1" applyFont="1" applyAlignment="1">
      <alignment horizontal="right"/>
    </xf>
    <xf numFmtId="3" fontId="2" fillId="0" borderId="0" xfId="1" applyNumberFormat="1" applyFont="1" applyAlignment="1">
      <alignment horizontal="right"/>
    </xf>
    <xf numFmtId="178" fontId="3" fillId="0" borderId="0" xfId="5" applyNumberFormat="1" applyFont="1" applyAlignment="1">
      <alignment horizontal="right" vertical="center"/>
    </xf>
    <xf numFmtId="0" fontId="13" fillId="0" borderId="0" xfId="5" applyFont="1" applyAlignment="1">
      <alignment horizontal="left" vertical="center" indent="2"/>
    </xf>
    <xf numFmtId="179" fontId="3" fillId="0" borderId="0" xfId="1" applyNumberFormat="1" applyFont="1" applyAlignment="1">
      <alignment horizontal="right" vertical="center"/>
    </xf>
    <xf numFmtId="169" fontId="17" fillId="0" borderId="0" xfId="1" applyNumberFormat="1" applyFont="1" applyAlignment="1">
      <alignment horizontal="right" indent="1"/>
    </xf>
    <xf numFmtId="169" fontId="7" fillId="3" borderId="0" xfId="1" applyNumberFormat="1" applyFont="1" applyFill="1" applyAlignment="1">
      <alignment horizontal="right"/>
    </xf>
    <xf numFmtId="169" fontId="20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left" indent="1"/>
    </xf>
    <xf numFmtId="169" fontId="20" fillId="0" borderId="0" xfId="1" applyNumberFormat="1" applyFont="1" applyAlignment="1">
      <alignment horizontal="right" indent="1"/>
    </xf>
    <xf numFmtId="0" fontId="10" fillId="7" borderId="0" xfId="2" quotePrefix="1" applyFont="1" applyFill="1" applyAlignment="1">
      <alignment horizontal="centerContinuous" vertical="center"/>
    </xf>
    <xf numFmtId="0" fontId="10" fillId="7" borderId="0" xfId="2" applyFont="1" applyFill="1" applyAlignment="1">
      <alignment horizontal="centerContinuous" vertical="center"/>
    </xf>
    <xf numFmtId="0" fontId="11" fillId="7" borderId="18" xfId="2" applyFont="1" applyFill="1" applyBorder="1" applyAlignment="1">
      <alignment vertical="center"/>
    </xf>
    <xf numFmtId="0" fontId="11" fillId="7" borderId="18" xfId="2" applyFont="1" applyFill="1" applyBorder="1" applyAlignment="1">
      <alignment horizontal="center" vertical="center"/>
    </xf>
    <xf numFmtId="0" fontId="21" fillId="7" borderId="18" xfId="2" applyFont="1" applyFill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 indent="1"/>
    </xf>
    <xf numFmtId="180" fontId="7" fillId="3" borderId="0" xfId="1" applyNumberFormat="1" applyFont="1" applyFill="1" applyAlignment="1">
      <alignment horizontal="right"/>
    </xf>
    <xf numFmtId="0" fontId="7" fillId="3" borderId="0" xfId="1" applyFont="1" applyFill="1"/>
    <xf numFmtId="181" fontId="7" fillId="3" borderId="0" xfId="1" applyNumberFormat="1" applyFont="1" applyFill="1"/>
    <xf numFmtId="170" fontId="7" fillId="3" borderId="0" xfId="1" applyNumberFormat="1" applyFont="1" applyFill="1"/>
    <xf numFmtId="168" fontId="2" fillId="0" borderId="0" xfId="1" applyNumberFormat="1" applyFont="1" applyAlignment="1">
      <alignment horizontal="right"/>
    </xf>
    <xf numFmtId="169" fontId="2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1"/>
    </xf>
    <xf numFmtId="0" fontId="9" fillId="0" borderId="19" xfId="1" applyFont="1" applyBorder="1"/>
    <xf numFmtId="168" fontId="9" fillId="0" borderId="19" xfId="1" applyNumberFormat="1" applyFont="1" applyBorder="1" applyAlignment="1">
      <alignment horizontal="right"/>
    </xf>
    <xf numFmtId="169" fontId="9" fillId="0" borderId="19" xfId="1" applyNumberFormat="1" applyFont="1" applyBorder="1" applyAlignment="1">
      <alignment horizontal="right"/>
    </xf>
    <xf numFmtId="0" fontId="22" fillId="0" borderId="0" xfId="1" applyFont="1"/>
    <xf numFmtId="0" fontId="18" fillId="0" borderId="0" xfId="1" applyFont="1" applyAlignment="1">
      <alignment horizontal="center"/>
    </xf>
    <xf numFmtId="0" fontId="2" fillId="0" borderId="17" xfId="1" applyFont="1" applyBorder="1"/>
    <xf numFmtId="168" fontId="2" fillId="0" borderId="17" xfId="1" applyNumberFormat="1" applyFont="1" applyBorder="1" applyAlignment="1">
      <alignment horizontal="right"/>
    </xf>
    <xf numFmtId="168" fontId="3" fillId="3" borderId="0" xfId="1" applyNumberFormat="1" applyFont="1" applyFill="1" applyAlignment="1">
      <alignment horizontal="right"/>
    </xf>
    <xf numFmtId="178" fontId="7" fillId="3" borderId="0" xfId="1" applyNumberFormat="1" applyFont="1" applyFill="1" applyAlignment="1">
      <alignment horizontal="right"/>
    </xf>
    <xf numFmtId="168" fontId="7" fillId="3" borderId="0" xfId="1" applyNumberFormat="1" applyFont="1" applyFill="1" applyAlignment="1">
      <alignment horizontal="right"/>
    </xf>
    <xf numFmtId="182" fontId="7" fillId="3" borderId="0" xfId="1" applyNumberFormat="1" applyFont="1" applyFill="1" applyAlignment="1">
      <alignment horizontal="right"/>
    </xf>
    <xf numFmtId="183" fontId="7" fillId="3" borderId="0" xfId="1" applyNumberFormat="1" applyFont="1" applyFill="1" applyAlignment="1">
      <alignment horizontal="right"/>
    </xf>
    <xf numFmtId="0" fontId="7" fillId="8" borderId="0" xfId="1" applyFont="1" applyFill="1"/>
    <xf numFmtId="170" fontId="7" fillId="3" borderId="0" xfId="1" applyNumberFormat="1" applyFont="1" applyFill="1" applyAlignment="1">
      <alignment horizontal="right"/>
    </xf>
    <xf numFmtId="0" fontId="16" fillId="0" borderId="16" xfId="1" applyFont="1" applyBorder="1"/>
    <xf numFmtId="169" fontId="9" fillId="0" borderId="0" xfId="1" applyNumberFormat="1" applyFont="1" applyAlignment="1">
      <alignment horizontal="right"/>
    </xf>
    <xf numFmtId="0" fontId="7" fillId="3" borderId="0" xfId="2" applyFont="1" applyFill="1"/>
    <xf numFmtId="182" fontId="7" fillId="3" borderId="0" xfId="2" applyNumberFormat="1" applyFont="1" applyFill="1" applyAlignment="1">
      <alignment horizontal="right"/>
    </xf>
    <xf numFmtId="183" fontId="7" fillId="3" borderId="0" xfId="2" applyNumberFormat="1" applyFont="1" applyFill="1" applyAlignment="1">
      <alignment horizontal="right"/>
    </xf>
    <xf numFmtId="15" fontId="7" fillId="3" borderId="0" xfId="2" applyNumberFormat="1" applyFont="1" applyFill="1" applyAlignment="1">
      <alignment horizontal="right"/>
    </xf>
    <xf numFmtId="169" fontId="12" fillId="3" borderId="0" xfId="1" applyNumberFormat="1" applyFont="1" applyFill="1" applyAlignment="1">
      <alignment horizontal="right"/>
    </xf>
    <xf numFmtId="168" fontId="7" fillId="8" borderId="16" xfId="2" applyNumberFormat="1" applyFont="1" applyFill="1" applyBorder="1" applyAlignment="1">
      <alignment horizontal="right"/>
    </xf>
    <xf numFmtId="168" fontId="7" fillId="8" borderId="0" xfId="2" applyNumberFormat="1" applyFont="1" applyFill="1" applyAlignment="1">
      <alignment horizontal="right"/>
    </xf>
    <xf numFmtId="0" fontId="9" fillId="0" borderId="19" xfId="2" applyFont="1" applyBorder="1"/>
    <xf numFmtId="168" fontId="16" fillId="0" borderId="16" xfId="2" applyNumberFormat="1" applyFont="1" applyBorder="1" applyAlignment="1">
      <alignment horizontal="right"/>
    </xf>
    <xf numFmtId="0" fontId="9" fillId="0" borderId="0" xfId="2" applyFont="1"/>
    <xf numFmtId="168" fontId="9" fillId="0" borderId="0" xfId="2" applyNumberFormat="1" applyFont="1" applyAlignment="1">
      <alignment horizontal="right"/>
    </xf>
    <xf numFmtId="183" fontId="7" fillId="0" borderId="0" xfId="2" applyNumberFormat="1" applyFont="1" applyAlignment="1">
      <alignment horizontal="right"/>
    </xf>
    <xf numFmtId="0" fontId="13" fillId="0" borderId="0" xfId="2" applyFont="1"/>
    <xf numFmtId="183" fontId="13" fillId="0" borderId="0" xfId="2" applyNumberFormat="1" applyFont="1" applyAlignment="1">
      <alignment horizontal="right"/>
    </xf>
    <xf numFmtId="179" fontId="2" fillId="0" borderId="0" xfId="1" applyNumberFormat="1" applyFont="1" applyAlignment="1">
      <alignment horizontal="right"/>
    </xf>
    <xf numFmtId="0" fontId="4" fillId="0" borderId="0" xfId="5"/>
    <xf numFmtId="0" fontId="7" fillId="0" borderId="0" xfId="6" applyFont="1" applyAlignment="1">
      <alignment horizontal="center"/>
    </xf>
    <xf numFmtId="0" fontId="2" fillId="0" borderId="0" xfId="6" applyFont="1"/>
    <xf numFmtId="0" fontId="2" fillId="0" borderId="0" xfId="6" applyFont="1" applyAlignment="1">
      <alignment vertical="center"/>
    </xf>
    <xf numFmtId="186" fontId="3" fillId="2" borderId="20" xfId="3" applyNumberFormat="1" applyFont="1" applyBorder="1" applyAlignment="1">
      <alignment horizontal="center" vertical="center"/>
    </xf>
    <xf numFmtId="0" fontId="19" fillId="0" borderId="0" xfId="6" applyFont="1" applyAlignment="1">
      <alignment horizontal="centerContinuous" vertical="center"/>
    </xf>
    <xf numFmtId="0" fontId="7" fillId="2" borderId="21" xfId="3" applyNumberFormat="1" applyFont="1" applyBorder="1" applyAlignment="1">
      <alignment horizontal="center" vertical="center"/>
    </xf>
    <xf numFmtId="0" fontId="2" fillId="0" borderId="0" xfId="6" applyFont="1" applyAlignment="1">
      <alignment horizontal="right"/>
    </xf>
    <xf numFmtId="176" fontId="7" fillId="2" borderId="20" xfId="3" applyNumberFormat="1" applyFont="1" applyBorder="1" applyAlignment="1">
      <alignment horizontal="right" vertical="center"/>
    </xf>
    <xf numFmtId="4" fontId="25" fillId="0" borderId="0" xfId="5" applyNumberFormat="1" applyFont="1" applyAlignment="1">
      <alignment horizontal="right"/>
    </xf>
    <xf numFmtId="0" fontId="7" fillId="8" borderId="21" xfId="3" applyNumberFormat="1" applyFont="1" applyFill="1" applyBorder="1" applyAlignment="1">
      <alignment horizontal="center" vertical="center"/>
    </xf>
    <xf numFmtId="176" fontId="7" fillId="2" borderId="21" xfId="3" applyNumberFormat="1" applyFont="1" applyBorder="1" applyAlignment="1">
      <alignment horizontal="right" vertical="center"/>
    </xf>
    <xf numFmtId="0" fontId="26" fillId="9" borderId="0" xfId="6" applyFont="1" applyFill="1"/>
    <xf numFmtId="0" fontId="27" fillId="9" borderId="0" xfId="6" applyFont="1" applyFill="1"/>
    <xf numFmtId="0" fontId="11" fillId="9" borderId="0" xfId="6" applyFont="1" applyFill="1" applyAlignment="1">
      <alignment horizontal="center"/>
    </xf>
    <xf numFmtId="0" fontId="10" fillId="9" borderId="0" xfId="6" applyFont="1" applyFill="1" applyAlignment="1">
      <alignment horizontal="centerContinuous"/>
    </xf>
    <xf numFmtId="0" fontId="11" fillId="9" borderId="0" xfId="6" applyFont="1" applyFill="1" applyAlignment="1">
      <alignment horizontal="centerContinuous"/>
    </xf>
    <xf numFmtId="11" fontId="11" fillId="9" borderId="0" xfId="6" quotePrefix="1" applyNumberFormat="1" applyFont="1" applyFill="1" applyAlignment="1">
      <alignment horizontal="center"/>
    </xf>
    <xf numFmtId="11" fontId="11" fillId="9" borderId="0" xfId="6" applyNumberFormat="1" applyFont="1" applyFill="1" applyAlignment="1">
      <alignment horizontal="center"/>
    </xf>
    <xf numFmtId="0" fontId="10" fillId="9" borderId="0" xfId="6" applyFont="1" applyFill="1" applyAlignment="1">
      <alignment horizontal="centerContinuous" vertical="top"/>
    </xf>
    <xf numFmtId="0" fontId="11" fillId="9" borderId="0" xfId="6" applyFont="1" applyFill="1"/>
    <xf numFmtId="15" fontId="11" fillId="9" borderId="0" xfId="6" applyNumberFormat="1" applyFont="1" applyFill="1" applyAlignment="1">
      <alignment horizontal="center"/>
    </xf>
    <xf numFmtId="11" fontId="11" fillId="9" borderId="0" xfId="6" applyNumberFormat="1" applyFont="1" applyFill="1" applyAlignment="1">
      <alignment horizontal="left"/>
    </xf>
    <xf numFmtId="0" fontId="28" fillId="0" borderId="0" xfId="6" applyFont="1" applyAlignment="1">
      <alignment vertical="center"/>
    </xf>
    <xf numFmtId="0" fontId="7" fillId="3" borderId="21" xfId="7" applyFont="1" applyFill="1" applyBorder="1" applyAlignment="1">
      <alignment horizontal="center" vertical="center"/>
    </xf>
    <xf numFmtId="178" fontId="3" fillId="0" borderId="0" xfId="7" applyNumberFormat="1" applyFont="1" applyAlignment="1">
      <alignment horizontal="right" vertical="center"/>
    </xf>
    <xf numFmtId="178" fontId="20" fillId="0" borderId="0" xfId="6" applyNumberFormat="1" applyFont="1" applyAlignment="1">
      <alignment horizontal="right" vertical="center"/>
    </xf>
    <xf numFmtId="178" fontId="20" fillId="0" borderId="0" xfId="6" applyNumberFormat="1" applyFont="1" applyAlignment="1">
      <alignment horizontal="center" vertical="center"/>
    </xf>
    <xf numFmtId="187" fontId="12" fillId="0" borderId="0" xfId="6" applyNumberFormat="1" applyFont="1" applyAlignment="1">
      <alignment horizontal="right" vertical="center"/>
    </xf>
    <xf numFmtId="176" fontId="3" fillId="0" borderId="0" xfId="5" applyNumberFormat="1" applyFont="1" applyAlignment="1">
      <alignment horizontal="right" vertical="center" indent="1"/>
    </xf>
    <xf numFmtId="179" fontId="3" fillId="0" borderId="0" xfId="6" applyNumberFormat="1" applyFont="1" applyAlignment="1">
      <alignment horizontal="right" vertical="center" indent="1"/>
    </xf>
    <xf numFmtId="175" fontId="3" fillId="0" borderId="0" xfId="5" applyNumberFormat="1" applyFont="1" applyAlignment="1">
      <alignment horizontal="right" vertical="center" indent="1"/>
    </xf>
    <xf numFmtId="0" fontId="3" fillId="0" borderId="0" xfId="6" applyFont="1" applyAlignment="1">
      <alignment horizontal="left" vertical="center"/>
    </xf>
    <xf numFmtId="187" fontId="3" fillId="0" borderId="0" xfId="6" applyNumberFormat="1" applyFont="1" applyAlignment="1">
      <alignment horizontal="center" vertical="center"/>
    </xf>
    <xf numFmtId="187" fontId="2" fillId="0" borderId="0" xfId="6" applyNumberFormat="1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178" fontId="3" fillId="0" borderId="0" xfId="6" applyNumberFormat="1" applyFont="1" applyAlignment="1">
      <alignment horizontal="center" vertical="center"/>
    </xf>
    <xf numFmtId="188" fontId="3" fillId="0" borderId="0" xfId="6" applyNumberFormat="1" applyFont="1" applyAlignment="1">
      <alignment horizontal="center" vertical="center"/>
    </xf>
    <xf numFmtId="175" fontId="20" fillId="0" borderId="0" xfId="6" applyNumberFormat="1" applyFont="1" applyAlignment="1">
      <alignment horizontal="center" vertical="center"/>
    </xf>
    <xf numFmtId="178" fontId="12" fillId="0" borderId="0" xfId="7" applyNumberFormat="1" applyFont="1" applyAlignment="1">
      <alignment horizontal="right" vertical="center"/>
    </xf>
    <xf numFmtId="0" fontId="7" fillId="0" borderId="0" xfId="6" applyFont="1" applyAlignment="1">
      <alignment horizontal="left" vertical="center"/>
    </xf>
    <xf numFmtId="178" fontId="20" fillId="0" borderId="0" xfId="6" applyNumberFormat="1" applyFont="1" applyAlignment="1">
      <alignment horizontal="right" vertical="center" indent="2"/>
    </xf>
    <xf numFmtId="187" fontId="20" fillId="0" borderId="0" xfId="6" applyNumberFormat="1" applyFont="1" applyAlignment="1">
      <alignment horizontal="right" vertical="center" indent="1"/>
    </xf>
    <xf numFmtId="187" fontId="20" fillId="0" borderId="0" xfId="5" applyNumberFormat="1" applyFont="1" applyAlignment="1">
      <alignment horizontal="right" vertical="center" indent="1"/>
    </xf>
    <xf numFmtId="179" fontId="2" fillId="0" borderId="0" xfId="6" applyNumberFormat="1" applyFont="1" applyAlignment="1">
      <alignment horizontal="right" vertical="center" indent="1"/>
    </xf>
    <xf numFmtId="187" fontId="20" fillId="0" borderId="0" xfId="6" applyNumberFormat="1" applyFont="1" applyAlignment="1">
      <alignment horizontal="center" vertical="center"/>
    </xf>
    <xf numFmtId="188" fontId="20" fillId="0" borderId="0" xfId="6" applyNumberFormat="1" applyFont="1" applyAlignment="1">
      <alignment horizontal="center" vertical="center"/>
    </xf>
    <xf numFmtId="175" fontId="2" fillId="0" borderId="0" xfId="6" applyNumberFormat="1" applyFont="1" applyAlignment="1">
      <alignment horizontal="center" vertical="center"/>
    </xf>
    <xf numFmtId="0" fontId="9" fillId="5" borderId="13" xfId="6" applyFont="1" applyFill="1" applyBorder="1" applyAlignment="1">
      <alignment vertical="center"/>
    </xf>
    <xf numFmtId="0" fontId="9" fillId="5" borderId="13" xfId="6" applyFont="1" applyFill="1" applyBorder="1" applyAlignment="1">
      <alignment horizontal="center" vertical="center"/>
    </xf>
    <xf numFmtId="0" fontId="9" fillId="5" borderId="13" xfId="6" applyFont="1" applyFill="1" applyBorder="1" applyAlignment="1">
      <alignment horizontal="right" vertical="center"/>
    </xf>
    <xf numFmtId="176" fontId="16" fillId="5" borderId="13" xfId="6" applyNumberFormat="1" applyFont="1" applyFill="1" applyBorder="1" applyAlignment="1">
      <alignment horizontal="right" vertical="center" indent="1"/>
    </xf>
    <xf numFmtId="176" fontId="9" fillId="5" borderId="13" xfId="6" applyNumberFormat="1" applyFont="1" applyFill="1" applyBorder="1" applyAlignment="1">
      <alignment horizontal="right" vertical="center" indent="1"/>
    </xf>
    <xf numFmtId="179" fontId="9" fillId="5" borderId="13" xfId="6" applyNumberFormat="1" applyFont="1" applyFill="1" applyBorder="1" applyAlignment="1">
      <alignment horizontal="right" vertical="center" indent="1"/>
    </xf>
    <xf numFmtId="175" fontId="16" fillId="5" borderId="13" xfId="6" applyNumberFormat="1" applyFont="1" applyFill="1" applyBorder="1" applyAlignment="1">
      <alignment horizontal="right" vertical="center" indent="1"/>
    </xf>
    <xf numFmtId="188" fontId="2" fillId="0" borderId="0" xfId="6" applyNumberFormat="1" applyFont="1" applyAlignment="1">
      <alignment horizontal="center" vertical="center"/>
    </xf>
    <xf numFmtId="0" fontId="2" fillId="0" borderId="0" xfId="6" applyFont="1" applyAlignment="1">
      <alignment horizontal="right" vertical="center"/>
    </xf>
    <xf numFmtId="176" fontId="2" fillId="0" borderId="0" xfId="6" applyNumberFormat="1" applyFont="1" applyAlignment="1">
      <alignment horizontal="right" vertical="center" indent="1"/>
    </xf>
    <xf numFmtId="0" fontId="7" fillId="0" borderId="0" xfId="6" applyFont="1" applyAlignment="1">
      <alignment horizontal="center" vertical="center"/>
    </xf>
    <xf numFmtId="187" fontId="20" fillId="0" borderId="0" xfId="6" applyNumberFormat="1" applyFont="1" applyAlignment="1">
      <alignment horizontal="right" vertical="center"/>
    </xf>
    <xf numFmtId="169" fontId="20" fillId="0" borderId="0" xfId="6" applyNumberFormat="1" applyFont="1" applyAlignment="1">
      <alignment horizontal="right" vertical="center"/>
    </xf>
    <xf numFmtId="175" fontId="2" fillId="0" borderId="0" xfId="6" applyNumberFormat="1" applyFont="1" applyAlignment="1">
      <alignment vertical="center"/>
    </xf>
    <xf numFmtId="0" fontId="2" fillId="0" borderId="19" xfId="6" applyFont="1" applyBorder="1" applyAlignment="1">
      <alignment vertical="center"/>
    </xf>
    <xf numFmtId="0" fontId="2" fillId="0" borderId="19" xfId="6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9" fillId="0" borderId="0" xfId="6" applyFont="1" applyAlignment="1">
      <alignment vertical="center"/>
    </xf>
    <xf numFmtId="0" fontId="11" fillId="10" borderId="16" xfId="6" applyFont="1" applyFill="1" applyBorder="1" applyAlignment="1">
      <alignment vertical="center"/>
    </xf>
    <xf numFmtId="176" fontId="11" fillId="10" borderId="16" xfId="6" applyNumberFormat="1" applyFont="1" applyFill="1" applyBorder="1" applyAlignment="1">
      <alignment horizontal="right" vertical="center" indent="1"/>
    </xf>
    <xf numFmtId="175" fontId="11" fillId="10" borderId="16" xfId="6" applyNumberFormat="1" applyFont="1" applyFill="1" applyBorder="1" applyAlignment="1">
      <alignment horizontal="right" vertical="center" indent="1"/>
    </xf>
    <xf numFmtId="179" fontId="11" fillId="10" borderId="16" xfId="6" applyNumberFormat="1" applyFont="1" applyFill="1" applyBorder="1" applyAlignment="1">
      <alignment horizontal="right" vertical="center" indent="1"/>
    </xf>
    <xf numFmtId="175" fontId="9" fillId="0" borderId="0" xfId="6" applyNumberFormat="1" applyFont="1" applyAlignment="1">
      <alignment vertical="center"/>
    </xf>
    <xf numFmtId="0" fontId="11" fillId="10" borderId="0" xfId="6" applyFont="1" applyFill="1" applyAlignment="1">
      <alignment vertical="center"/>
    </xf>
    <xf numFmtId="176" fontId="11" fillId="10" borderId="0" xfId="6" applyNumberFormat="1" applyFont="1" applyFill="1" applyAlignment="1">
      <alignment horizontal="right" vertical="center" indent="1"/>
    </xf>
    <xf numFmtId="175" fontId="11" fillId="10" borderId="0" xfId="6" applyNumberFormat="1" applyFont="1" applyFill="1" applyAlignment="1">
      <alignment horizontal="right" vertical="center" indent="1"/>
    </xf>
    <xf numFmtId="179" fontId="11" fillId="10" borderId="0" xfId="6" applyNumberFormat="1" applyFont="1" applyFill="1" applyAlignment="1">
      <alignment horizontal="right" vertical="center" indent="1"/>
    </xf>
    <xf numFmtId="0" fontId="11" fillId="10" borderId="18" xfId="6" applyFont="1" applyFill="1" applyBorder="1" applyAlignment="1">
      <alignment vertical="center"/>
    </xf>
    <xf numFmtId="176" fontId="11" fillId="10" borderId="18" xfId="6" applyNumberFormat="1" applyFont="1" applyFill="1" applyBorder="1" applyAlignment="1">
      <alignment horizontal="right" vertical="center" indent="1"/>
    </xf>
    <xf numFmtId="175" fontId="11" fillId="10" borderId="18" xfId="6" applyNumberFormat="1" applyFont="1" applyFill="1" applyBorder="1" applyAlignment="1">
      <alignment horizontal="right" vertical="center" indent="1"/>
    </xf>
    <xf numFmtId="179" fontId="11" fillId="10" borderId="18" xfId="6" applyNumberFormat="1" applyFont="1" applyFill="1" applyBorder="1" applyAlignment="1">
      <alignment horizontal="right" vertical="center" indent="1"/>
    </xf>
    <xf numFmtId="0" fontId="11" fillId="7" borderId="0" xfId="6" applyFont="1" applyFill="1" applyAlignment="1">
      <alignment vertical="center"/>
    </xf>
    <xf numFmtId="0" fontId="6" fillId="7" borderId="0" xfId="6" applyFont="1" applyFill="1"/>
    <xf numFmtId="189" fontId="22" fillId="7" borderId="0" xfId="6" applyNumberFormat="1" applyFont="1" applyFill="1" applyAlignment="1">
      <alignment horizontal="center" vertical="center"/>
    </xf>
    <xf numFmtId="175" fontId="22" fillId="7" borderId="0" xfId="6" applyNumberFormat="1" applyFont="1" applyFill="1" applyAlignment="1">
      <alignment horizontal="center" vertical="center"/>
    </xf>
    <xf numFmtId="0" fontId="31" fillId="0" borderId="0" xfId="5" applyFont="1" applyAlignment="1">
      <alignment vertical="center"/>
    </xf>
    <xf numFmtId="0" fontId="32" fillId="9" borderId="0" xfId="5" applyFont="1" applyFill="1" applyAlignment="1">
      <alignment horizontal="center" vertical="center"/>
    </xf>
    <xf numFmtId="0" fontId="31" fillId="0" borderId="0" xfId="5" applyFont="1" applyAlignment="1">
      <alignment vertical="center"/>
    </xf>
    <xf numFmtId="191" fontId="31" fillId="0" borderId="0" xfId="8" applyNumberFormat="1" applyFont="1" applyAlignment="1">
      <alignment vertical="center"/>
    </xf>
    <xf numFmtId="0" fontId="33" fillId="0" borderId="0" xfId="5" applyFont="1" applyAlignment="1">
      <alignment horizontal="centerContinuous" vertical="center"/>
    </xf>
    <xf numFmtId="0" fontId="34" fillId="0" borderId="0" xfId="5" applyFont="1" applyAlignment="1">
      <alignment horizontal="left" vertical="center"/>
    </xf>
    <xf numFmtId="0" fontId="34" fillId="0" borderId="0" xfId="5" applyFont="1" applyAlignment="1">
      <alignment horizontal="centerContinuous" vertical="center"/>
    </xf>
    <xf numFmtId="0" fontId="35" fillId="0" borderId="0" xfId="5" applyFont="1" applyAlignment="1">
      <alignment vertical="center"/>
    </xf>
    <xf numFmtId="0" fontId="36" fillId="0" borderId="0" xfId="5" applyFont="1" applyAlignment="1">
      <alignment vertical="center"/>
    </xf>
    <xf numFmtId="0" fontId="36" fillId="0" borderId="0" xfId="5" applyFont="1" applyAlignment="1">
      <alignment horizontal="right" vertical="center"/>
    </xf>
    <xf numFmtId="191" fontId="36" fillId="0" borderId="0" xfId="8" applyNumberFormat="1" applyFont="1" applyAlignment="1">
      <alignment horizontal="right" vertical="center"/>
    </xf>
    <xf numFmtId="0" fontId="33" fillId="7" borderId="0" xfId="5" applyFont="1" applyFill="1" applyAlignment="1">
      <alignment vertical="center"/>
    </xf>
    <xf numFmtId="0" fontId="33" fillId="7" borderId="0" xfId="5" applyFont="1" applyFill="1" applyAlignment="1">
      <alignment horizontal="right" vertical="center"/>
    </xf>
    <xf numFmtId="191" fontId="33" fillId="7" borderId="0" xfId="8" applyNumberFormat="1" applyFont="1" applyFill="1" applyAlignment="1">
      <alignment horizontal="right" vertical="center"/>
    </xf>
    <xf numFmtId="0" fontId="33" fillId="0" borderId="0" xfId="5" applyFont="1" applyAlignment="1">
      <alignment horizontal="right" vertical="center"/>
    </xf>
    <xf numFmtId="191" fontId="33" fillId="0" borderId="0" xfId="8" applyNumberFormat="1" applyFont="1" applyAlignment="1">
      <alignment horizontal="right" vertical="center"/>
    </xf>
    <xf numFmtId="0" fontId="37" fillId="0" borderId="0" xfId="5" applyFont="1" applyAlignment="1">
      <alignment vertical="center"/>
    </xf>
    <xf numFmtId="0" fontId="33" fillId="0" borderId="0" xfId="5" applyFont="1" applyAlignment="1">
      <alignment vertical="center"/>
    </xf>
    <xf numFmtId="0" fontId="31" fillId="0" borderId="0" xfId="5" applyFont="1" applyAlignment="1">
      <alignment horizontal="right" vertical="center"/>
    </xf>
    <xf numFmtId="192" fontId="38" fillId="0" borderId="0" xfId="5" applyNumberFormat="1" applyFont="1" applyAlignment="1">
      <alignment horizontal="right" vertical="center"/>
    </xf>
    <xf numFmtId="191" fontId="39" fillId="0" borderId="0" xfId="8" applyNumberFormat="1" applyFont="1" applyAlignment="1">
      <alignment horizontal="right" vertical="center"/>
    </xf>
    <xf numFmtId="193" fontId="38" fillId="0" borderId="0" xfId="5" applyNumberFormat="1" applyFont="1" applyAlignment="1">
      <alignment vertical="center"/>
    </xf>
    <xf numFmtId="191" fontId="40" fillId="0" borderId="0" xfId="8" applyNumberFormat="1" applyFont="1" applyAlignment="1">
      <alignment horizontal="right" vertical="center"/>
    </xf>
    <xf numFmtId="192" fontId="31" fillId="0" borderId="0" xfId="5" applyNumberFormat="1" applyFont="1" applyAlignment="1">
      <alignment horizontal="right" vertical="center"/>
    </xf>
    <xf numFmtId="0" fontId="31" fillId="0" borderId="0" xfId="5" quotePrefix="1" applyFont="1" applyAlignment="1">
      <alignment vertical="center"/>
    </xf>
    <xf numFmtId="194" fontId="41" fillId="0" borderId="0" xfId="5" applyNumberFormat="1" applyFont="1" applyAlignment="1">
      <alignment horizontal="right" vertical="center"/>
    </xf>
    <xf numFmtId="0" fontId="37" fillId="0" borderId="0" xfId="5" applyFont="1" applyAlignment="1">
      <alignment horizontal="left" vertical="center"/>
    </xf>
    <xf numFmtId="0" fontId="42" fillId="0" borderId="0" xfId="5" applyFont="1" applyAlignment="1">
      <alignment vertical="center"/>
    </xf>
    <xf numFmtId="192" fontId="36" fillId="0" borderId="0" xfId="5" applyNumberFormat="1" applyFont="1" applyAlignment="1">
      <alignment horizontal="right" vertical="center"/>
    </xf>
    <xf numFmtId="191" fontId="43" fillId="0" borderId="0" xfId="8" applyNumberFormat="1" applyFont="1" applyAlignment="1">
      <alignment horizontal="right" vertical="center"/>
    </xf>
    <xf numFmtId="191" fontId="31" fillId="0" borderId="0" xfId="5" applyNumberFormat="1" applyFont="1" applyAlignment="1">
      <alignment vertical="center"/>
    </xf>
    <xf numFmtId="0" fontId="36" fillId="5" borderId="19" xfId="5" applyFont="1" applyFill="1" applyBorder="1" applyAlignment="1">
      <alignment vertical="center"/>
    </xf>
    <xf numFmtId="192" fontId="44" fillId="4" borderId="16" xfId="5" applyNumberFormat="1" applyFont="1" applyFill="1" applyBorder="1" applyAlignment="1">
      <alignment horizontal="right" vertical="center"/>
    </xf>
    <xf numFmtId="191" fontId="43" fillId="5" borderId="19" xfId="8" applyNumberFormat="1" applyFont="1" applyFill="1" applyBorder="1" applyAlignment="1">
      <alignment horizontal="right" vertical="center"/>
    </xf>
    <xf numFmtId="192" fontId="31" fillId="0" borderId="0" xfId="5" applyNumberFormat="1" applyFont="1" applyAlignment="1">
      <alignment vertical="center"/>
    </xf>
    <xf numFmtId="192" fontId="36" fillId="0" borderId="0" xfId="5" applyNumberFormat="1" applyFont="1" applyAlignment="1">
      <alignment vertical="center"/>
    </xf>
    <xf numFmtId="0" fontId="32" fillId="0" borderId="0" xfId="5" applyFont="1" applyAlignment="1">
      <alignment vertical="center"/>
    </xf>
    <xf numFmtId="192" fontId="33" fillId="0" borderId="0" xfId="5" applyNumberFormat="1" applyFont="1" applyAlignment="1">
      <alignment horizontal="right" vertical="center"/>
    </xf>
    <xf numFmtId="191" fontId="45" fillId="0" borderId="0" xfId="8" applyNumberFormat="1" applyFont="1" applyAlignment="1">
      <alignment vertical="center"/>
    </xf>
    <xf numFmtId="191" fontId="31" fillId="0" borderId="0" xfId="8" applyNumberFormat="1" applyFont="1" applyAlignment="1">
      <alignment vertical="center"/>
    </xf>
    <xf numFmtId="191" fontId="31" fillId="0" borderId="0" xfId="8" applyNumberFormat="1" applyFont="1" applyAlignment="1">
      <alignment horizontal="left" vertical="center"/>
    </xf>
    <xf numFmtId="192" fontId="38" fillId="0" borderId="0" xfId="8" applyNumberFormat="1" applyFont="1" applyAlignment="1">
      <alignment horizontal="right" vertical="center"/>
    </xf>
    <xf numFmtId="0" fontId="33" fillId="10" borderId="14" xfId="5" applyFont="1" applyFill="1" applyBorder="1" applyAlignment="1">
      <alignment vertical="center"/>
    </xf>
    <xf numFmtId="192" fontId="33" fillId="10" borderId="14" xfId="5" applyNumberFormat="1" applyFont="1" applyFill="1" applyBorder="1" applyAlignment="1">
      <alignment vertical="center"/>
    </xf>
    <xf numFmtId="191" fontId="45" fillId="10" borderId="14" xfId="8" applyNumberFormat="1" applyFont="1" applyFill="1" applyBorder="1" applyAlignment="1">
      <alignment horizontal="right" vertical="center"/>
    </xf>
    <xf numFmtId="191" fontId="40" fillId="0" borderId="0" xfId="8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0" fontId="40" fillId="0" borderId="0" xfId="5" applyFont="1" applyAlignment="1">
      <alignment vertical="center"/>
    </xf>
    <xf numFmtId="9" fontId="40" fillId="0" borderId="0" xfId="8" applyFont="1" applyAlignment="1">
      <alignment vertical="center"/>
    </xf>
    <xf numFmtId="0" fontId="33" fillId="9" borderId="0" xfId="5" applyFont="1" applyFill="1" applyAlignment="1">
      <alignment vertical="center"/>
    </xf>
    <xf numFmtId="191" fontId="33" fillId="9" borderId="0" xfId="8" applyNumberFormat="1" applyFont="1" applyFill="1" applyAlignment="1">
      <alignment vertical="center"/>
    </xf>
    <xf numFmtId="192" fontId="41" fillId="0" borderId="0" xfId="5" applyNumberFormat="1" applyFont="1" applyAlignment="1">
      <alignment horizontal="right" vertical="center"/>
    </xf>
    <xf numFmtId="15" fontId="41" fillId="0" borderId="0" xfId="5" applyNumberFormat="1" applyFont="1" applyAlignment="1">
      <alignment horizontal="right" vertical="center"/>
    </xf>
    <xf numFmtId="194" fontId="38" fillId="3" borderId="22" xfId="5" applyNumberFormat="1" applyFont="1" applyFill="1" applyBorder="1" applyAlignment="1">
      <alignment horizontal="right" vertical="center"/>
    </xf>
    <xf numFmtId="3" fontId="38" fillId="0" borderId="0" xfId="5" applyNumberFormat="1" applyFont="1" applyAlignment="1">
      <alignment vertical="center"/>
    </xf>
    <xf numFmtId="194" fontId="38" fillId="0" borderId="0" xfId="5" applyNumberFormat="1" applyFont="1" applyAlignment="1">
      <alignment horizontal="right" vertical="center"/>
    </xf>
    <xf numFmtId="194" fontId="41" fillId="3" borderId="22" xfId="5" applyNumberFormat="1" applyFont="1" applyFill="1" applyBorder="1" applyAlignment="1">
      <alignment horizontal="right" vertical="center"/>
    </xf>
    <xf numFmtId="0" fontId="46" fillId="11" borderId="0" xfId="5" applyFont="1" applyFill="1" applyAlignment="1">
      <alignment vertical="center"/>
    </xf>
    <xf numFmtId="191" fontId="46" fillId="11" borderId="0" xfId="8" applyNumberFormat="1" applyFont="1" applyFill="1" applyAlignment="1">
      <alignment vertical="center"/>
    </xf>
    <xf numFmtId="0" fontId="47" fillId="11" borderId="0" xfId="5" applyFont="1" applyFill="1" applyAlignment="1">
      <alignment vertical="center"/>
    </xf>
    <xf numFmtId="0" fontId="48" fillId="0" borderId="0" xfId="5" applyFont="1" applyAlignment="1">
      <alignment vertical="center"/>
    </xf>
    <xf numFmtId="3" fontId="48" fillId="0" borderId="0" xfId="5" applyNumberFormat="1" applyFont="1" applyAlignment="1">
      <alignment vertical="center"/>
    </xf>
    <xf numFmtId="194" fontId="38" fillId="8" borderId="23" xfId="5" applyNumberFormat="1" applyFont="1" applyFill="1" applyBorder="1" applyAlignment="1">
      <alignment horizontal="right" vertical="center"/>
    </xf>
    <xf numFmtId="3" fontId="38" fillId="0" borderId="24" xfId="5" applyNumberFormat="1" applyFont="1" applyBorder="1" applyAlignment="1">
      <alignment vertical="center"/>
    </xf>
    <xf numFmtId="0" fontId="41" fillId="0" borderId="0" xfId="5" applyFont="1" applyAlignment="1">
      <alignment vertical="center"/>
    </xf>
    <xf numFmtId="0" fontId="38" fillId="0" borderId="0" xfId="5" applyFont="1" applyAlignment="1">
      <alignment vertical="center"/>
    </xf>
    <xf numFmtId="194" fontId="38" fillId="3" borderId="25" xfId="5" applyNumberFormat="1" applyFont="1" applyFill="1" applyBorder="1" applyAlignment="1">
      <alignment horizontal="right" vertical="center"/>
    </xf>
    <xf numFmtId="194" fontId="38" fillId="3" borderId="26" xfId="5" applyNumberFormat="1" applyFont="1" applyFill="1" applyBorder="1" applyAlignment="1">
      <alignment horizontal="right" vertical="center"/>
    </xf>
    <xf numFmtId="0" fontId="4" fillId="0" borderId="0" xfId="5" applyAlignment="1">
      <alignment vertical="center"/>
    </xf>
    <xf numFmtId="0" fontId="4" fillId="0" borderId="0" xfId="5" applyAlignment="1">
      <alignment horizontal="right" indent="1"/>
    </xf>
    <xf numFmtId="0" fontId="49" fillId="0" borderId="27" xfId="5" applyFont="1" applyBorder="1"/>
    <xf numFmtId="0" fontId="4" fillId="0" borderId="27" xfId="5" applyBorder="1"/>
    <xf numFmtId="0" fontId="4" fillId="12" borderId="28" xfId="5" applyFill="1" applyBorder="1" applyAlignment="1">
      <alignment horizontal="center"/>
    </xf>
    <xf numFmtId="0" fontId="4" fillId="0" borderId="0" xfId="5"/>
    <xf numFmtId="0" fontId="50" fillId="13" borderId="29" xfId="5" applyFont="1" applyFill="1" applyBorder="1" applyAlignment="1">
      <alignment horizontal="center" vertical="top"/>
    </xf>
    <xf numFmtId="0" fontId="4" fillId="0" borderId="30" xfId="5" applyBorder="1"/>
    <xf numFmtId="0" fontId="4" fillId="14" borderId="31" xfId="5" applyFill="1" applyBorder="1"/>
    <xf numFmtId="0" fontId="50" fillId="13" borderId="32" xfId="5" applyFont="1" applyFill="1" applyBorder="1" applyAlignment="1">
      <alignment horizontal="center" vertical="top"/>
    </xf>
    <xf numFmtId="0" fontId="4" fillId="0" borderId="33" xfId="5" applyBorder="1"/>
    <xf numFmtId="0" fontId="51" fillId="0" borderId="0" xfId="5" applyFont="1" applyAlignment="1">
      <alignment horizontal="right" indent="1"/>
    </xf>
    <xf numFmtId="0" fontId="52" fillId="0" borderId="0" xfId="5" applyFont="1" applyAlignment="1">
      <alignment horizontal="center" vertical="center"/>
    </xf>
    <xf numFmtId="0" fontId="51" fillId="0" borderId="0" xfId="5" applyFont="1" applyAlignment="1">
      <alignment horizontal="center" vertical="top"/>
    </xf>
    <xf numFmtId="0" fontId="51" fillId="0" borderId="0" xfId="5" applyFont="1"/>
    <xf numFmtId="0" fontId="4" fillId="14" borderId="34" xfId="5" applyFill="1" applyBorder="1"/>
    <xf numFmtId="0" fontId="4" fillId="0" borderId="18" xfId="5" applyBorder="1"/>
    <xf numFmtId="0" fontId="4" fillId="0" borderId="34" xfId="5" applyBorder="1"/>
    <xf numFmtId="0" fontId="53" fillId="15" borderId="35" xfId="5" applyFont="1" applyFill="1" applyBorder="1" applyAlignment="1">
      <alignment horizontal="center" vertical="center"/>
    </xf>
    <xf numFmtId="0" fontId="4" fillId="0" borderId="36" xfId="5" applyBorder="1"/>
    <xf numFmtId="0" fontId="4" fillId="0" borderId="37" xfId="5" applyBorder="1"/>
    <xf numFmtId="0" fontId="53" fillId="15" borderId="38" xfId="5" applyFont="1" applyFill="1" applyBorder="1" applyAlignment="1">
      <alignment horizontal="center" vertical="center"/>
    </xf>
    <xf numFmtId="0" fontId="53" fillId="15" borderId="39" xfId="5" applyFont="1" applyFill="1" applyBorder="1" applyAlignment="1">
      <alignment horizontal="center" vertical="center"/>
    </xf>
    <xf numFmtId="0" fontId="53" fillId="15" borderId="40" xfId="5" applyFont="1" applyFill="1" applyBorder="1" applyAlignment="1">
      <alignment horizontal="center" vertical="center"/>
    </xf>
    <xf numFmtId="0" fontId="53" fillId="15" borderId="41" xfId="5" applyFont="1" applyFill="1" applyBorder="1" applyAlignment="1">
      <alignment horizontal="center" vertical="center"/>
    </xf>
    <xf numFmtId="0" fontId="54" fillId="0" borderId="0" xfId="5" applyFont="1" applyAlignment="1">
      <alignment horizontal="right" indent="1"/>
    </xf>
    <xf numFmtId="0" fontId="51" fillId="0" borderId="42" xfId="5" applyFont="1" applyBorder="1"/>
    <xf numFmtId="0" fontId="4" fillId="0" borderId="43" xfId="5" applyBorder="1"/>
    <xf numFmtId="0" fontId="4" fillId="0" borderId="44" xfId="5" applyBorder="1"/>
    <xf numFmtId="3" fontId="54" fillId="0" borderId="45" xfId="5" applyNumberFormat="1" applyFont="1" applyBorder="1"/>
    <xf numFmtId="14" fontId="54" fillId="0" borderId="45" xfId="5" applyNumberFormat="1" applyFont="1" applyBorder="1"/>
    <xf numFmtId="0" fontId="4" fillId="0" borderId="45" xfId="5" applyBorder="1"/>
    <xf numFmtId="0" fontId="54" fillId="0" borderId="45" xfId="5" applyFont="1" applyBorder="1"/>
    <xf numFmtId="0" fontId="54" fillId="0" borderId="46" xfId="5" applyFont="1" applyBorder="1"/>
    <xf numFmtId="0" fontId="4" fillId="0" borderId="47" xfId="5" applyBorder="1"/>
    <xf numFmtId="0" fontId="4" fillId="0" borderId="48" xfId="5" applyBorder="1"/>
    <xf numFmtId="0" fontId="4" fillId="0" borderId="49" xfId="5" applyBorder="1"/>
    <xf numFmtId="3" fontId="54" fillId="0" borderId="50" xfId="5" applyNumberFormat="1" applyFont="1" applyBorder="1"/>
    <xf numFmtId="14" fontId="54" fillId="0" borderId="50" xfId="5" applyNumberFormat="1" applyFont="1" applyBorder="1"/>
    <xf numFmtId="0" fontId="4" fillId="0" borderId="50" xfId="5" applyBorder="1"/>
    <xf numFmtId="0" fontId="54" fillId="0" borderId="50" xfId="5" applyFont="1" applyBorder="1"/>
    <xf numFmtId="0" fontId="54" fillId="0" borderId="51" xfId="5" applyFont="1" applyBorder="1"/>
    <xf numFmtId="0" fontId="4" fillId="0" borderId="52" xfId="5" applyBorder="1"/>
    <xf numFmtId="0" fontId="4" fillId="0" borderId="53" xfId="5" applyBorder="1"/>
    <xf numFmtId="0" fontId="4" fillId="0" borderId="54" xfId="5" applyBorder="1"/>
    <xf numFmtId="3" fontId="54" fillId="0" borderId="55" xfId="5" applyNumberFormat="1" applyFont="1" applyBorder="1"/>
    <xf numFmtId="14" fontId="54" fillId="0" borderId="55" xfId="5" applyNumberFormat="1" applyFont="1" applyBorder="1"/>
    <xf numFmtId="0" fontId="4" fillId="0" borderId="55" xfId="5" applyBorder="1"/>
    <xf numFmtId="0" fontId="54" fillId="0" borderId="55" xfId="5" applyFont="1" applyBorder="1"/>
    <xf numFmtId="0" fontId="54" fillId="0" borderId="56" xfId="5" applyFont="1" applyBorder="1"/>
    <xf numFmtId="0" fontId="2" fillId="0" borderId="0" xfId="5" applyFont="1" applyAlignment="1">
      <alignment vertical="center"/>
    </xf>
    <xf numFmtId="0" fontId="2" fillId="0" borderId="57" xfId="5" applyFont="1" applyBorder="1" applyAlignment="1">
      <alignment vertical="center"/>
    </xf>
    <xf numFmtId="0" fontId="2" fillId="2" borderId="58" xfId="9" applyFont="1" applyBorder="1" applyAlignment="1">
      <alignment horizontal="center" vertical="center"/>
    </xf>
    <xf numFmtId="0" fontId="11" fillId="9" borderId="0" xfId="5" applyFont="1" applyFill="1" applyAlignment="1">
      <alignment horizontal="center" vertical="center"/>
    </xf>
    <xf numFmtId="0" fontId="11" fillId="9" borderId="0" xfId="5" applyFont="1" applyFill="1" applyAlignment="1">
      <alignment vertical="center"/>
    </xf>
    <xf numFmtId="0" fontId="26" fillId="9" borderId="0" xfId="6" applyFont="1" applyFill="1" applyAlignment="1">
      <alignment vertical="center"/>
    </xf>
    <xf numFmtId="0" fontId="10" fillId="9" borderId="0" xfId="5" applyFont="1" applyFill="1" applyAlignment="1">
      <alignment horizontal="centerContinuous" vertical="center"/>
    </xf>
    <xf numFmtId="0" fontId="55" fillId="0" borderId="0" xfId="5" applyFont="1" applyAlignment="1">
      <alignment vertical="center"/>
    </xf>
    <xf numFmtId="0" fontId="2" fillId="2" borderId="1" xfId="9" applyFont="1" applyAlignment="1">
      <alignment horizontal="center" vertical="center"/>
    </xf>
    <xf numFmtId="195" fontId="12" fillId="16" borderId="1" xfId="9" applyNumberFormat="1" applyFont="1" applyFill="1" applyAlignment="1">
      <alignment horizontal="center" vertical="center" wrapText="1"/>
    </xf>
    <xf numFmtId="17" fontId="7" fillId="0" borderId="0" xfId="5" applyNumberFormat="1" applyFont="1" applyAlignment="1">
      <alignment horizontal="left" vertical="center"/>
    </xf>
    <xf numFmtId="0" fontId="12" fillId="0" borderId="0" xfId="5" applyFont="1" applyAlignment="1">
      <alignment horizontal="center" vertical="center"/>
    </xf>
    <xf numFmtId="196" fontId="7" fillId="0" borderId="0" xfId="5" applyNumberFormat="1" applyFont="1" applyAlignment="1">
      <alignment horizontal="center" vertical="center"/>
    </xf>
    <xf numFmtId="196" fontId="3" fillId="0" borderId="0" xfId="5" applyNumberFormat="1" applyFont="1" applyAlignment="1">
      <alignment horizontal="center" vertical="center"/>
    </xf>
    <xf numFmtId="196" fontId="7" fillId="3" borderId="0" xfId="5" applyNumberFormat="1" applyFont="1" applyFill="1" applyAlignment="1">
      <alignment horizontal="center" vertical="center"/>
    </xf>
    <xf numFmtId="189" fontId="3" fillId="0" borderId="0" xfId="5" applyNumberFormat="1" applyFont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2" fillId="3" borderId="0" xfId="5" applyFont="1" applyFill="1" applyAlignment="1">
      <alignment horizontal="center" vertical="center"/>
    </xf>
    <xf numFmtId="196" fontId="3" fillId="3" borderId="0" xfId="5" applyNumberFormat="1" applyFont="1" applyFill="1" applyAlignment="1">
      <alignment horizontal="center" vertical="center"/>
    </xf>
    <xf numFmtId="195" fontId="12" fillId="16" borderId="1" xfId="9" applyNumberFormat="1" applyFont="1" applyFill="1" applyAlignment="1">
      <alignment horizontal="center" vertical="center"/>
    </xf>
    <xf numFmtId="17" fontId="7" fillId="0" borderId="18" xfId="5" applyNumberFormat="1" applyFont="1" applyBorder="1" applyAlignment="1">
      <alignment horizontal="left" vertical="center"/>
    </xf>
    <xf numFmtId="0" fontId="2" fillId="0" borderId="18" xfId="5" applyFont="1" applyBorder="1" applyAlignment="1">
      <alignment vertical="center"/>
    </xf>
    <xf numFmtId="0" fontId="12" fillId="0" borderId="18" xfId="5" applyFont="1" applyBorder="1" applyAlignment="1">
      <alignment horizontal="center" vertical="center"/>
    </xf>
    <xf numFmtId="196" fontId="7" fillId="0" borderId="18" xfId="5" applyNumberFormat="1" applyFont="1" applyBorder="1" applyAlignment="1">
      <alignment horizontal="center" vertical="center"/>
    </xf>
    <xf numFmtId="196" fontId="3" fillId="3" borderId="18" xfId="5" applyNumberFormat="1" applyFont="1" applyFill="1" applyBorder="1" applyAlignment="1">
      <alignment horizontal="center" vertical="center"/>
    </xf>
    <xf numFmtId="0" fontId="9" fillId="16" borderId="14" xfId="5" applyFont="1" applyFill="1" applyBorder="1" applyAlignment="1">
      <alignment vertical="center"/>
    </xf>
    <xf numFmtId="189" fontId="16" fillId="16" borderId="14" xfId="5" applyNumberFormat="1" applyFont="1" applyFill="1" applyBorder="1" applyAlignment="1">
      <alignment horizontal="center" vertical="center"/>
    </xf>
    <xf numFmtId="0" fontId="27" fillId="0" borderId="0" xfId="5" applyFont="1" applyAlignment="1">
      <alignment vertical="center"/>
    </xf>
    <xf numFmtId="0" fontId="56" fillId="0" borderId="0" xfId="10" applyAlignment="1">
      <alignment horizontal="center" vertical="center"/>
    </xf>
    <xf numFmtId="0" fontId="27" fillId="0" borderId="18" xfId="5" applyFont="1" applyBorder="1" applyAlignment="1">
      <alignment vertical="center"/>
    </xf>
    <xf numFmtId="0" fontId="11" fillId="10" borderId="16" xfId="5" applyFont="1" applyFill="1" applyBorder="1" applyAlignment="1">
      <alignment vertical="center"/>
    </xf>
    <xf numFmtId="189" fontId="11" fillId="10" borderId="16" xfId="5" applyNumberFormat="1" applyFont="1" applyFill="1" applyBorder="1" applyAlignment="1">
      <alignment horizontal="center" vertical="center"/>
    </xf>
    <xf numFmtId="0" fontId="11" fillId="10" borderId="18" xfId="5" applyFont="1" applyFill="1" applyBorder="1" applyAlignment="1">
      <alignment vertical="center"/>
    </xf>
    <xf numFmtId="189" fontId="11" fillId="10" borderId="18" xfId="5" applyNumberFormat="1" applyFont="1" applyFill="1" applyBorder="1" applyAlignment="1">
      <alignment horizontal="center" vertical="center"/>
    </xf>
    <xf numFmtId="0" fontId="2" fillId="0" borderId="16" xfId="5" applyFont="1" applyBorder="1" applyAlignment="1">
      <alignment vertical="center"/>
    </xf>
    <xf numFmtId="0" fontId="11" fillId="7" borderId="16" xfId="6" applyFont="1" applyFill="1" applyBorder="1" applyAlignment="1">
      <alignment vertical="center"/>
    </xf>
    <xf numFmtId="0" fontId="6" fillId="7" borderId="16" xfId="6" applyFont="1" applyFill="1" applyBorder="1"/>
    <xf numFmtId="189" fontId="22" fillId="7" borderId="0" xfId="5" applyNumberFormat="1" applyFont="1" applyFill="1" applyAlignment="1">
      <alignment horizontal="center" vertical="center"/>
    </xf>
    <xf numFmtId="0" fontId="11" fillId="7" borderId="18" xfId="6" applyFont="1" applyFill="1" applyBorder="1" applyAlignment="1">
      <alignment vertical="center"/>
    </xf>
    <xf numFmtId="0" fontId="6" fillId="7" borderId="18" xfId="6" applyFont="1" applyFill="1" applyBorder="1"/>
  </cellXfs>
  <cellStyles count="11">
    <cellStyle name="Hyperlink" xfId="10" builtinId="8"/>
    <cellStyle name="Normal" xfId="0" builtinId="0"/>
    <cellStyle name="Normal 12" xfId="5" xr:uid="{D1780FD5-8508-4382-AAA7-FD8437872D31}"/>
    <cellStyle name="Normal 2" xfId="2" xr:uid="{9CB265AA-1D72-4B47-A885-3B6F12A8DF02}"/>
    <cellStyle name="Normal 2 2" xfId="4" xr:uid="{DFA1CE44-D0A8-4CB2-AA30-6F10088E9B3E}"/>
    <cellStyle name="Normal 2 2 14" xfId="7" xr:uid="{0C798271-2B87-457F-A339-A5A79821AF8A}"/>
    <cellStyle name="Normal 2 3" xfId="6" xr:uid="{2397E579-2958-4AE4-9955-0CF10098E1D6}"/>
    <cellStyle name="Normal 5" xfId="1" xr:uid="{A423C9DB-35E6-444F-8714-329A0996E486}"/>
    <cellStyle name="Note 2" xfId="3" xr:uid="{DB6D81E2-10AD-4A36-8DC2-8FCD0D559507}"/>
    <cellStyle name="Note 3" xfId="9" xr:uid="{ED942671-F0A9-45F8-871C-5962552F2AF9}"/>
    <cellStyle name="Percent 2" xfId="8" xr:uid="{7DB0435D-E30C-47E4-BE04-4F79E3BB39C3}"/>
  </cellStyles>
  <dxfs count="12">
    <dxf>
      <font>
        <color rgb="FFFF0000"/>
      </font>
    </dxf>
    <dxf>
      <font>
        <color rgb="FF00B050"/>
      </font>
    </dxf>
    <dxf>
      <numFmt numFmtId="190" formatCode="&quot;&lt;0.1%&quot;"/>
    </dxf>
    <dxf>
      <numFmt numFmtId="185" formatCode="\C&quot;$&quot;#,##0.00_);\(&quot;$&quot;#,##0.00\)"/>
    </dxf>
    <dxf>
      <numFmt numFmtId="184" formatCode="[$€-2]#,##0.00_)"/>
    </dxf>
    <dxf>
      <numFmt numFmtId="185" formatCode="\C&quot;$&quot;#,##0.00_);\(&quot;$&quot;#,##0.00\)"/>
    </dxf>
    <dxf>
      <numFmt numFmtId="184" formatCode="[$€-2]#,##0.00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9525</xdr:colOff>
      <xdr:row>3</xdr:row>
      <xdr:rowOff>180975</xdr:rowOff>
    </xdr:to>
    <xdr:pic>
      <xdr:nvPicPr>
        <xdr:cNvPr id="2" name="Bloomberg">
          <a:extLst>
            <a:ext uri="{FF2B5EF4-FFF2-40B4-BE49-F238E27FC236}">
              <a16:creationId xmlns:a16="http://schemas.microsoft.com/office/drawing/2014/main" id="{84CB8576-4787-4E8D-BEDA-D9EA70192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64770"/>
          <a:ext cx="1967865" cy="561975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3</xdr:col>
      <xdr:colOff>703250</xdr:colOff>
      <xdr:row>1</xdr:row>
      <xdr:rowOff>0</xdr:rowOff>
    </xdr:from>
    <xdr:to>
      <xdr:col>14</xdr:col>
      <xdr:colOff>876605</xdr:colOff>
      <xdr:row>4</xdr:row>
      <xdr:rowOff>0</xdr:rowOff>
    </xdr:to>
    <xdr:pic>
      <xdr:nvPicPr>
        <xdr:cNvPr id="3" name="BannerTitle">
          <a:extLst>
            <a:ext uri="{FF2B5EF4-FFF2-40B4-BE49-F238E27FC236}">
              <a16:creationId xmlns:a16="http://schemas.microsoft.com/office/drawing/2014/main" id="{6A24C5C5-E10B-4C49-A7A7-99070CC2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0080" y="64770"/>
          <a:ext cx="9843135" cy="571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1C6F-19D6-4FAD-B8F6-70F360183BF2}">
  <dimension ref="A1:Q190"/>
  <sheetViews>
    <sheetView showGridLines="0" view="pageBreakPreview" topLeftCell="A93" zoomScale="85" zoomScaleNormal="25" zoomScaleSheetLayoutView="85" workbookViewId="0">
      <selection activeCell="G20" sqref="G20"/>
    </sheetView>
  </sheetViews>
  <sheetFormatPr defaultColWidth="9.33203125" defaultRowHeight="15" customHeight="1" x14ac:dyDescent="0.65"/>
  <cols>
    <col min="1" max="1" width="2.83203125" style="1" customWidth="1"/>
    <col min="2" max="5" width="15.5" style="1" customWidth="1"/>
    <col min="6" max="6" width="15.5" style="71" customWidth="1"/>
    <col min="7" max="7" width="2.83203125" style="1" customWidth="1"/>
    <col min="8" max="8" width="9.33203125" style="4" customWidth="1"/>
    <col min="9" max="10" width="9.33203125" style="1" customWidth="1"/>
    <col min="11" max="12" width="9.33203125" style="1"/>
    <col min="13" max="16" width="9.33203125" style="1" customWidth="1"/>
    <col min="17" max="17" width="9.33203125" style="36"/>
    <col min="18" max="16384" width="9.33203125" style="1"/>
  </cols>
  <sheetData>
    <row r="1" spans="1:10" s="1" customFormat="1" ht="14.1" thickBot="1" x14ac:dyDescent="0.7">
      <c r="A1" s="1" t="s">
        <v>0</v>
      </c>
      <c r="B1" s="2"/>
      <c r="C1" s="3"/>
      <c r="G1" s="1" t="s">
        <v>0</v>
      </c>
      <c r="H1" s="4"/>
    </row>
    <row r="2" spans="1:10" s="1" customFormat="1" ht="18" customHeight="1" x14ac:dyDescent="0.6">
      <c r="B2" s="5" t="s">
        <v>1</v>
      </c>
      <c r="C2" s="6"/>
      <c r="D2" s="6"/>
      <c r="E2" s="6"/>
      <c r="F2" s="7" t="e" cm="1">
        <f t="array" aca="1" ref="F2" ca="1">_xll.SNL.Clients.Office.Excel.Functions.SPG($F$3,"SP_COMPANY_NAME")</f>
        <v>#NAME?</v>
      </c>
      <c r="H2" s="4"/>
    </row>
    <row r="3" spans="1:10" s="1" customFormat="1" ht="18" customHeight="1" x14ac:dyDescent="0.6">
      <c r="B3" s="8" t="s">
        <v>2</v>
      </c>
      <c r="C3" s="9"/>
      <c r="D3" s="9"/>
      <c r="E3" s="9"/>
      <c r="F3" s="10"/>
      <c r="H3" s="4"/>
    </row>
    <row r="4" spans="1:10" s="1" customFormat="1" ht="18" customHeight="1" x14ac:dyDescent="0.6">
      <c r="B4" s="8" t="s">
        <v>3</v>
      </c>
      <c r="C4" s="9"/>
      <c r="D4" s="9"/>
      <c r="E4" s="9"/>
      <c r="F4" s="11" t="e" cm="1">
        <f t="array" aca="1" ref="F4" ca="1">_xll.SNL.Clients.Office.Excel.Functions.SPG($F$3,"IQ_CURRENCY_FINANCIALS","FY0",$F$6,"Options: NA=NA")</f>
        <v>#NAME?</v>
      </c>
      <c r="H4" s="4"/>
    </row>
    <row r="5" spans="1:10" s="1" customFormat="1" ht="18" customHeight="1" x14ac:dyDescent="0.6">
      <c r="B5" s="8" t="s">
        <v>4</v>
      </c>
      <c r="C5" s="9"/>
      <c r="D5" s="9"/>
      <c r="E5" s="9"/>
      <c r="F5" s="10" t="s">
        <v>5</v>
      </c>
      <c r="H5" s="4"/>
    </row>
    <row r="6" spans="1:10" s="1" customFormat="1" ht="18" customHeight="1" x14ac:dyDescent="0.6">
      <c r="B6" s="8" t="s">
        <v>6</v>
      </c>
      <c r="C6" s="9"/>
      <c r="D6" s="9"/>
      <c r="E6" s="9"/>
      <c r="F6" s="12">
        <f ca="1">TODAY()-1</f>
        <v>46230</v>
      </c>
      <c r="H6" s="4"/>
    </row>
    <row r="7" spans="1:10" s="1" customFormat="1" ht="18" customHeight="1" x14ac:dyDescent="0.65">
      <c r="B7" s="8" t="s">
        <v>7</v>
      </c>
      <c r="C7" s="9"/>
      <c r="D7" s="9"/>
      <c r="E7" s="9"/>
      <c r="F7" s="13"/>
      <c r="H7" s="4"/>
      <c r="I7" s="14"/>
      <c r="J7" s="15"/>
    </row>
    <row r="8" spans="1:10" s="1" customFormat="1" ht="3" customHeight="1" x14ac:dyDescent="0.65">
      <c r="B8" s="16"/>
      <c r="F8" s="17"/>
      <c r="H8" s="4"/>
      <c r="I8" s="14"/>
      <c r="J8" s="15"/>
    </row>
    <row r="9" spans="1:10" s="1" customFormat="1" ht="18" customHeight="1" x14ac:dyDescent="0.65">
      <c r="B9" s="18" t="s">
        <v>8</v>
      </c>
      <c r="C9" s="19"/>
      <c r="D9" s="19"/>
      <c r="E9" s="19"/>
      <c r="F9" s="17"/>
      <c r="H9" s="4"/>
      <c r="I9" s="14"/>
      <c r="J9" s="15"/>
    </row>
    <row r="10" spans="1:10" s="1" customFormat="1" ht="18" customHeight="1" x14ac:dyDescent="0.65">
      <c r="B10" s="20" t="s">
        <v>9</v>
      </c>
      <c r="F10" s="21" t="s">
        <v>10</v>
      </c>
      <c r="H10" s="4"/>
      <c r="I10" s="14"/>
      <c r="J10" s="15"/>
    </row>
    <row r="11" spans="1:10" s="1" customFormat="1" ht="18" customHeight="1" thickBot="1" x14ac:dyDescent="0.7">
      <c r="B11" s="22" t="s">
        <v>11</v>
      </c>
      <c r="C11" s="23"/>
      <c r="D11" s="23"/>
      <c r="E11" s="23"/>
      <c r="F11" s="24" t="s">
        <v>12</v>
      </c>
      <c r="H11" s="4"/>
      <c r="I11" s="14"/>
      <c r="J11" s="15"/>
    </row>
    <row r="12" spans="1:10" s="1" customFormat="1" ht="18" customHeight="1" x14ac:dyDescent="0.65">
      <c r="B12" s="9"/>
      <c r="F12" s="25"/>
      <c r="H12" s="4"/>
      <c r="I12" s="14"/>
      <c r="J12" s="15"/>
    </row>
    <row r="13" spans="1:10" s="1" customFormat="1" ht="18" customHeight="1" thickBot="1" x14ac:dyDescent="0.65">
      <c r="B13" s="26" t="e">
        <f ca="1">F2&amp;" Cap Table"</f>
        <v>#NAME?</v>
      </c>
      <c r="C13" s="27"/>
      <c r="D13" s="27"/>
      <c r="E13" s="27"/>
      <c r="F13" s="27"/>
      <c r="H13" s="4"/>
    </row>
    <row r="14" spans="1:10" s="1" customFormat="1" ht="3" customHeight="1" x14ac:dyDescent="0.6">
      <c r="B14" s="28"/>
      <c r="C14" s="29"/>
      <c r="D14" s="29"/>
      <c r="E14" s="29"/>
      <c r="F14" s="30"/>
      <c r="H14" s="4"/>
    </row>
    <row r="15" spans="1:10" s="1" customFormat="1" ht="18" customHeight="1" x14ac:dyDescent="0.6">
      <c r="B15" s="31" t="s">
        <v>13</v>
      </c>
      <c r="F15" s="32">
        <f>F3</f>
        <v>0</v>
      </c>
      <c r="H15" s="4"/>
    </row>
    <row r="16" spans="1:10" s="1" customFormat="1" ht="18" customHeight="1" x14ac:dyDescent="0.6">
      <c r="B16" s="31" t="str">
        <f ca="1">CONCATENATE("Share Price (",TEXT(F6,"dd-mmm-yy"),")")</f>
        <v>Share Price (27-Jul-26)</v>
      </c>
      <c r="F16" s="33"/>
      <c r="H16" s="4"/>
    </row>
    <row r="17" spans="2:17" ht="18" customHeight="1" x14ac:dyDescent="0.65">
      <c r="B17" s="34" t="s">
        <v>14</v>
      </c>
      <c r="F17" s="35">
        <f>F186</f>
        <v>0</v>
      </c>
    </row>
    <row r="18" spans="2:17" ht="18" customHeight="1" x14ac:dyDescent="0.6">
      <c r="B18" s="37" t="s">
        <v>15</v>
      </c>
      <c r="C18" s="38"/>
      <c r="D18" s="38"/>
      <c r="E18" s="38"/>
      <c r="F18" s="39">
        <f>F16*F17</f>
        <v>0</v>
      </c>
      <c r="I18" s="40"/>
      <c r="J18" s="40"/>
      <c r="K18" s="40"/>
      <c r="L18" s="40"/>
      <c r="M18" s="40"/>
      <c r="N18" s="40"/>
      <c r="O18" s="40"/>
      <c r="P18" s="40"/>
      <c r="Q18" s="41"/>
    </row>
    <row r="19" spans="2:17" ht="18" customHeight="1" x14ac:dyDescent="0.65">
      <c r="B19" s="34" t="str">
        <f>IF(F10="Treasury Stock","Net","")&amp;" ITM Dilutive Securities"</f>
        <v>Net ITM Dilutive Securities</v>
      </c>
      <c r="F19" s="35" t="e">
        <f>IF(F10="Treasury Stock",F86,F84)</f>
        <v>#DIV/0!</v>
      </c>
    </row>
    <row r="20" spans="2:17" ht="18" customHeight="1" x14ac:dyDescent="0.65">
      <c r="B20" s="34" t="s">
        <v>16</v>
      </c>
      <c r="F20" s="35">
        <f>F104</f>
        <v>0</v>
      </c>
    </row>
    <row r="21" spans="2:17" ht="18" customHeight="1" x14ac:dyDescent="0.6">
      <c r="B21" s="37" t="s">
        <v>17</v>
      </c>
      <c r="C21" s="38"/>
      <c r="D21" s="38"/>
      <c r="E21" s="38"/>
      <c r="F21" s="42" t="e">
        <f>F17+F19+F20</f>
        <v>#DIV/0!</v>
      </c>
      <c r="I21" s="40"/>
      <c r="J21" s="40"/>
      <c r="K21" s="40"/>
      <c r="L21" s="40"/>
      <c r="M21" s="40"/>
      <c r="N21" s="40"/>
      <c r="O21" s="40"/>
      <c r="P21" s="40"/>
      <c r="Q21" s="41"/>
    </row>
    <row r="22" spans="2:17" ht="18" customHeight="1" thickBot="1" x14ac:dyDescent="0.65">
      <c r="B22" s="43" t="s">
        <v>18</v>
      </c>
      <c r="C22" s="44"/>
      <c r="D22" s="44"/>
      <c r="E22" s="44"/>
      <c r="F22" s="45" t="e">
        <f>F16*F21</f>
        <v>#DIV/0!</v>
      </c>
      <c r="H22" s="46"/>
      <c r="I22" s="40"/>
      <c r="J22" s="40"/>
      <c r="K22" s="40"/>
      <c r="L22" s="40"/>
      <c r="M22" s="40"/>
      <c r="N22" s="40"/>
      <c r="O22" s="40"/>
      <c r="P22" s="40"/>
      <c r="Q22" s="41"/>
    </row>
    <row r="23" spans="2:17" ht="3" customHeight="1" thickTop="1" x14ac:dyDescent="0.6">
      <c r="B23" s="31"/>
      <c r="F23" s="32"/>
      <c r="I23" s="40"/>
      <c r="J23" s="40"/>
      <c r="K23" s="40"/>
      <c r="L23" s="40"/>
      <c r="M23" s="40"/>
      <c r="N23" s="40"/>
      <c r="O23" s="40"/>
      <c r="P23" s="40"/>
      <c r="Q23" s="41"/>
    </row>
    <row r="24" spans="2:17" ht="18" customHeight="1" x14ac:dyDescent="0.6">
      <c r="B24" s="34" t="s">
        <v>19</v>
      </c>
      <c r="F24" s="47">
        <f>F122*F7</f>
        <v>0</v>
      </c>
      <c r="I24" s="40"/>
      <c r="J24" s="40"/>
      <c r="K24" s="40"/>
      <c r="L24" s="40"/>
      <c r="M24" s="40"/>
      <c r="N24" s="40"/>
      <c r="O24" s="40"/>
      <c r="P24" s="40"/>
      <c r="Q24" s="41"/>
    </row>
    <row r="25" spans="2:17" ht="18" customHeight="1" x14ac:dyDescent="0.6">
      <c r="B25" s="34" t="s">
        <v>20</v>
      </c>
      <c r="F25" s="47">
        <f>IF($F$11="ON",$F$143,0)*F7</f>
        <v>0</v>
      </c>
      <c r="I25" s="40"/>
      <c r="J25" s="40"/>
      <c r="K25" s="40"/>
      <c r="L25" s="40"/>
      <c r="M25" s="40"/>
      <c r="N25" s="40"/>
      <c r="O25" s="40"/>
      <c r="P25" s="40"/>
      <c r="Q25" s="41"/>
    </row>
    <row r="26" spans="2:17" ht="18" customHeight="1" x14ac:dyDescent="0.6">
      <c r="B26" s="34" t="s">
        <v>21</v>
      </c>
      <c r="F26" s="47">
        <f>-F164*F7</f>
        <v>0</v>
      </c>
      <c r="I26" s="40"/>
      <c r="J26" s="40"/>
      <c r="K26" s="40"/>
      <c r="L26" s="40"/>
      <c r="M26" s="40"/>
      <c r="N26" s="40"/>
      <c r="O26" s="40"/>
      <c r="P26" s="40"/>
      <c r="Q26" s="41"/>
    </row>
    <row r="27" spans="2:17" ht="18" customHeight="1" x14ac:dyDescent="0.6">
      <c r="B27" s="34" t="s">
        <v>22</v>
      </c>
      <c r="F27" s="47">
        <f>IF(F10="Treasury Stock",0,-F82)*F7</f>
        <v>0</v>
      </c>
      <c r="I27" s="40"/>
      <c r="J27" s="40"/>
      <c r="K27" s="40"/>
      <c r="L27" s="40"/>
      <c r="M27" s="40"/>
      <c r="N27" s="40"/>
      <c r="O27" s="40"/>
      <c r="P27" s="40"/>
      <c r="Q27" s="41"/>
    </row>
    <row r="28" spans="2:17" ht="18" customHeight="1" x14ac:dyDescent="0.6">
      <c r="B28" s="48" t="s">
        <v>23</v>
      </c>
      <c r="C28" s="49"/>
      <c r="D28" s="49"/>
      <c r="E28" s="49"/>
      <c r="F28" s="50">
        <f>F24+F25+F26+F27</f>
        <v>0</v>
      </c>
      <c r="I28" s="40"/>
      <c r="J28" s="40"/>
      <c r="K28" s="40"/>
      <c r="L28" s="40"/>
      <c r="M28" s="40"/>
      <c r="N28" s="40"/>
      <c r="O28" s="40"/>
      <c r="P28" s="40"/>
      <c r="Q28" s="41"/>
    </row>
    <row r="29" spans="2:17" s="57" customFormat="1" ht="18" customHeight="1" x14ac:dyDescent="0.6">
      <c r="B29" s="51" t="s">
        <v>24</v>
      </c>
      <c r="C29" s="52"/>
      <c r="D29" s="52"/>
      <c r="E29" s="53"/>
      <c r="F29" s="54">
        <f>+$F$52*F7</f>
        <v>0</v>
      </c>
      <c r="G29" s="55"/>
      <c r="H29" s="56"/>
      <c r="I29" s="55"/>
      <c r="J29" s="55"/>
      <c r="K29" s="55"/>
      <c r="L29" s="55"/>
      <c r="M29" s="55"/>
      <c r="N29" s="55"/>
      <c r="O29" s="55"/>
      <c r="P29" s="55"/>
      <c r="Q29" s="55"/>
    </row>
    <row r="30" spans="2:17" s="57" customFormat="1" ht="18" customHeight="1" x14ac:dyDescent="0.6">
      <c r="B30" s="58" t="s">
        <v>25</v>
      </c>
      <c r="C30" s="59"/>
      <c r="D30" s="59"/>
      <c r="E30" s="60"/>
      <c r="F30" s="54">
        <f>+$F$53*F7</f>
        <v>0</v>
      </c>
      <c r="G30" s="55"/>
      <c r="H30" s="56"/>
      <c r="I30" s="55"/>
      <c r="J30" s="55"/>
      <c r="K30" s="55"/>
      <c r="L30" s="55"/>
      <c r="M30" s="55"/>
      <c r="N30" s="55"/>
      <c r="O30" s="55"/>
      <c r="P30" s="55"/>
      <c r="Q30" s="55"/>
    </row>
    <row r="31" spans="2:17" ht="18" customHeight="1" thickBot="1" x14ac:dyDescent="0.65">
      <c r="B31" s="43" t="s">
        <v>26</v>
      </c>
      <c r="C31" s="44"/>
      <c r="D31" s="44"/>
      <c r="E31" s="44"/>
      <c r="F31" s="45" t="e">
        <f>F22+F28+F29+F30</f>
        <v>#DIV/0!</v>
      </c>
      <c r="I31" s="40"/>
      <c r="J31" s="40"/>
      <c r="K31" s="40"/>
      <c r="L31" s="40"/>
      <c r="M31" s="40"/>
      <c r="N31" s="40"/>
      <c r="O31" s="40"/>
      <c r="P31" s="40"/>
      <c r="Q31" s="41"/>
    </row>
    <row r="32" spans="2:17" ht="18" customHeight="1" thickTop="1" x14ac:dyDescent="0.65">
      <c r="B32" s="61"/>
      <c r="C32" s="62"/>
      <c r="D32" s="63"/>
      <c r="E32" s="63"/>
      <c r="F32" s="63"/>
    </row>
    <row r="33" spans="2:13" s="1" customFormat="1" ht="18" customHeight="1" x14ac:dyDescent="0.6">
      <c r="B33" s="64" t="s">
        <v>27</v>
      </c>
      <c r="C33" s="29"/>
      <c r="D33" s="65" t="s">
        <v>28</v>
      </c>
      <c r="E33" s="66" t="s">
        <v>29</v>
      </c>
      <c r="F33" s="66" t="s">
        <v>30</v>
      </c>
      <c r="H33" s="4"/>
    </row>
    <row r="34" spans="2:13" s="1" customFormat="1" ht="18" customHeight="1" x14ac:dyDescent="0.6">
      <c r="B34" s="31" t="s">
        <v>31</v>
      </c>
      <c r="C34" s="29"/>
      <c r="D34" s="67">
        <f t="shared" ref="D34:F35" si="0">IFERROR(IF(D47="NULL","na ",D47),"n/a ")</f>
        <v>0</v>
      </c>
      <c r="E34" s="68" t="str">
        <f t="shared" ca="1" si="0"/>
        <v xml:space="preserve">n/a </v>
      </c>
      <c r="F34" s="68" t="str">
        <f t="shared" ca="1" si="0"/>
        <v xml:space="preserve">n/a </v>
      </c>
      <c r="H34" s="4"/>
    </row>
    <row r="35" spans="2:13" s="1" customFormat="1" ht="18" customHeight="1" x14ac:dyDescent="0.6">
      <c r="B35" s="31" t="s">
        <v>32</v>
      </c>
      <c r="C35" s="29"/>
      <c r="D35" s="67">
        <f t="shared" si="0"/>
        <v>0</v>
      </c>
      <c r="E35" s="68" t="str">
        <f t="shared" ca="1" si="0"/>
        <v xml:space="preserve">n/a </v>
      </c>
      <c r="F35" s="68" t="str">
        <f t="shared" ca="1" si="0"/>
        <v xml:space="preserve">n/a </v>
      </c>
      <c r="H35" s="4"/>
    </row>
    <row r="36" spans="2:13" s="1" customFormat="1" ht="18" customHeight="1" x14ac:dyDescent="0.6">
      <c r="B36" s="31" t="s">
        <v>33</v>
      </c>
      <c r="C36" s="29"/>
      <c r="D36" s="69" t="str">
        <f>IFERROR(IF(D35&lt;0,"nmf ",D35/D34),"n/a ")</f>
        <v xml:space="preserve">n/a </v>
      </c>
      <c r="E36" s="69" t="str">
        <f t="shared" ref="E36:F36" ca="1" si="1">IFERROR(IF(E35&lt;0,"nmf ",E35/E34),"n/a ")</f>
        <v xml:space="preserve">n/a </v>
      </c>
      <c r="F36" s="69" t="str">
        <f t="shared" ca="1" si="1"/>
        <v xml:space="preserve">n/a </v>
      </c>
      <c r="H36" s="4"/>
    </row>
    <row r="37" spans="2:13" s="1" customFormat="1" ht="3" customHeight="1" x14ac:dyDescent="0.6">
      <c r="B37" s="31"/>
      <c r="C37" s="29"/>
      <c r="D37" s="70"/>
      <c r="E37" s="70"/>
      <c r="F37" s="70"/>
      <c r="H37" s="4"/>
    </row>
    <row r="38" spans="2:13" s="1" customFormat="1" ht="18" customHeight="1" x14ac:dyDescent="0.6">
      <c r="B38" s="64" t="s">
        <v>34</v>
      </c>
      <c r="D38" s="71"/>
      <c r="E38" s="71"/>
      <c r="F38" s="71"/>
      <c r="H38" s="4"/>
    </row>
    <row r="39" spans="2:13" s="1" customFormat="1" ht="18" customHeight="1" x14ac:dyDescent="0.6">
      <c r="B39" s="31" t="s">
        <v>35</v>
      </c>
      <c r="D39" s="72" t="e">
        <f>+$F$31/D$34</f>
        <v>#DIV/0!</v>
      </c>
      <c r="E39" s="72" t="e">
        <f t="shared" ref="E39:F39" ca="1" si="2">+$F$31/E$34</f>
        <v>#DIV/0!</v>
      </c>
      <c r="F39" s="72" t="e">
        <f t="shared" ca="1" si="2"/>
        <v>#DIV/0!</v>
      </c>
      <c r="H39" s="73"/>
    </row>
    <row r="40" spans="2:13" s="1" customFormat="1" ht="18" customHeight="1" x14ac:dyDescent="0.6">
      <c r="B40" s="31" t="s">
        <v>36</v>
      </c>
      <c r="D40" s="72" t="e">
        <f>+$F$31/D$35</f>
        <v>#DIV/0!</v>
      </c>
      <c r="E40" s="72" t="e">
        <f t="shared" ref="E40:F40" ca="1" si="3">+$F$31/E$35</f>
        <v>#DIV/0!</v>
      </c>
      <c r="F40" s="72" t="e">
        <f t="shared" ca="1" si="3"/>
        <v>#DIV/0!</v>
      </c>
      <c r="H40" s="4"/>
    </row>
    <row r="41" spans="2:13" s="1" customFormat="1" ht="3" customHeight="1" x14ac:dyDescent="0.6">
      <c r="B41" s="31"/>
      <c r="D41" s="74"/>
      <c r="E41" s="74"/>
      <c r="F41" s="74"/>
      <c r="H41" s="4"/>
    </row>
    <row r="42" spans="2:13" s="1" customFormat="1" ht="18" customHeight="1" x14ac:dyDescent="0.6">
      <c r="B42" s="64" t="s">
        <v>37</v>
      </c>
      <c r="D42" s="74"/>
      <c r="E42" s="74"/>
      <c r="F42" s="74"/>
      <c r="H42" s="4"/>
    </row>
    <row r="43" spans="2:13" s="1" customFormat="1" ht="18" customHeight="1" x14ac:dyDescent="0.6">
      <c r="B43" s="75" t="s">
        <v>38</v>
      </c>
      <c r="D43" s="74"/>
      <c r="E43" s="74"/>
      <c r="F43" s="76" t="e" cm="1">
        <f t="array" aca="1" ref="F43" ca="1">_xll.SNL.Clients.Office.Excel.Functions.SPG($F$3,"SP_NUM_BROKER_REC",$F$6,"Options:NA=NA")</f>
        <v>#NAME?</v>
      </c>
      <c r="H43" s="77"/>
      <c r="I43" s="78"/>
      <c r="J43" s="78"/>
      <c r="K43" s="78"/>
      <c r="L43" s="78"/>
      <c r="M43" s="78"/>
    </row>
    <row r="44" spans="2:13" s="1" customFormat="1" ht="18" customHeight="1" x14ac:dyDescent="0.6">
      <c r="B44" s="75" t="s">
        <v>39</v>
      </c>
      <c r="D44" s="74"/>
      <c r="E44" s="74"/>
      <c r="F44" s="79" t="e" cm="1">
        <f t="array" aca="1" ref="F44" ca="1">_xll.SNL.Clients.Office.Excel.Functions.SPG($F$3,"SP_PRICE_TARGET",$F$6,"Options: NA=NA,Curr="&amp;$F$4)</f>
        <v>#NAME?</v>
      </c>
      <c r="H44" s="4"/>
    </row>
    <row r="45" spans="2:13" s="1" customFormat="1" ht="18" customHeight="1" x14ac:dyDescent="0.6">
      <c r="B45" s="80" t="s">
        <v>40</v>
      </c>
      <c r="D45" s="74"/>
      <c r="E45" s="74"/>
      <c r="F45" s="81" t="str">
        <f ca="1">IFERROR(F44/F16-1,"n/a ")</f>
        <v xml:space="preserve">n/a </v>
      </c>
      <c r="H45" s="4"/>
    </row>
    <row r="46" spans="2:13" s="1" customFormat="1" ht="18" customHeight="1" x14ac:dyDescent="0.6">
      <c r="B46" s="31"/>
      <c r="C46" s="29"/>
      <c r="D46" s="82"/>
      <c r="E46" s="82"/>
      <c r="F46" s="82"/>
      <c r="H46" s="4"/>
    </row>
    <row r="47" spans="2:13" s="1" customFormat="1" ht="18" customHeight="1" x14ac:dyDescent="0.6">
      <c r="B47" s="31" t="s">
        <v>31</v>
      </c>
      <c r="C47" s="29"/>
      <c r="D47" s="83"/>
      <c r="E47" s="84" t="e" cm="1">
        <f t="array" aca="1" ref="E47" ca="1">_xll.SNL.Clients.Office.Excel.Functions.SPG($F$3,"SP_REV_EST",E$33,$F$6,"Options:Mag=Millions,NA=NA,Curr="&amp;$F$5)</f>
        <v>#NAME?</v>
      </c>
      <c r="F47" s="84" t="e" cm="1">
        <f t="array" aca="1" ref="F47" ca="1">_xll.SNL.Clients.Office.Excel.Functions.SPG($F$3,"SP_REV_EST",F$33,$F$6,"Options:Mag=Millions,NA=NA,Curr="&amp;$F$5)</f>
        <v>#NAME?</v>
      </c>
      <c r="H47" s="4"/>
    </row>
    <row r="48" spans="2:13" s="1" customFormat="1" ht="18" customHeight="1" x14ac:dyDescent="0.6">
      <c r="B48" s="31" t="s">
        <v>32</v>
      </c>
      <c r="C48" s="29"/>
      <c r="D48" s="83"/>
      <c r="E48" s="84" t="e" cm="1">
        <f t="array" aca="1" ref="E48" ca="1">_xll.SNL.Clients.Office.Excel.Functions.SPG($F$3,"SP_EBITDA_EST",E$33,$F$6,"Options:Mag=Millions,NA=NA,Curr="&amp;$F$5)</f>
        <v>#NAME?</v>
      </c>
      <c r="F48" s="84" t="e" cm="1">
        <f t="array" aca="1" ref="F48" ca="1">_xll.SNL.Clients.Office.Excel.Functions.SPG($F$3,"SP_EBITDA_EST",F$33,$F$6,"Options:Mag=Millions,NA=NA,Curr="&amp;$F$5)</f>
        <v>#NAME?</v>
      </c>
      <c r="H48" s="4"/>
    </row>
    <row r="49" spans="2:17" ht="18" customHeight="1" x14ac:dyDescent="0.6">
      <c r="B49" s="85"/>
      <c r="C49" s="29"/>
      <c r="D49" s="86"/>
      <c r="E49" s="86"/>
      <c r="F49" s="86"/>
      <c r="Q49" s="1"/>
    </row>
    <row r="50" spans="2:17" ht="15" customHeight="1" x14ac:dyDescent="0.6">
      <c r="B50" s="87" t="s">
        <v>41</v>
      </c>
      <c r="C50" s="88"/>
      <c r="D50" s="88"/>
      <c r="E50" s="88"/>
      <c r="F50" s="88"/>
      <c r="Q50" s="1"/>
    </row>
    <row r="51" spans="2:17" ht="15" customHeight="1" x14ac:dyDescent="0.6">
      <c r="B51" s="89" t="s">
        <v>42</v>
      </c>
      <c r="C51" s="90"/>
      <c r="D51" s="90"/>
      <c r="E51" s="90" t="s">
        <v>43</v>
      </c>
      <c r="F51" s="91" t="s">
        <v>44</v>
      </c>
      <c r="Q51" s="1"/>
    </row>
    <row r="52" spans="2:17" ht="15" customHeight="1" x14ac:dyDescent="0.6">
      <c r="B52" s="92" t="s">
        <v>24</v>
      </c>
      <c r="D52" s="93"/>
      <c r="E52" s="94"/>
      <c r="F52" s="83"/>
      <c r="Q52" s="1"/>
    </row>
    <row r="53" spans="2:17" ht="15" customHeight="1" x14ac:dyDescent="0.6">
      <c r="B53" s="92" t="s">
        <v>25</v>
      </c>
      <c r="D53" s="93"/>
      <c r="E53" s="94"/>
      <c r="F53" s="83"/>
      <c r="Q53" s="1"/>
    </row>
    <row r="54" spans="2:17" ht="15" customHeight="1" x14ac:dyDescent="0.6">
      <c r="B54" s="85"/>
      <c r="D54" s="93"/>
      <c r="E54" s="93"/>
      <c r="F54" s="74"/>
      <c r="Q54" s="1"/>
    </row>
    <row r="55" spans="2:17" ht="15" customHeight="1" x14ac:dyDescent="0.6">
      <c r="B55" s="87" t="s">
        <v>45</v>
      </c>
      <c r="C55" s="88"/>
      <c r="D55" s="88"/>
      <c r="E55" s="88"/>
      <c r="F55" s="88"/>
      <c r="Q55" s="1"/>
    </row>
    <row r="56" spans="2:17" ht="15" customHeight="1" x14ac:dyDescent="0.6">
      <c r="B56" s="89" t="s">
        <v>42</v>
      </c>
      <c r="C56" s="90" t="s">
        <v>44</v>
      </c>
      <c r="D56" s="90" t="s">
        <v>46</v>
      </c>
      <c r="E56" s="90" t="s">
        <v>47</v>
      </c>
      <c r="F56" s="91" t="s">
        <v>48</v>
      </c>
      <c r="Q56" s="1"/>
    </row>
    <row r="57" spans="2:17" ht="15" customHeight="1" x14ac:dyDescent="0.6">
      <c r="B57" s="95"/>
      <c r="C57" s="96"/>
      <c r="D57" s="97"/>
      <c r="E57" s="98">
        <f>IF(D57&lt;F$16,C57,0)</f>
        <v>0</v>
      </c>
      <c r="F57" s="99">
        <f>E57*D57</f>
        <v>0</v>
      </c>
      <c r="Q57" s="1"/>
    </row>
    <row r="58" spans="2:17" ht="15" customHeight="1" x14ac:dyDescent="0.6">
      <c r="B58" s="95"/>
      <c r="C58" s="96"/>
      <c r="D58" s="97"/>
      <c r="E58" s="98">
        <f t="shared" ref="E58:E81" si="4">IF(D58&lt;F$16,C58,0)</f>
        <v>0</v>
      </c>
      <c r="F58" s="99">
        <f t="shared" ref="F58:F81" si="5">E58*D58</f>
        <v>0</v>
      </c>
      <c r="H58" s="100"/>
      <c r="Q58" s="1"/>
    </row>
    <row r="59" spans="2:17" ht="15" customHeight="1" x14ac:dyDescent="0.6">
      <c r="B59" s="95"/>
      <c r="C59" s="96"/>
      <c r="D59" s="97"/>
      <c r="E59" s="98">
        <f t="shared" si="4"/>
        <v>0</v>
      </c>
      <c r="F59" s="99">
        <f t="shared" si="5"/>
        <v>0</v>
      </c>
      <c r="H59" s="100"/>
      <c r="Q59" s="1"/>
    </row>
    <row r="60" spans="2:17" ht="15" customHeight="1" x14ac:dyDescent="0.6">
      <c r="B60" s="95"/>
      <c r="C60" s="96"/>
      <c r="D60" s="97"/>
      <c r="E60" s="98">
        <f t="shared" si="4"/>
        <v>0</v>
      </c>
      <c r="F60" s="99">
        <f t="shared" si="5"/>
        <v>0</v>
      </c>
      <c r="Q60" s="1"/>
    </row>
    <row r="61" spans="2:17" ht="15" customHeight="1" x14ac:dyDescent="0.6">
      <c r="B61" s="95"/>
      <c r="C61" s="96"/>
      <c r="D61" s="97"/>
      <c r="E61" s="98">
        <f t="shared" si="4"/>
        <v>0</v>
      </c>
      <c r="F61" s="99">
        <f t="shared" si="5"/>
        <v>0</v>
      </c>
      <c r="Q61" s="1"/>
    </row>
    <row r="62" spans="2:17" ht="15" customHeight="1" x14ac:dyDescent="0.6">
      <c r="B62" s="95"/>
      <c r="C62" s="96"/>
      <c r="D62" s="97"/>
      <c r="E62" s="98">
        <f t="shared" si="4"/>
        <v>0</v>
      </c>
      <c r="F62" s="99">
        <f t="shared" si="5"/>
        <v>0</v>
      </c>
      <c r="Q62" s="1"/>
    </row>
    <row r="63" spans="2:17" ht="15" customHeight="1" x14ac:dyDescent="0.6">
      <c r="B63" s="95"/>
      <c r="C63" s="96"/>
      <c r="D63" s="97"/>
      <c r="E63" s="98">
        <f t="shared" si="4"/>
        <v>0</v>
      </c>
      <c r="F63" s="99">
        <f t="shared" si="5"/>
        <v>0</v>
      </c>
      <c r="Q63" s="1"/>
    </row>
    <row r="64" spans="2:17" ht="15" customHeight="1" x14ac:dyDescent="0.6">
      <c r="B64" s="95"/>
      <c r="C64" s="96"/>
      <c r="D64" s="97"/>
      <c r="E64" s="98">
        <f t="shared" si="4"/>
        <v>0</v>
      </c>
      <c r="F64" s="99">
        <f t="shared" si="5"/>
        <v>0</v>
      </c>
      <c r="Q64" s="1"/>
    </row>
    <row r="65" spans="2:17" ht="15" customHeight="1" x14ac:dyDescent="0.6">
      <c r="B65" s="95"/>
      <c r="C65" s="96"/>
      <c r="D65" s="97"/>
      <c r="E65" s="98">
        <f t="shared" si="4"/>
        <v>0</v>
      </c>
      <c r="F65" s="99">
        <f t="shared" si="5"/>
        <v>0</v>
      </c>
      <c r="Q65" s="1"/>
    </row>
    <row r="66" spans="2:17" ht="15" customHeight="1" x14ac:dyDescent="0.6">
      <c r="B66" s="95"/>
      <c r="C66" s="96"/>
      <c r="D66" s="97"/>
      <c r="E66" s="98">
        <f t="shared" si="4"/>
        <v>0</v>
      </c>
      <c r="F66" s="99">
        <f t="shared" si="5"/>
        <v>0</v>
      </c>
      <c r="Q66" s="1"/>
    </row>
    <row r="67" spans="2:17" ht="15" customHeight="1" x14ac:dyDescent="0.6">
      <c r="B67" s="95"/>
      <c r="C67" s="96"/>
      <c r="D67" s="97"/>
      <c r="E67" s="98">
        <f t="shared" si="4"/>
        <v>0</v>
      </c>
      <c r="F67" s="99">
        <f t="shared" si="5"/>
        <v>0</v>
      </c>
      <c r="Q67" s="1"/>
    </row>
    <row r="68" spans="2:17" ht="15" customHeight="1" x14ac:dyDescent="0.6">
      <c r="B68" s="95"/>
      <c r="C68" s="96"/>
      <c r="D68" s="97"/>
      <c r="E68" s="98">
        <f t="shared" si="4"/>
        <v>0</v>
      </c>
      <c r="F68" s="99">
        <f t="shared" si="5"/>
        <v>0</v>
      </c>
      <c r="Q68" s="1"/>
    </row>
    <row r="69" spans="2:17" ht="15" customHeight="1" x14ac:dyDescent="0.6">
      <c r="B69" s="95"/>
      <c r="C69" s="96"/>
      <c r="D69" s="97"/>
      <c r="E69" s="98">
        <f t="shared" si="4"/>
        <v>0</v>
      </c>
      <c r="F69" s="99">
        <f t="shared" si="5"/>
        <v>0</v>
      </c>
      <c r="Q69" s="1"/>
    </row>
    <row r="70" spans="2:17" ht="15" customHeight="1" x14ac:dyDescent="0.6">
      <c r="B70" s="95"/>
      <c r="C70" s="96"/>
      <c r="D70" s="97"/>
      <c r="E70" s="98">
        <f t="shared" si="4"/>
        <v>0</v>
      </c>
      <c r="F70" s="99">
        <f t="shared" si="5"/>
        <v>0</v>
      </c>
      <c r="Q70" s="1"/>
    </row>
    <row r="71" spans="2:17" ht="15" customHeight="1" x14ac:dyDescent="0.6">
      <c r="B71" s="95"/>
      <c r="C71" s="96"/>
      <c r="D71" s="97"/>
      <c r="E71" s="98">
        <f t="shared" si="4"/>
        <v>0</v>
      </c>
      <c r="F71" s="99">
        <f t="shared" si="5"/>
        <v>0</v>
      </c>
      <c r="Q71" s="1"/>
    </row>
    <row r="72" spans="2:17" ht="15" customHeight="1" x14ac:dyDescent="0.6">
      <c r="B72" s="95"/>
      <c r="C72" s="96"/>
      <c r="D72" s="97"/>
      <c r="E72" s="98">
        <f t="shared" si="4"/>
        <v>0</v>
      </c>
      <c r="F72" s="99">
        <f t="shared" si="5"/>
        <v>0</v>
      </c>
      <c r="Q72" s="1"/>
    </row>
    <row r="73" spans="2:17" ht="15" customHeight="1" x14ac:dyDescent="0.6">
      <c r="B73" s="95"/>
      <c r="C73" s="96"/>
      <c r="D73" s="97"/>
      <c r="E73" s="98">
        <f t="shared" si="4"/>
        <v>0</v>
      </c>
      <c r="F73" s="99">
        <f t="shared" si="5"/>
        <v>0</v>
      </c>
      <c r="Q73" s="1"/>
    </row>
    <row r="74" spans="2:17" ht="15" customHeight="1" x14ac:dyDescent="0.6">
      <c r="B74" s="95"/>
      <c r="C74" s="96"/>
      <c r="D74" s="97"/>
      <c r="E74" s="98">
        <f t="shared" si="4"/>
        <v>0</v>
      </c>
      <c r="F74" s="99">
        <f t="shared" si="5"/>
        <v>0</v>
      </c>
      <c r="Q74" s="1"/>
    </row>
    <row r="75" spans="2:17" ht="15" customHeight="1" x14ac:dyDescent="0.65">
      <c r="B75" s="95"/>
      <c r="C75" s="96"/>
      <c r="D75" s="97"/>
      <c r="E75" s="98">
        <f t="shared" si="4"/>
        <v>0</v>
      </c>
      <c r="F75" s="99">
        <f t="shared" si="5"/>
        <v>0</v>
      </c>
    </row>
    <row r="76" spans="2:17" ht="15" customHeight="1" x14ac:dyDescent="0.65">
      <c r="B76" s="95"/>
      <c r="C76" s="96"/>
      <c r="D76" s="97"/>
      <c r="E76" s="98">
        <f>IF(D76&lt;F$16,C76,0)</f>
        <v>0</v>
      </c>
      <c r="F76" s="99">
        <f t="shared" si="5"/>
        <v>0</v>
      </c>
    </row>
    <row r="77" spans="2:17" ht="15" customHeight="1" x14ac:dyDescent="0.65">
      <c r="B77" s="95"/>
      <c r="C77" s="96"/>
      <c r="D77" s="97"/>
      <c r="E77" s="98">
        <f t="shared" ref="E77:E80" si="6">IF(D77&lt;F$16,C77,0)</f>
        <v>0</v>
      </c>
      <c r="F77" s="99">
        <f t="shared" si="5"/>
        <v>0</v>
      </c>
    </row>
    <row r="78" spans="2:17" ht="15" customHeight="1" x14ac:dyDescent="0.65">
      <c r="B78" s="95"/>
      <c r="C78" s="96"/>
      <c r="D78" s="97"/>
      <c r="E78" s="98">
        <f t="shared" si="6"/>
        <v>0</v>
      </c>
      <c r="F78" s="99">
        <f t="shared" si="5"/>
        <v>0</v>
      </c>
    </row>
    <row r="79" spans="2:17" ht="15" customHeight="1" x14ac:dyDescent="0.65">
      <c r="B79" s="95"/>
      <c r="C79" s="96"/>
      <c r="D79" s="97"/>
      <c r="E79" s="98">
        <f t="shared" si="6"/>
        <v>0</v>
      </c>
      <c r="F79" s="99">
        <f t="shared" si="5"/>
        <v>0</v>
      </c>
    </row>
    <row r="80" spans="2:17" ht="15" customHeight="1" x14ac:dyDescent="0.65">
      <c r="B80" s="95"/>
      <c r="C80" s="96"/>
      <c r="D80" s="97"/>
      <c r="E80" s="98">
        <f t="shared" si="6"/>
        <v>0</v>
      </c>
      <c r="F80" s="99">
        <f t="shared" si="5"/>
        <v>0</v>
      </c>
    </row>
    <row r="81" spans="2:17" ht="15" customHeight="1" x14ac:dyDescent="0.65">
      <c r="B81" s="95"/>
      <c r="C81" s="96"/>
      <c r="D81" s="97"/>
      <c r="E81" s="98">
        <f t="shared" si="4"/>
        <v>0</v>
      </c>
      <c r="F81" s="99">
        <f t="shared" si="5"/>
        <v>0</v>
      </c>
    </row>
    <row r="82" spans="2:17" s="29" customFormat="1" ht="15" customHeight="1" x14ac:dyDescent="0.6">
      <c r="B82" s="101" t="s">
        <v>49</v>
      </c>
      <c r="C82" s="101"/>
      <c r="D82" s="101"/>
      <c r="E82" s="102">
        <f>SUM(E57:E81)</f>
        <v>0</v>
      </c>
      <c r="F82" s="103">
        <f>SUM(F57:F81)</f>
        <v>0</v>
      </c>
      <c r="H82" s="104"/>
      <c r="Q82" s="105"/>
    </row>
    <row r="84" spans="2:17" ht="15" customHeight="1" x14ac:dyDescent="0.65">
      <c r="B84" s="1" t="s">
        <v>50</v>
      </c>
      <c r="F84" s="98">
        <f>E82</f>
        <v>0</v>
      </c>
    </row>
    <row r="85" spans="2:17" ht="15" customHeight="1" x14ac:dyDescent="0.65">
      <c r="B85" s="106" t="s">
        <v>51</v>
      </c>
      <c r="C85" s="106"/>
      <c r="D85" s="106"/>
      <c r="E85" s="106"/>
      <c r="F85" s="107" t="e">
        <f>-F82/F16</f>
        <v>#DIV/0!</v>
      </c>
    </row>
    <row r="86" spans="2:17" s="29" customFormat="1" ht="15" customHeight="1" x14ac:dyDescent="0.6">
      <c r="B86" s="101" t="s">
        <v>52</v>
      </c>
      <c r="C86" s="101"/>
      <c r="D86" s="101"/>
      <c r="E86" s="101"/>
      <c r="F86" s="102" t="e">
        <f>SUM(F84:F85)</f>
        <v>#DIV/0!</v>
      </c>
      <c r="H86" s="104"/>
      <c r="Q86" s="105"/>
    </row>
    <row r="88" spans="2:17" ht="15" customHeight="1" x14ac:dyDescent="0.65">
      <c r="B88" s="87" t="s">
        <v>53</v>
      </c>
      <c r="C88" s="88"/>
      <c r="D88" s="88"/>
      <c r="E88" s="88"/>
      <c r="F88" s="88"/>
    </row>
    <row r="89" spans="2:17" ht="15" customHeight="1" x14ac:dyDescent="0.65">
      <c r="B89" s="89" t="s">
        <v>42</v>
      </c>
      <c r="C89" s="90" t="s">
        <v>44</v>
      </c>
      <c r="D89" s="90" t="s">
        <v>54</v>
      </c>
      <c r="E89" s="90" t="s">
        <v>46</v>
      </c>
      <c r="F89" s="91" t="s">
        <v>47</v>
      </c>
    </row>
    <row r="90" spans="2:17" ht="15" customHeight="1" x14ac:dyDescent="0.65">
      <c r="B90" s="95"/>
      <c r="C90" s="83"/>
      <c r="D90" s="108"/>
      <c r="E90" s="109"/>
      <c r="F90" s="98">
        <f t="shared" ref="F90:F103" si="7">IF(E90&lt;F$16,(C90/1000)*D90,0)</f>
        <v>0</v>
      </c>
    </row>
    <row r="91" spans="2:17" ht="15" customHeight="1" x14ac:dyDescent="0.65">
      <c r="B91" s="95"/>
      <c r="C91" s="83"/>
      <c r="D91" s="110"/>
      <c r="E91" s="109"/>
      <c r="F91" s="98">
        <f>IF(E91&lt;F$16,(C91/1000)*D91,0)</f>
        <v>0</v>
      </c>
    </row>
    <row r="92" spans="2:17" ht="15" customHeight="1" x14ac:dyDescent="0.65">
      <c r="B92" s="95"/>
      <c r="C92" s="83"/>
      <c r="D92" s="110"/>
      <c r="E92" s="109"/>
      <c r="F92" s="98">
        <f t="shared" ref="F92:F99" si="8">IF(E92&lt;F$16,(C92/1000)*D92,0)</f>
        <v>0</v>
      </c>
    </row>
    <row r="93" spans="2:17" ht="15" customHeight="1" x14ac:dyDescent="0.65">
      <c r="B93" s="95"/>
      <c r="C93" s="83"/>
      <c r="D93" s="110"/>
      <c r="E93" s="109"/>
      <c r="F93" s="98">
        <f t="shared" si="8"/>
        <v>0</v>
      </c>
    </row>
    <row r="94" spans="2:17" ht="15" customHeight="1" x14ac:dyDescent="0.65">
      <c r="B94" s="95"/>
      <c r="C94" s="83"/>
      <c r="D94" s="110"/>
      <c r="E94" s="109"/>
      <c r="F94" s="98">
        <f t="shared" si="8"/>
        <v>0</v>
      </c>
    </row>
    <row r="95" spans="2:17" ht="15" customHeight="1" x14ac:dyDescent="0.65">
      <c r="B95" s="95"/>
      <c r="C95" s="83"/>
      <c r="D95" s="110"/>
      <c r="E95" s="109"/>
      <c r="F95" s="98">
        <f t="shared" si="8"/>
        <v>0</v>
      </c>
    </row>
    <row r="96" spans="2:17" ht="15" customHeight="1" x14ac:dyDescent="0.65">
      <c r="B96" s="95"/>
      <c r="C96" s="83"/>
      <c r="D96" s="110"/>
      <c r="E96" s="109"/>
      <c r="F96" s="98">
        <f t="shared" si="8"/>
        <v>0</v>
      </c>
    </row>
    <row r="97" spans="2:17" ht="15" customHeight="1" x14ac:dyDescent="0.65">
      <c r="B97" s="95"/>
      <c r="C97" s="83"/>
      <c r="D97" s="110"/>
      <c r="E97" s="109"/>
      <c r="F97" s="98">
        <f t="shared" si="8"/>
        <v>0</v>
      </c>
    </row>
    <row r="98" spans="2:17" ht="15" customHeight="1" x14ac:dyDescent="0.65">
      <c r="B98" s="95"/>
      <c r="C98" s="83"/>
      <c r="D98" s="110"/>
      <c r="E98" s="109"/>
      <c r="F98" s="98">
        <f t="shared" si="8"/>
        <v>0</v>
      </c>
    </row>
    <row r="99" spans="2:17" ht="15" customHeight="1" x14ac:dyDescent="0.65">
      <c r="B99" s="95"/>
      <c r="C99" s="83"/>
      <c r="D99" s="110"/>
      <c r="E99" s="109"/>
      <c r="F99" s="98">
        <f t="shared" si="8"/>
        <v>0</v>
      </c>
    </row>
    <row r="100" spans="2:17" ht="15" customHeight="1" x14ac:dyDescent="0.65">
      <c r="B100" s="95"/>
      <c r="C100" s="83"/>
      <c r="D100" s="110"/>
      <c r="E100" s="109"/>
      <c r="F100" s="98">
        <f>IF(E100&lt;F$16,(C100/1000)*D100,0)</f>
        <v>0</v>
      </c>
    </row>
    <row r="101" spans="2:17" ht="15" customHeight="1" x14ac:dyDescent="0.65">
      <c r="B101" s="95"/>
      <c r="C101" s="83"/>
      <c r="D101" s="110"/>
      <c r="E101" s="109"/>
      <c r="F101" s="98">
        <f t="shared" si="7"/>
        <v>0</v>
      </c>
    </row>
    <row r="102" spans="2:17" ht="15" customHeight="1" x14ac:dyDescent="0.65">
      <c r="B102" s="95"/>
      <c r="C102" s="83"/>
      <c r="D102" s="110"/>
      <c r="E102" s="109"/>
      <c r="F102" s="98">
        <f t="shared" si="7"/>
        <v>0</v>
      </c>
    </row>
    <row r="103" spans="2:17" ht="15" customHeight="1" x14ac:dyDescent="0.65">
      <c r="B103" s="95"/>
      <c r="C103" s="83"/>
      <c r="D103" s="110"/>
      <c r="E103" s="109"/>
      <c r="F103" s="98">
        <f t="shared" si="7"/>
        <v>0</v>
      </c>
    </row>
    <row r="104" spans="2:17" s="29" customFormat="1" ht="15" customHeight="1" x14ac:dyDescent="0.6">
      <c r="B104" s="101" t="s">
        <v>55</v>
      </c>
      <c r="C104" s="101"/>
      <c r="D104" s="101"/>
      <c r="E104" s="101"/>
      <c r="F104" s="102">
        <f>SUM(F90:F103)</f>
        <v>0</v>
      </c>
      <c r="H104" s="104"/>
      <c r="Q104" s="105"/>
    </row>
    <row r="106" spans="2:17" ht="15" customHeight="1" x14ac:dyDescent="0.65">
      <c r="B106" s="87" t="s">
        <v>56</v>
      </c>
      <c r="C106" s="88"/>
      <c r="D106" s="88"/>
      <c r="E106" s="88"/>
      <c r="F106" s="88"/>
    </row>
    <row r="107" spans="2:17" ht="15" customHeight="1" x14ac:dyDescent="0.65">
      <c r="B107" s="89" t="s">
        <v>42</v>
      </c>
      <c r="C107" s="90"/>
      <c r="D107" s="90"/>
      <c r="E107" s="90" t="s">
        <v>43</v>
      </c>
      <c r="F107" s="91" t="s">
        <v>44</v>
      </c>
    </row>
    <row r="108" spans="2:17" ht="15" customHeight="1" x14ac:dyDescent="0.65">
      <c r="B108" s="95"/>
      <c r="C108" s="111"/>
      <c r="D108" s="112"/>
      <c r="E108" s="94"/>
      <c r="F108" s="83"/>
    </row>
    <row r="109" spans="2:17" ht="15" customHeight="1" x14ac:dyDescent="0.65">
      <c r="B109" s="95"/>
      <c r="C109" s="111"/>
      <c r="D109" s="112"/>
      <c r="E109" s="94"/>
      <c r="F109" s="83"/>
    </row>
    <row r="110" spans="2:17" ht="15" customHeight="1" x14ac:dyDescent="0.65">
      <c r="B110" s="113"/>
      <c r="C110" s="111"/>
      <c r="D110" s="112"/>
      <c r="E110" s="94"/>
      <c r="F110" s="83"/>
    </row>
    <row r="111" spans="2:17" ht="15" customHeight="1" x14ac:dyDescent="0.65">
      <c r="B111" s="95"/>
      <c r="C111" s="111"/>
      <c r="D111" s="112"/>
      <c r="E111" s="94"/>
      <c r="F111" s="83"/>
    </row>
    <row r="112" spans="2:17" ht="15" customHeight="1" x14ac:dyDescent="0.65">
      <c r="B112" s="95"/>
      <c r="C112" s="111"/>
      <c r="D112" s="112"/>
      <c r="E112" s="94"/>
      <c r="F112" s="83"/>
    </row>
    <row r="113" spans="2:17" ht="15" customHeight="1" x14ac:dyDescent="0.65">
      <c r="B113" s="95"/>
      <c r="C113" s="111"/>
      <c r="D113" s="112"/>
      <c r="E113" s="94"/>
      <c r="F113" s="83"/>
    </row>
    <row r="114" spans="2:17" ht="15" customHeight="1" x14ac:dyDescent="0.65">
      <c r="B114" s="95"/>
      <c r="C114" s="111"/>
      <c r="D114" s="112"/>
      <c r="E114" s="94"/>
      <c r="F114" s="83"/>
    </row>
    <row r="115" spans="2:17" ht="15" customHeight="1" x14ac:dyDescent="0.65">
      <c r="B115" s="95"/>
      <c r="C115" s="111"/>
      <c r="D115" s="112"/>
      <c r="E115" s="94"/>
      <c r="F115" s="83"/>
    </row>
    <row r="116" spans="2:17" ht="15" customHeight="1" x14ac:dyDescent="0.65">
      <c r="B116" s="95"/>
      <c r="C116" s="111"/>
      <c r="D116" s="112"/>
      <c r="E116" s="94"/>
      <c r="F116" s="83"/>
    </row>
    <row r="117" spans="2:17" ht="15" customHeight="1" x14ac:dyDescent="0.65">
      <c r="B117" s="95"/>
      <c r="C117" s="111"/>
      <c r="D117" s="112"/>
      <c r="E117" s="94"/>
      <c r="F117" s="83"/>
    </row>
    <row r="118" spans="2:17" ht="15" customHeight="1" x14ac:dyDescent="0.65">
      <c r="B118" s="95"/>
      <c r="C118" s="111"/>
      <c r="D118" s="112"/>
      <c r="E118" s="94"/>
      <c r="F118" s="83"/>
    </row>
    <row r="119" spans="2:17" ht="15" customHeight="1" x14ac:dyDescent="0.65">
      <c r="B119" s="95"/>
      <c r="C119" s="111"/>
      <c r="D119" s="112"/>
      <c r="E119" s="94"/>
      <c r="F119" s="83"/>
    </row>
    <row r="120" spans="2:17" ht="15" customHeight="1" x14ac:dyDescent="0.65">
      <c r="B120" s="95"/>
      <c r="C120" s="111"/>
      <c r="D120" s="112"/>
      <c r="E120" s="94"/>
      <c r="F120" s="83"/>
    </row>
    <row r="121" spans="2:17" ht="15" customHeight="1" x14ac:dyDescent="0.65">
      <c r="B121" s="95"/>
      <c r="C121" s="111"/>
      <c r="D121" s="112"/>
      <c r="E121" s="114"/>
      <c r="F121" s="83"/>
    </row>
    <row r="122" spans="2:17" s="29" customFormat="1" ht="15" customHeight="1" x14ac:dyDescent="0.6">
      <c r="B122" s="115" t="s">
        <v>57</v>
      </c>
      <c r="C122" s="101"/>
      <c r="D122" s="101"/>
      <c r="E122" s="101"/>
      <c r="F122" s="103">
        <f>SUM(F108:F121)</f>
        <v>0</v>
      </c>
      <c r="H122" s="104"/>
      <c r="Q122" s="105"/>
    </row>
    <row r="123" spans="2:17" s="29" customFormat="1" ht="15" customHeight="1" x14ac:dyDescent="0.6">
      <c r="F123" s="116"/>
      <c r="H123" s="104"/>
      <c r="Q123" s="105"/>
    </row>
    <row r="124" spans="2:17" s="29" customFormat="1" ht="15" customHeight="1" x14ac:dyDescent="0.6">
      <c r="B124" s="87" t="s">
        <v>58</v>
      </c>
      <c r="C124" s="88"/>
      <c r="D124" s="88"/>
      <c r="E124" s="88"/>
      <c r="F124" s="88"/>
      <c r="H124" s="104"/>
      <c r="Q124" s="105"/>
    </row>
    <row r="125" spans="2:17" s="29" customFormat="1" ht="15" customHeight="1" x14ac:dyDescent="0.6">
      <c r="B125" s="89" t="s">
        <v>42</v>
      </c>
      <c r="C125" s="90"/>
      <c r="D125" s="90"/>
      <c r="E125" s="90" t="s">
        <v>43</v>
      </c>
      <c r="F125" s="91" t="s">
        <v>44</v>
      </c>
      <c r="H125" s="104"/>
      <c r="Q125" s="105"/>
    </row>
    <row r="126" spans="2:17" s="29" customFormat="1" ht="15" customHeight="1" x14ac:dyDescent="0.6">
      <c r="B126" s="95"/>
      <c r="C126" s="111"/>
      <c r="D126" s="112"/>
      <c r="E126" s="94"/>
      <c r="F126" s="83"/>
      <c r="H126" s="4"/>
      <c r="Q126" s="105"/>
    </row>
    <row r="127" spans="2:17" s="29" customFormat="1" ht="15" customHeight="1" x14ac:dyDescent="0.6">
      <c r="B127" s="95"/>
      <c r="C127" s="111"/>
      <c r="D127" s="112"/>
      <c r="E127" s="94"/>
      <c r="F127" s="83"/>
      <c r="H127" s="4"/>
      <c r="Q127" s="105"/>
    </row>
    <row r="128" spans="2:17" s="29" customFormat="1" ht="15" customHeight="1" x14ac:dyDescent="0.6">
      <c r="B128" s="95"/>
      <c r="C128" s="111"/>
      <c r="D128" s="112"/>
      <c r="E128" s="94"/>
      <c r="F128" s="83"/>
      <c r="H128" s="4"/>
      <c r="Q128" s="105"/>
    </row>
    <row r="129" spans="2:17" s="29" customFormat="1" ht="15" customHeight="1" x14ac:dyDescent="0.6">
      <c r="B129" s="95"/>
      <c r="C129" s="111"/>
      <c r="D129" s="112"/>
      <c r="E129" s="94"/>
      <c r="F129" s="83"/>
      <c r="H129" s="4"/>
      <c r="Q129" s="105"/>
    </row>
    <row r="130" spans="2:17" s="29" customFormat="1" ht="15" customHeight="1" x14ac:dyDescent="0.6">
      <c r="B130" s="95"/>
      <c r="C130" s="111"/>
      <c r="D130" s="112"/>
      <c r="E130" s="94"/>
      <c r="F130" s="83"/>
      <c r="H130" s="4"/>
      <c r="Q130" s="105"/>
    </row>
    <row r="131" spans="2:17" s="29" customFormat="1" ht="15" customHeight="1" x14ac:dyDescent="0.6">
      <c r="B131" s="95"/>
      <c r="C131" s="111"/>
      <c r="D131" s="112"/>
      <c r="E131" s="94"/>
      <c r="F131" s="83"/>
      <c r="H131" s="4"/>
      <c r="Q131" s="105"/>
    </row>
    <row r="132" spans="2:17" s="29" customFormat="1" ht="15" customHeight="1" x14ac:dyDescent="0.6">
      <c r="B132" s="95"/>
      <c r="C132" s="111"/>
      <c r="D132" s="112"/>
      <c r="E132" s="94"/>
      <c r="F132" s="83"/>
      <c r="H132" s="4"/>
      <c r="Q132" s="105"/>
    </row>
    <row r="133" spans="2:17" s="29" customFormat="1" ht="15" customHeight="1" x14ac:dyDescent="0.6">
      <c r="B133" s="95"/>
      <c r="C133" s="111"/>
      <c r="D133" s="112"/>
      <c r="E133" s="94"/>
      <c r="F133" s="83"/>
      <c r="H133" s="4"/>
      <c r="Q133" s="105"/>
    </row>
    <row r="134" spans="2:17" s="29" customFormat="1" ht="15" customHeight="1" x14ac:dyDescent="0.6">
      <c r="B134" s="95"/>
      <c r="C134" s="111"/>
      <c r="D134" s="112"/>
      <c r="E134" s="94"/>
      <c r="F134" s="83"/>
      <c r="H134" s="4"/>
      <c r="Q134" s="105"/>
    </row>
    <row r="135" spans="2:17" s="29" customFormat="1" ht="15" customHeight="1" x14ac:dyDescent="0.6">
      <c r="B135" s="95"/>
      <c r="C135" s="111"/>
      <c r="D135" s="112"/>
      <c r="E135" s="94"/>
      <c r="F135" s="83"/>
      <c r="H135" s="4"/>
      <c r="Q135" s="105"/>
    </row>
    <row r="136" spans="2:17" s="29" customFormat="1" ht="15" customHeight="1" x14ac:dyDescent="0.6">
      <c r="B136" s="95"/>
      <c r="C136" s="111"/>
      <c r="D136" s="112"/>
      <c r="E136" s="94"/>
      <c r="F136" s="83"/>
      <c r="H136" s="4"/>
      <c r="Q136" s="105"/>
    </row>
    <row r="137" spans="2:17" s="29" customFormat="1" ht="15" customHeight="1" x14ac:dyDescent="0.6">
      <c r="B137" s="95"/>
      <c r="C137" s="111"/>
      <c r="D137" s="112"/>
      <c r="E137" s="94"/>
      <c r="F137" s="83"/>
      <c r="H137" s="4"/>
      <c r="Q137" s="105"/>
    </row>
    <row r="138" spans="2:17" s="29" customFormat="1" ht="15" customHeight="1" x14ac:dyDescent="0.6">
      <c r="B138" s="95"/>
      <c r="C138" s="111"/>
      <c r="D138" s="112"/>
      <c r="E138" s="94"/>
      <c r="F138" s="83"/>
      <c r="H138" s="104"/>
      <c r="Q138" s="105"/>
    </row>
    <row r="139" spans="2:17" s="29" customFormat="1" ht="15" customHeight="1" x14ac:dyDescent="0.6">
      <c r="B139" s="95"/>
      <c r="C139" s="111"/>
      <c r="D139" s="112"/>
      <c r="E139" s="94"/>
      <c r="F139" s="83"/>
      <c r="H139" s="104"/>
      <c r="Q139" s="105"/>
    </row>
    <row r="140" spans="2:17" s="29" customFormat="1" ht="15" customHeight="1" x14ac:dyDescent="0.6">
      <c r="B140" s="95"/>
      <c r="C140" s="111"/>
      <c r="D140" s="112"/>
      <c r="E140" s="94"/>
      <c r="F140" s="83"/>
      <c r="H140" s="104"/>
      <c r="Q140" s="105"/>
    </row>
    <row r="141" spans="2:17" s="29" customFormat="1" ht="15" customHeight="1" x14ac:dyDescent="0.6">
      <c r="B141" s="95"/>
      <c r="C141" s="111"/>
      <c r="D141" s="112"/>
      <c r="E141" s="94"/>
      <c r="F141" s="83"/>
      <c r="H141" s="104"/>
      <c r="Q141" s="105"/>
    </row>
    <row r="142" spans="2:17" s="29" customFormat="1" ht="15" customHeight="1" x14ac:dyDescent="0.6">
      <c r="B142" s="95"/>
      <c r="C142" s="111"/>
      <c r="D142" s="112"/>
      <c r="E142" s="114"/>
      <c r="F142" s="83"/>
      <c r="H142" s="104"/>
      <c r="Q142" s="105"/>
    </row>
    <row r="143" spans="2:17" s="29" customFormat="1" ht="15" customHeight="1" x14ac:dyDescent="0.6">
      <c r="B143" s="101" t="s">
        <v>57</v>
      </c>
      <c r="C143" s="101"/>
      <c r="D143" s="101"/>
      <c r="E143" s="101"/>
      <c r="F143" s="103">
        <f>SUM(F126:F142)</f>
        <v>0</v>
      </c>
      <c r="H143" s="104"/>
      <c r="Q143" s="105"/>
    </row>
    <row r="145" spans="2:6" ht="15" customHeight="1" x14ac:dyDescent="0.65">
      <c r="B145" s="87" t="s">
        <v>59</v>
      </c>
      <c r="C145" s="88"/>
      <c r="D145" s="88"/>
      <c r="E145" s="88"/>
      <c r="F145" s="88"/>
    </row>
    <row r="146" spans="2:6" ht="15" customHeight="1" x14ac:dyDescent="0.65">
      <c r="B146" s="89" t="s">
        <v>42</v>
      </c>
      <c r="C146" s="90"/>
      <c r="D146" s="90"/>
      <c r="E146" s="90" t="s">
        <v>43</v>
      </c>
      <c r="F146" s="91" t="s">
        <v>44</v>
      </c>
    </row>
    <row r="147" spans="2:6" ht="15" customHeight="1" x14ac:dyDescent="0.65">
      <c r="B147" s="95"/>
      <c r="C147" s="111"/>
      <c r="D147" s="112"/>
      <c r="E147" s="94"/>
      <c r="F147" s="83"/>
    </row>
    <row r="148" spans="2:6" ht="15" customHeight="1" x14ac:dyDescent="0.65">
      <c r="B148" s="117"/>
      <c r="C148" s="118"/>
      <c r="D148" s="119"/>
      <c r="E148" s="120"/>
      <c r="F148" s="83"/>
    </row>
    <row r="149" spans="2:6" ht="15" customHeight="1" x14ac:dyDescent="0.65">
      <c r="B149" s="117"/>
      <c r="C149" s="111"/>
      <c r="D149" s="112"/>
      <c r="E149" s="120"/>
      <c r="F149" s="83"/>
    </row>
    <row r="150" spans="2:6" ht="15" customHeight="1" x14ac:dyDescent="0.65">
      <c r="B150" s="117"/>
      <c r="C150" s="111"/>
      <c r="D150" s="112"/>
      <c r="E150" s="120"/>
      <c r="F150" s="83"/>
    </row>
    <row r="151" spans="2:6" ht="15" customHeight="1" x14ac:dyDescent="0.65">
      <c r="B151" s="117"/>
      <c r="C151" s="111"/>
      <c r="D151" s="112"/>
      <c r="E151" s="120"/>
      <c r="F151" s="83"/>
    </row>
    <row r="152" spans="2:6" ht="15" customHeight="1" x14ac:dyDescent="0.65">
      <c r="B152" s="117"/>
      <c r="C152" s="111"/>
      <c r="D152" s="112"/>
      <c r="E152" s="120"/>
      <c r="F152" s="83"/>
    </row>
    <row r="153" spans="2:6" ht="15" customHeight="1" x14ac:dyDescent="0.65">
      <c r="B153" s="117"/>
      <c r="C153" s="111"/>
      <c r="D153" s="112"/>
      <c r="E153" s="120"/>
      <c r="F153" s="83"/>
    </row>
    <row r="154" spans="2:6" ht="15" customHeight="1" x14ac:dyDescent="0.65">
      <c r="B154" s="117"/>
      <c r="C154" s="111"/>
      <c r="D154" s="112"/>
      <c r="E154" s="120"/>
      <c r="F154" s="83"/>
    </row>
    <row r="155" spans="2:6" ht="15" customHeight="1" x14ac:dyDescent="0.65">
      <c r="B155" s="117"/>
      <c r="C155" s="111"/>
      <c r="D155" s="112"/>
      <c r="E155" s="120"/>
      <c r="F155" s="83"/>
    </row>
    <row r="156" spans="2:6" ht="15" customHeight="1" x14ac:dyDescent="0.65">
      <c r="B156" s="117"/>
      <c r="C156" s="111"/>
      <c r="D156" s="112"/>
      <c r="E156" s="120"/>
      <c r="F156" s="83"/>
    </row>
    <row r="157" spans="2:6" ht="15" customHeight="1" x14ac:dyDescent="0.65">
      <c r="B157" s="117"/>
      <c r="C157" s="111"/>
      <c r="D157" s="112"/>
      <c r="E157" s="120"/>
      <c r="F157" s="83"/>
    </row>
    <row r="158" spans="2:6" ht="15" customHeight="1" x14ac:dyDescent="0.65">
      <c r="B158" s="117"/>
      <c r="C158" s="111"/>
      <c r="D158" s="112"/>
      <c r="E158" s="120"/>
      <c r="F158" s="83"/>
    </row>
    <row r="159" spans="2:6" ht="15" customHeight="1" x14ac:dyDescent="0.65">
      <c r="B159" s="117"/>
      <c r="C159" s="111"/>
      <c r="D159" s="112"/>
      <c r="E159" s="120"/>
      <c r="F159" s="83"/>
    </row>
    <row r="160" spans="2:6" ht="15" customHeight="1" x14ac:dyDescent="0.65">
      <c r="B160" s="117"/>
      <c r="C160" s="111"/>
      <c r="D160" s="112"/>
      <c r="E160" s="120"/>
      <c r="F160" s="83"/>
    </row>
    <row r="161" spans="2:17" ht="15" customHeight="1" x14ac:dyDescent="0.65">
      <c r="B161" s="117"/>
      <c r="C161" s="111"/>
      <c r="D161" s="112"/>
      <c r="E161" s="120"/>
      <c r="F161" s="83"/>
    </row>
    <row r="162" spans="2:17" ht="15" customHeight="1" x14ac:dyDescent="0.65">
      <c r="B162" s="95"/>
      <c r="C162" s="111"/>
      <c r="D162" s="112"/>
      <c r="E162" s="114"/>
      <c r="F162" s="83"/>
    </row>
    <row r="163" spans="2:17" ht="15" customHeight="1" x14ac:dyDescent="0.65">
      <c r="B163" s="95"/>
      <c r="C163" s="111"/>
      <c r="D163" s="112"/>
      <c r="E163" s="114"/>
      <c r="F163" s="121"/>
    </row>
    <row r="164" spans="2:17" s="29" customFormat="1" ht="15" customHeight="1" x14ac:dyDescent="0.6">
      <c r="B164" s="101" t="s">
        <v>60</v>
      </c>
      <c r="C164" s="101"/>
      <c r="D164" s="101"/>
      <c r="E164" s="101"/>
      <c r="F164" s="103">
        <f>SUM(F147:F163)</f>
        <v>0</v>
      </c>
      <c r="H164" s="104"/>
      <c r="Q164" s="105"/>
    </row>
    <row r="166" spans="2:17" ht="15" customHeight="1" x14ac:dyDescent="0.65">
      <c r="B166" s="87" t="s">
        <v>61</v>
      </c>
      <c r="C166" s="88"/>
      <c r="D166" s="88"/>
      <c r="E166" s="88"/>
      <c r="F166" s="88"/>
    </row>
    <row r="167" spans="2:17" ht="15" customHeight="1" x14ac:dyDescent="0.65">
      <c r="B167" s="89" t="s">
        <v>62</v>
      </c>
      <c r="C167" s="90"/>
      <c r="D167" s="90"/>
      <c r="E167" s="90" t="s">
        <v>43</v>
      </c>
      <c r="F167" s="91" t="s">
        <v>44</v>
      </c>
    </row>
    <row r="168" spans="2:17" ht="15" customHeight="1" x14ac:dyDescent="0.65">
      <c r="B168" s="117"/>
      <c r="C168" s="118"/>
      <c r="D168" s="119"/>
      <c r="E168" s="94"/>
      <c r="F168" s="122"/>
    </row>
    <row r="169" spans="2:17" ht="15" customHeight="1" x14ac:dyDescent="0.65">
      <c r="B169" s="117"/>
      <c r="C169" s="118"/>
      <c r="D169" s="119"/>
      <c r="E169" s="120"/>
      <c r="F169" s="123"/>
    </row>
    <row r="170" spans="2:17" ht="15" customHeight="1" x14ac:dyDescent="0.6">
      <c r="B170" s="95"/>
      <c r="C170" s="118"/>
      <c r="D170" s="119"/>
      <c r="E170" s="120"/>
      <c r="F170" s="123"/>
      <c r="H170" s="1"/>
      <c r="Q170" s="1"/>
    </row>
    <row r="171" spans="2:17" ht="15" customHeight="1" x14ac:dyDescent="0.6">
      <c r="B171" s="95"/>
      <c r="C171" s="118"/>
      <c r="D171" s="119"/>
      <c r="E171" s="120"/>
      <c r="F171" s="123"/>
      <c r="H171" s="1"/>
      <c r="Q171" s="1"/>
    </row>
    <row r="172" spans="2:17" ht="15" customHeight="1" x14ac:dyDescent="0.6">
      <c r="B172" s="117"/>
      <c r="C172" s="118"/>
      <c r="D172" s="119"/>
      <c r="E172" s="120"/>
      <c r="F172" s="123"/>
      <c r="H172" s="1"/>
      <c r="Q172" s="1"/>
    </row>
    <row r="173" spans="2:17" ht="15" customHeight="1" x14ac:dyDescent="0.6">
      <c r="B173" s="117"/>
      <c r="C173" s="118"/>
      <c r="D173" s="119"/>
      <c r="E173" s="120"/>
      <c r="F173" s="123"/>
      <c r="H173" s="1"/>
      <c r="Q173" s="1"/>
    </row>
    <row r="174" spans="2:17" ht="15" customHeight="1" x14ac:dyDescent="0.6">
      <c r="B174" s="117"/>
      <c r="C174" s="118"/>
      <c r="D174" s="119"/>
      <c r="E174" s="120"/>
      <c r="F174" s="123"/>
      <c r="H174" s="1"/>
      <c r="Q174" s="1"/>
    </row>
    <row r="175" spans="2:17" ht="15" customHeight="1" x14ac:dyDescent="0.6">
      <c r="B175" s="117"/>
      <c r="C175" s="118"/>
      <c r="D175" s="119"/>
      <c r="E175" s="120"/>
      <c r="F175" s="123"/>
      <c r="H175" s="1"/>
      <c r="Q175" s="1"/>
    </row>
    <row r="176" spans="2:17" ht="15" customHeight="1" x14ac:dyDescent="0.6">
      <c r="B176" s="117"/>
      <c r="C176" s="118"/>
      <c r="D176" s="119"/>
      <c r="E176" s="120"/>
      <c r="F176" s="123"/>
      <c r="H176" s="1"/>
      <c r="Q176" s="1"/>
    </row>
    <row r="177" spans="1:17" ht="15" customHeight="1" x14ac:dyDescent="0.6">
      <c r="B177" s="117"/>
      <c r="C177" s="118"/>
      <c r="D177" s="119"/>
      <c r="E177" s="120"/>
      <c r="F177" s="123"/>
      <c r="H177" s="1"/>
      <c r="Q177" s="1"/>
    </row>
    <row r="178" spans="1:17" ht="15" customHeight="1" x14ac:dyDescent="0.6">
      <c r="B178" s="117"/>
      <c r="C178" s="118"/>
      <c r="D178" s="119"/>
      <c r="E178" s="120"/>
      <c r="F178" s="123"/>
      <c r="H178" s="1"/>
      <c r="Q178" s="1"/>
    </row>
    <row r="179" spans="1:17" ht="15" customHeight="1" x14ac:dyDescent="0.6">
      <c r="B179" s="117"/>
      <c r="C179" s="118"/>
      <c r="D179" s="119"/>
      <c r="E179" s="120"/>
      <c r="F179" s="123"/>
      <c r="H179" s="1"/>
      <c r="Q179" s="1"/>
    </row>
    <row r="180" spans="1:17" ht="15" customHeight="1" x14ac:dyDescent="0.6">
      <c r="B180" s="117"/>
      <c r="C180" s="118"/>
      <c r="D180" s="119"/>
      <c r="E180" s="120"/>
      <c r="F180" s="123"/>
      <c r="H180" s="1"/>
      <c r="Q180" s="1"/>
    </row>
    <row r="181" spans="1:17" ht="15" customHeight="1" x14ac:dyDescent="0.6">
      <c r="B181" s="117"/>
      <c r="C181" s="118"/>
      <c r="D181" s="119"/>
      <c r="E181" s="120"/>
      <c r="F181" s="123"/>
      <c r="H181" s="1"/>
      <c r="Q181" s="1"/>
    </row>
    <row r="182" spans="1:17" ht="15" customHeight="1" x14ac:dyDescent="0.6">
      <c r="B182" s="117"/>
      <c r="C182" s="118"/>
      <c r="D182" s="119"/>
      <c r="E182" s="120"/>
      <c r="F182" s="123"/>
      <c r="H182" s="1"/>
      <c r="Q182" s="1"/>
    </row>
    <row r="183" spans="1:17" ht="15" customHeight="1" x14ac:dyDescent="0.6">
      <c r="B183" s="117"/>
      <c r="C183" s="118"/>
      <c r="D183" s="119"/>
      <c r="E183" s="120"/>
      <c r="F183" s="123"/>
      <c r="H183" s="1"/>
      <c r="Q183" s="1"/>
    </row>
    <row r="184" spans="1:17" ht="15" customHeight="1" x14ac:dyDescent="0.6">
      <c r="B184" s="117"/>
      <c r="C184" s="118"/>
      <c r="D184" s="119"/>
      <c r="E184" s="120"/>
      <c r="F184" s="123"/>
      <c r="H184" s="1"/>
      <c r="Q184" s="1"/>
    </row>
    <row r="185" spans="1:17" ht="15" customHeight="1" x14ac:dyDescent="0.6">
      <c r="B185" s="117"/>
      <c r="C185" s="118"/>
      <c r="D185" s="119"/>
      <c r="E185" s="120"/>
      <c r="F185" s="123"/>
      <c r="H185" s="1"/>
      <c r="Q185" s="1"/>
    </row>
    <row r="186" spans="1:17" ht="15" customHeight="1" x14ac:dyDescent="0.6">
      <c r="B186" s="124" t="s">
        <v>63</v>
      </c>
      <c r="C186" s="124"/>
      <c r="D186" s="124"/>
      <c r="E186" s="124"/>
      <c r="F186" s="125">
        <f>SUM(F168:F185)</f>
        <v>0</v>
      </c>
      <c r="H186" s="1"/>
      <c r="Q186" s="1"/>
    </row>
    <row r="187" spans="1:17" ht="15" customHeight="1" x14ac:dyDescent="0.6">
      <c r="A187" s="1" t="s">
        <v>0</v>
      </c>
      <c r="B187" s="126"/>
      <c r="C187" s="126"/>
      <c r="D187" s="126"/>
      <c r="E187" s="126"/>
      <c r="F187" s="127"/>
      <c r="G187" s="1" t="s">
        <v>0</v>
      </c>
      <c r="H187" s="1"/>
      <c r="Q187" s="1"/>
    </row>
    <row r="188" spans="1:17" ht="15" customHeight="1" x14ac:dyDescent="0.6">
      <c r="B188" s="55"/>
      <c r="C188" s="55"/>
      <c r="D188" s="55"/>
      <c r="E188" s="55"/>
      <c r="F188" s="128"/>
      <c r="H188" s="1"/>
      <c r="Q188" s="1"/>
    </row>
    <row r="189" spans="1:17" ht="15" customHeight="1" x14ac:dyDescent="0.65">
      <c r="B189" s="129"/>
      <c r="C189" s="55"/>
      <c r="D189" s="55"/>
      <c r="E189" s="55"/>
      <c r="F189" s="130"/>
      <c r="H189" s="1"/>
      <c r="Q189" s="1"/>
    </row>
    <row r="190" spans="1:17" ht="15" customHeight="1" x14ac:dyDescent="0.65">
      <c r="B190" s="129"/>
      <c r="F190" s="131"/>
      <c r="H190" s="1"/>
      <c r="Q190" s="1"/>
    </row>
  </sheetData>
  <conditionalFormatting sqref="F90:F104">
    <cfRule type="cellIs" dxfId="11" priority="2" operator="greaterThan">
      <formula>0</formula>
    </cfRule>
  </conditionalFormatting>
  <conditionalFormatting sqref="F190">
    <cfRule type="cellIs" dxfId="10" priority="1" operator="notBetween">
      <formula>0.1</formula>
      <formula>-0.1</formula>
    </cfRule>
  </conditionalFormatting>
  <dataValidations count="2">
    <dataValidation type="list" allowBlank="1" showInputMessage="1" showErrorMessage="1" sqref="F10" xr:uid="{19FBADF2-11A5-4F11-A242-ADCF2604DFE5}">
      <formula1>"Treasury Stock, Gross Proceeds"</formula1>
    </dataValidation>
    <dataValidation type="list" allowBlank="1" showInputMessage="1" showErrorMessage="1" sqref="F11" xr:uid="{F0FE7369-FA9E-49BD-B3EF-85A96BD4272E}">
      <formula1>"ON, OFF"</formula1>
    </dataValidation>
  </dataValidations>
  <pageMargins left="0.7" right="0.7" top="0.75" bottom="0.75" header="0.3" footer="0.3"/>
  <pageSetup scale="2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D4F4-4427-4752-BB33-C7E54048198F}">
  <sheetPr>
    <pageSetUpPr fitToPage="1"/>
  </sheetPr>
  <dimension ref="B1:BH44"/>
  <sheetViews>
    <sheetView showGridLines="0" view="pageBreakPreview" zoomScaleNormal="85" zoomScaleSheetLayoutView="100" workbookViewId="0">
      <pane xSplit="6" ySplit="7" topLeftCell="J8" activePane="bottomRight" state="frozen"/>
      <selection pane="topRight" activeCell="G1" sqref="G1"/>
      <selection pane="bottomLeft" activeCell="A11" sqref="A11"/>
      <selection pane="bottomRight"/>
    </sheetView>
  </sheetViews>
  <sheetFormatPr defaultColWidth="10.109375" defaultRowHeight="20.100000000000001" customHeight="1" outlineLevelRow="1" outlineLevelCol="1" x14ac:dyDescent="0.6"/>
  <cols>
    <col min="1" max="1" width="2.83203125" style="134" customWidth="1"/>
    <col min="2" max="2" width="20.33203125" style="133" customWidth="1"/>
    <col min="3" max="3" width="2.83203125" style="134" customWidth="1"/>
    <col min="4" max="6" width="12.0546875" style="134" customWidth="1"/>
    <col min="7" max="9" width="12.0546875" style="134" hidden="1" customWidth="1" outlineLevel="1"/>
    <col min="10" max="10" width="12.0546875" style="134" customWidth="1" collapsed="1"/>
    <col min="11" max="12" width="11.77734375" style="134" customWidth="1"/>
    <col min="13" max="19" width="12.0546875" style="134" customWidth="1"/>
    <col min="20" max="20" width="2.71875" style="134" hidden="1" customWidth="1" outlineLevel="1"/>
    <col min="21" max="26" width="12.0546875" style="134" hidden="1" customWidth="1" outlineLevel="1"/>
    <col min="27" max="27" width="53.38671875" style="134" customWidth="1" collapsed="1"/>
    <col min="28" max="28" width="2.83203125" style="134" customWidth="1"/>
    <col min="29" max="32" width="10.109375" style="134"/>
    <col min="33" max="33" width="1.6640625" style="134" customWidth="1"/>
    <col min="34" max="37" width="10.109375" style="134"/>
    <col min="38" max="38" width="1.6640625" style="134" customWidth="1"/>
    <col min="39" max="42" width="10.109375" style="134"/>
    <col min="43" max="43" width="1.6640625" style="134" customWidth="1"/>
    <col min="44" max="44" width="10.109375" style="134" customWidth="1"/>
    <col min="45" max="45" width="1.6640625" style="134" customWidth="1"/>
    <col min="46" max="46" width="10.109375" style="134" customWidth="1"/>
    <col min="47" max="47" width="1.6640625" style="134" customWidth="1"/>
    <col min="48" max="48" width="10.109375" style="134" customWidth="1"/>
    <col min="49" max="49" width="1.6640625" style="134" customWidth="1"/>
    <col min="50" max="55" width="10.109375" style="134"/>
    <col min="56" max="56" width="1.6640625" style="134" customWidth="1"/>
    <col min="57" max="60" width="10.109375" style="134" customWidth="1"/>
    <col min="61" max="16384" width="10.109375" style="134"/>
  </cols>
  <sheetData>
    <row r="1" spans="2:60" ht="15" customHeight="1" x14ac:dyDescent="0.6"/>
    <row r="2" spans="2:60" ht="15" hidden="1" customHeight="1" outlineLevel="1" x14ac:dyDescent="0.6">
      <c r="E2" s="135" t="s">
        <v>64</v>
      </c>
      <c r="F2" s="136">
        <f ca="1">TODAY()-1</f>
        <v>46230</v>
      </c>
      <c r="K2" s="135"/>
      <c r="L2" s="137" t="s">
        <v>65</v>
      </c>
      <c r="M2" s="137"/>
      <c r="N2" s="137"/>
      <c r="O2" s="137" t="s">
        <v>66</v>
      </c>
      <c r="P2" s="137"/>
      <c r="Q2" s="137"/>
    </row>
    <row r="3" spans="2:60" ht="15" hidden="1" customHeight="1" outlineLevel="1" x14ac:dyDescent="0.6">
      <c r="E3" s="135" t="s">
        <v>67</v>
      </c>
      <c r="F3" s="138" t="s">
        <v>5</v>
      </c>
      <c r="G3" s="139"/>
      <c r="K3" s="135" t="s">
        <v>68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AA3" s="141"/>
    </row>
    <row r="4" spans="2:60" ht="15" hidden="1" customHeight="1" outlineLevel="1" x14ac:dyDescent="0.6">
      <c r="E4" s="135" t="s">
        <v>69</v>
      </c>
      <c r="F4" s="142">
        <v>2026</v>
      </c>
      <c r="K4" s="135" t="s">
        <v>70</v>
      </c>
      <c r="L4" s="143">
        <v>20</v>
      </c>
      <c r="M4" s="143">
        <v>20</v>
      </c>
      <c r="N4" s="143">
        <v>20</v>
      </c>
      <c r="O4" s="143">
        <v>50</v>
      </c>
      <c r="P4" s="143">
        <v>50</v>
      </c>
      <c r="Q4" s="143">
        <v>50</v>
      </c>
    </row>
    <row r="5" spans="2:60" ht="15" customHeight="1" collapsed="1" x14ac:dyDescent="0.6"/>
    <row r="6" spans="2:60" ht="14.5" customHeight="1" x14ac:dyDescent="0.9">
      <c r="D6" s="144" t="str">
        <f>"(In "&amp;IF(F3="USD","US","C")&amp;"$MM, unless otherwise noted)"</f>
        <v>(In C$MM, unless otherwise noted)</v>
      </c>
      <c r="E6" s="145"/>
      <c r="F6" s="145"/>
      <c r="G6" s="146" t="s">
        <v>71</v>
      </c>
      <c r="H6" s="146" t="s">
        <v>71</v>
      </c>
      <c r="I6" s="146" t="s">
        <v>72</v>
      </c>
      <c r="J6" s="146" t="s">
        <v>73</v>
      </c>
      <c r="K6" s="146" t="s">
        <v>74</v>
      </c>
      <c r="L6" s="147" t="s">
        <v>35</v>
      </c>
      <c r="M6" s="147"/>
      <c r="N6" s="147"/>
      <c r="O6" s="147" t="s">
        <v>75</v>
      </c>
      <c r="P6" s="147"/>
      <c r="Q6" s="147"/>
      <c r="R6" s="147" t="s">
        <v>76</v>
      </c>
      <c r="S6" s="148"/>
      <c r="T6" s="149"/>
      <c r="U6" s="147" t="s">
        <v>77</v>
      </c>
      <c r="V6" s="147"/>
      <c r="W6" s="147"/>
      <c r="X6" s="147" t="s">
        <v>78</v>
      </c>
      <c r="Y6" s="147" t="s">
        <v>79</v>
      </c>
      <c r="Z6" s="147" t="s">
        <v>80</v>
      </c>
      <c r="AA6" s="150"/>
      <c r="AC6" s="147" t="s">
        <v>31</v>
      </c>
      <c r="AD6" s="147"/>
      <c r="AE6" s="147"/>
      <c r="AF6" s="147"/>
      <c r="AH6" s="147" t="s">
        <v>81</v>
      </c>
      <c r="AI6" s="147"/>
      <c r="AJ6" s="147"/>
      <c r="AK6" s="147"/>
      <c r="AM6" s="147" t="s">
        <v>82</v>
      </c>
      <c r="AN6" s="147"/>
      <c r="AO6" s="147"/>
      <c r="AP6" s="147"/>
      <c r="AR6" s="146" t="s">
        <v>78</v>
      </c>
      <c r="AT6" s="146" t="s">
        <v>83</v>
      </c>
      <c r="AV6" s="146" t="s">
        <v>84</v>
      </c>
      <c r="AX6" s="146" t="s">
        <v>85</v>
      </c>
      <c r="AY6" s="146" t="s">
        <v>86</v>
      </c>
      <c r="AZ6" s="146"/>
      <c r="BA6" s="146" t="s">
        <v>87</v>
      </c>
      <c r="BB6" s="146"/>
      <c r="BC6" s="146"/>
      <c r="BE6" s="151" t="s">
        <v>88</v>
      </c>
      <c r="BF6" s="151"/>
      <c r="BG6" s="147"/>
      <c r="BH6" s="147"/>
    </row>
    <row r="7" spans="2:60" ht="14.5" customHeight="1" x14ac:dyDescent="0.6">
      <c r="D7" s="152" t="s">
        <v>89</v>
      </c>
      <c r="E7" s="145"/>
      <c r="F7" s="145"/>
      <c r="G7" s="153" t="str">
        <f ca="1">CONCATENATE("(",TEXT($F$2,"dd-mmm-yy"),")")</f>
        <v>(27-Jul-26)</v>
      </c>
      <c r="H7" s="153" t="str">
        <f>"("&amp;F3&amp;")"</f>
        <v>(CAD)</v>
      </c>
      <c r="I7" s="153" t="s">
        <v>90</v>
      </c>
      <c r="J7" s="146" t="s">
        <v>91</v>
      </c>
      <c r="K7" s="146" t="s">
        <v>92</v>
      </c>
      <c r="L7" s="146" t="s">
        <v>28</v>
      </c>
      <c r="M7" s="146" t="str">
        <f>"CY"&amp;$F$4&amp;"E"</f>
        <v>CY2026E</v>
      </c>
      <c r="N7" s="146" t="str">
        <f>"CY"&amp;$F$4+1&amp;"E"</f>
        <v>CY2027E</v>
      </c>
      <c r="O7" s="146" t="s">
        <v>28</v>
      </c>
      <c r="P7" s="146" t="str">
        <f>"CY"&amp;$F$4&amp;"E"</f>
        <v>CY2026E</v>
      </c>
      <c r="Q7" s="146" t="str">
        <f>"CY"&amp;$F$4+1&amp;"E"</f>
        <v>CY2027E</v>
      </c>
      <c r="R7" s="149" t="str">
        <f>RIGHT(AD7,2)&amp;"E-"&amp;RIGHT(AE7,2)&amp;"E"</f>
        <v>25E-26E</v>
      </c>
      <c r="S7" s="149" t="str">
        <f>RIGHT(AE7,2)&amp;"E-"&amp;RIGHT(AF7,2)&amp;"E"</f>
        <v>26E-27E</v>
      </c>
      <c r="T7" s="149"/>
      <c r="U7" s="146" t="s">
        <v>28</v>
      </c>
      <c r="V7" s="146" t="str">
        <f>"CY"&amp;$F$4&amp;"E"</f>
        <v>CY2026E</v>
      </c>
      <c r="W7" s="146" t="str">
        <f>"CY"&amp;$F$4+1&amp;"E"</f>
        <v>CY2027E</v>
      </c>
      <c r="X7" s="146" t="s">
        <v>28</v>
      </c>
      <c r="Y7" s="146" t="s">
        <v>93</v>
      </c>
      <c r="Z7" s="146" t="s">
        <v>93</v>
      </c>
      <c r="AA7" s="154" t="s">
        <v>62</v>
      </c>
      <c r="AC7" s="146" t="s">
        <v>28</v>
      </c>
      <c r="AD7" s="146" t="str">
        <f>"CY"&amp;$F$4-1</f>
        <v>CY2025</v>
      </c>
      <c r="AE7" s="146" t="str">
        <f>"CY"&amp;$F$4</f>
        <v>CY2026</v>
      </c>
      <c r="AF7" s="146" t="str">
        <f>"CY"&amp;$F$4+1</f>
        <v>CY2027</v>
      </c>
      <c r="AH7" s="146" t="s">
        <v>28</v>
      </c>
      <c r="AI7" s="146" t="str">
        <f>"CY"&amp;$F$4-1</f>
        <v>CY2025</v>
      </c>
      <c r="AJ7" s="146" t="str">
        <f>"CY"&amp;$F$4</f>
        <v>CY2026</v>
      </c>
      <c r="AK7" s="146" t="str">
        <f>"CY"&amp;$F$4+1</f>
        <v>CY2027</v>
      </c>
      <c r="AM7" s="146" t="s">
        <v>28</v>
      </c>
      <c r="AN7" s="146" t="str">
        <f>"CY"&amp;$F$4-1</f>
        <v>CY2025</v>
      </c>
      <c r="AO7" s="146" t="str">
        <f>"CY"&amp;$F$4</f>
        <v>CY2026</v>
      </c>
      <c r="AP7" s="146" t="str">
        <f>"CY"&amp;$F$4+1</f>
        <v>CY2027</v>
      </c>
      <c r="AR7" s="146" t="s">
        <v>28</v>
      </c>
      <c r="AT7" s="146" t="s">
        <v>28</v>
      </c>
      <c r="AV7" s="146" t="s">
        <v>28</v>
      </c>
      <c r="AX7" s="146" t="s">
        <v>94</v>
      </c>
      <c r="AY7" s="146" t="s">
        <v>92</v>
      </c>
      <c r="AZ7" s="146" t="s">
        <v>95</v>
      </c>
      <c r="BA7" s="146" t="s">
        <v>96</v>
      </c>
      <c r="BB7" s="146" t="s">
        <v>23</v>
      </c>
      <c r="BC7" s="146" t="s">
        <v>97</v>
      </c>
      <c r="BE7" s="146" t="s">
        <v>28</v>
      </c>
      <c r="BF7" s="146" t="str">
        <f>"CY"&amp;$F$4-1</f>
        <v>CY2025</v>
      </c>
      <c r="BG7" s="146" t="str">
        <f>"CY"&amp;$F$4</f>
        <v>CY2026</v>
      </c>
      <c r="BH7" s="146" t="str">
        <f>"CY"&amp;$F$4+1</f>
        <v>CY2027</v>
      </c>
    </row>
    <row r="8" spans="2:60" ht="3" customHeight="1" x14ac:dyDescent="0.6"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X8" s="133"/>
      <c r="AY8" s="133"/>
      <c r="AZ8" s="133"/>
      <c r="BA8" s="133"/>
      <c r="BB8" s="133"/>
      <c r="BC8" s="133"/>
      <c r="BD8" s="133"/>
      <c r="BE8" s="133" t="s">
        <v>98</v>
      </c>
      <c r="BF8" s="133"/>
      <c r="BG8" s="133"/>
      <c r="BH8" s="133"/>
    </row>
    <row r="9" spans="2:60" s="135" customFormat="1" ht="14.5" customHeight="1" x14ac:dyDescent="0.6">
      <c r="B9" s="133"/>
      <c r="D9" s="155" t="s">
        <v>99</v>
      </c>
    </row>
    <row r="10" spans="2:60" s="135" customFormat="1" ht="14.5" customHeight="1" x14ac:dyDescent="0.4">
      <c r="B10" s="156"/>
      <c r="D10" s="135" t="str" cm="1">
        <f t="array" ref="D10">IF($B10="","",_xll.SNL.Clients.Office.Excel.Functions.SPG($B10, "SP_COMPANY_NAME"))</f>
        <v/>
      </c>
      <c r="G10" s="157" t="str" cm="1">
        <f t="array" ref="G10">IF($B10="","",_xll.SNL.Clients.Office.Excel.Functions.SPG($B10,"SP_LASTSALEPRICE",WORKDAY($F$2+1,-1),"Options:Curr="&amp;I10&amp;",NA=--"))</f>
        <v/>
      </c>
      <c r="H10" s="158" t="str" cm="1">
        <f t="array" ref="H10">IF($B10="","",_xll.SNL.Clients.Office.Excel.Functions.SPG($B10,"SP_PRICE_CLOSE",WORKDAY($F$2+1,-1),"Options:Curr="&amp;$F$3&amp;", NA=--"))</f>
        <v/>
      </c>
      <c r="I10" s="159" t="str" cm="1">
        <f t="array" ref="I10">IF($B10="","",_xll.SNL.Clients.Office.Excel.Functions.SPG($B10,"SP_TRADING_CURRENCY","Options: NA=--"))</f>
        <v/>
      </c>
      <c r="J10" s="160" t="str" cm="1">
        <f t="array" ref="J10">IF($B10="","n/a ",_xll.SNL.Clients.Office.Excel.Functions.SPG($B10,"SP_MARKETCAP",WORKDAY($F$2+1,-1),"Options:Curr="&amp;$F$3&amp;", Mag=Millions, NA=--"))</f>
        <v xml:space="preserve">n/a </v>
      </c>
      <c r="K10" s="160" t="str" cm="1">
        <f t="array" ref="K10">IF($B10="","n/a ",_xll.SNL.Clients.Office.Excel.Functions.SPG($B10,"IQ_TEV",WORKDAY($F$2+1,-1),"Options:Curr="&amp;$F$3&amp;", Mag=Millions, NA=--"))</f>
        <v xml:space="preserve">n/a </v>
      </c>
      <c r="L10" s="161" t="str">
        <f t="shared" ref="L10:L15" si="0">IFERROR(IF(OR($K10/AC10&gt;L$4,$K10/AC10&lt;L$3),"nmf ",$K10/AC10),"n/a ")</f>
        <v xml:space="preserve">n/a </v>
      </c>
      <c r="M10" s="161" t="str">
        <f t="shared" ref="M10:N15" si="1">IFERROR(IF(OR($K10/AE10&gt;M$4,$K10/AE10&lt;M$3),"nmf ",$K10/AE10),"n/a ")</f>
        <v xml:space="preserve">n/a </v>
      </c>
      <c r="N10" s="161" t="str">
        <f t="shared" si="1"/>
        <v xml:space="preserve">n/a </v>
      </c>
      <c r="O10" s="161" t="str">
        <f t="shared" ref="O10:O15" si="2">IFERROR(IF(OR($K10/AH10&gt;O$4,$K10/AH10&lt;O$3),"nmf ",$K10/AH10),"n/a ")</f>
        <v xml:space="preserve">n/a </v>
      </c>
      <c r="P10" s="161" t="str">
        <f t="shared" ref="P10:Q15" si="3">IFERROR(IF(OR($K10/AJ10&gt;P$4,$K10/AJ10&lt;P$3),"nmf ",$K10/AJ10),"n/a ")</f>
        <v xml:space="preserve">n/a </v>
      </c>
      <c r="Q10" s="161" t="str">
        <f t="shared" si="3"/>
        <v xml:space="preserve">n/a </v>
      </c>
      <c r="R10" s="162" t="str">
        <f>IFERROR((AE10/AD10)-1,"n/a ")</f>
        <v xml:space="preserve">n/a </v>
      </c>
      <c r="S10" s="162" t="str">
        <f>IFERROR((AF10/AE10)-1,"n/a ")</f>
        <v xml:space="preserve">n/a </v>
      </c>
      <c r="T10" s="162"/>
      <c r="U10" s="161" t="str">
        <f t="shared" ref="U10:U15" si="4">IFERROR($H10/AM10,"n/a ")</f>
        <v xml:space="preserve">n/a </v>
      </c>
      <c r="V10" s="161" t="str">
        <f t="shared" ref="V10:W15" si="5">IFERROR($H10/AO10,"n/a ")</f>
        <v xml:space="preserve">n/a </v>
      </c>
      <c r="W10" s="161" t="str">
        <f t="shared" si="5"/>
        <v xml:space="preserve">n/a </v>
      </c>
      <c r="X10" s="163" t="str">
        <f>IFERROR(AR10/100,"n/a ")</f>
        <v xml:space="preserve">n/a </v>
      </c>
      <c r="Y10" s="161" t="str">
        <f>IFERROR(H10/AT10,"n/a ")</f>
        <v xml:space="preserve">n/a </v>
      </c>
      <c r="Z10" s="161" t="str">
        <f>IFERROR(H10/AV10,"n/a ")</f>
        <v xml:space="preserve">n/a </v>
      </c>
      <c r="AA10" s="164"/>
      <c r="AC10" s="165" t="str" cm="1">
        <f t="array" ref="AC10">IF($B10="","",_xll.SNL.Clients.Office.Excel.Functions.SPG($B10,"IQ_REV",AC$7,$F$2,"Options:Curr="&amp;$F$3&amp;", Mag=Millions, NA=--"))</f>
        <v/>
      </c>
      <c r="AD10" s="165" t="str" cm="1">
        <f t="array" ref="AD10">IF($B10="","",_xll.SNL.Clients.Office.Excel.Functions.SPG($B10,"SP_REV_EST",AD$7,$F$2,"Options:Curr="&amp;$F$3&amp;", Mag=Millions, NA=--"))</f>
        <v/>
      </c>
      <c r="AE10" s="165" t="str" cm="1">
        <f t="array" ref="AE10">IF($B10="","",_xll.SNL.Clients.Office.Excel.Functions.SPG($B10,"SP_REV_EST",AE$7,$F$2,"Options:Curr="&amp;$F$3&amp;", Mag=Millions, NA=--"))</f>
        <v/>
      </c>
      <c r="AF10" s="165" t="str" cm="1">
        <f t="array" ref="AF10">IF($B10="","",_xll.SNL.Clients.Office.Excel.Functions.SPG($B10,"SP_REV_EST",AF$7,$F$2,"Options:Curr="&amp;$F$3&amp;", Mag=Millions, NA=--"))</f>
        <v/>
      </c>
      <c r="AG10" s="166"/>
      <c r="AH10" s="165" t="str" cm="1">
        <f t="array" ref="AH10">IF($B10="","",_xll.SNL.Clients.Office.Excel.Functions.SPG($B10,"SP_EBITDA",AH$7,$F$2,"Options:Curr="&amp;$F$3&amp;", Mag=Millions, NA=--"))</f>
        <v/>
      </c>
      <c r="AI10" s="165" t="str" cm="1">
        <f t="array" ref="AI10">IF($B10="","",_xll.SNL.Clients.Office.Excel.Functions.SPG($B10,"SP_EBITDA_EST",AI$7,$F$2,"Options:Curr="&amp;$F$3&amp;", Mag=Millions, NA=--"))</f>
        <v/>
      </c>
      <c r="AJ10" s="165" t="str" cm="1">
        <f t="array" ref="AJ10">IF($B10="","",_xll.SNL.Clients.Office.Excel.Functions.SPG($B10,"SP_EBITDA_EST",AJ$7,$F$2,"Options:Curr="&amp;$F$3&amp;", Mag=Millions, NA=--"))</f>
        <v/>
      </c>
      <c r="AK10" s="165" t="str" cm="1">
        <f t="array" ref="AK10">IF($B10="","",_xll.SNL.Clients.Office.Excel.Functions.SPG($B10,"SP_EBITDA_EST",AK$7,$F$2,"Options:Curr="&amp;$F$3&amp;", Mag=Millions, NA=--"))</f>
        <v/>
      </c>
      <c r="AL10" s="167"/>
      <c r="AM10" s="168" t="str" cm="1">
        <f t="array" ref="AM10">IF($B10="","",_xll.SNL.Clients.Office.Excel.Functions.SPG($B10,"IQ_BASIC_EPS_BEFORE_EXTRA",AM$7,$F$2,"Options:Curr="&amp;$F$3&amp;", NA=--"))</f>
        <v/>
      </c>
      <c r="AN10" s="168" t="str" cm="1">
        <f t="array" ref="AN10">IF($B10="","",_xll.SNL.Clients.Office.Excel.Functions.SPG($B10,"SP_EPS_EST",AN$7,$F$2,"Options:Curr="&amp;$F$3&amp;", NA=--"))</f>
        <v/>
      </c>
      <c r="AO10" s="168" t="str" cm="1">
        <f t="array" ref="AO10">IF($B10="","",_xll.SNL.Clients.Office.Excel.Functions.SPG($B10,"SP_EPS_EST",AO$7,$F$2,"Options:Curr="&amp;$F$3&amp;", NA=--"))</f>
        <v/>
      </c>
      <c r="AP10" s="168" t="str" cm="1">
        <f t="array" ref="AP10">IF($B10="","",_xll.SNL.Clients.Office.Excel.Functions.SPG($B10,"SP_EPS_EST",AP$7,$F$2,"Options:Curr="&amp;$F$3&amp;", NA=--"))</f>
        <v/>
      </c>
      <c r="AQ10" s="167"/>
      <c r="AR10" s="168" t="str" cm="1">
        <f t="array" ref="AR10">IF($B10="","",_xll.SNL.Clients.Office.Excel.Functions.SPG($B10,"IQ_ROE",AR$7,$F$2,"Options:Curr="&amp;$F$3&amp;", NA=--"))</f>
        <v/>
      </c>
      <c r="AS10" s="167"/>
      <c r="AT10" s="168" t="str" cm="1">
        <f t="array" ref="AT10">IF($B10="","",_xll.SNL.Clients.Office.Excel.Functions.SPG($B10,"IQ_BVPS",AT$7,$F$2,"Options:Curr="&amp;$F$3&amp;", NA=--"))</f>
        <v/>
      </c>
      <c r="AU10" s="167"/>
      <c r="AV10" s="168" t="str" cm="1">
        <f t="array" ref="AV10">IF($B10="","",_xll.SNL.Clients.Office.Excel.Functions.SPG($B10,"IQ_TBVPS",AV$7,$F$2,"Options:Curr="&amp;$F$3&amp;", NA=--"))</f>
        <v/>
      </c>
      <c r="AW10" s="167"/>
      <c r="AX10" s="169" t="str" cm="1">
        <f t="array" ref="AX10">IF($B10="","",_xll.SNL.Clients.Office.Excel.Functions.SPG($B10,"SP_DIV_YIELD",WORKDAY($F$2+1,-1),"Options: NA=--"))</f>
        <v/>
      </c>
      <c r="AY10" s="165" t="str" cm="1">
        <f t="array" ref="AY10">IF($B10="","",_xll.SNL.Clients.Office.Excel.Functions.SPG($B10,"IQ_TOTAL_EQUITY","FQ0",$F$2,"Options:Curr="&amp;$F$3&amp;", Mag=Millions, NA=--"))</f>
        <v/>
      </c>
      <c r="AZ10" s="165" t="str" cm="1">
        <f t="array" ref="AZ10">IF($B10="","",_xll.SNL.Clients.Office.Excel.Functions.SPG($B10,"IQ_TOTAL_DEBT","FQ0",$F$2,"Options:Curr="&amp;$F$3&amp;", Mag=Millions, NA=--"))</f>
        <v/>
      </c>
      <c r="BA10" s="165" t="str" cm="1">
        <f t="array" ref="BA10">IF($B10="","",_xll.SNL.Clients.Office.Excel.Functions.SPG($B10,"IQ_CASH_ST_INVEST","FQ0",$F$2,"Options:Curr="&amp;$F$3&amp;", Mag=Millions, NA=--"))</f>
        <v/>
      </c>
      <c r="BB10" s="165" t="e">
        <f>+AZ10-BA10</f>
        <v>#VALUE!</v>
      </c>
      <c r="BC10" s="165" t="str" cm="1">
        <f t="array" ref="BC10">IF($B10="","",_xll.SNL.Clients.Office.Excel.Functions.SPG($B10,"IQ_TOTAL_EQUITY","FQ0",$F$2,"Options:Curr="&amp;$F$3&amp;", Mag=Millions, NA=--"))</f>
        <v/>
      </c>
      <c r="BD10" s="167"/>
      <c r="BE10" s="170" t="str">
        <f>IF($B10="","",IFERROR(_xll.SNL.Clients.Office.Excel.Functions.SPG($B10,"SP_GROSS_MARGIN",BE$7,$F$2,"Options: NA=--")/100,"--"))</f>
        <v/>
      </c>
      <c r="BF10" s="170" t="str">
        <f>IF($B10="","",IFERROR(_xll.SNL.Clients.Office.Excel.Functions.SPG($B10,"SP_GROSS_MARGIN_EST",BF$7,$F$2,"Options: NA=--")/100,"--"))</f>
        <v/>
      </c>
      <c r="BG10" s="170" t="str">
        <f>IF($B10="","",IFERROR(_xll.SNL.Clients.Office.Excel.Functions.SPG($B10,"SP_GROSS_MARGIN_EST",BG$7,$F$2,"Options: NA=--")/100,"--"))</f>
        <v/>
      </c>
      <c r="BH10" s="170" t="str">
        <f>IF($B10="","",IFERROR(_xll.SNL.Clients.Office.Excel.Functions.SPG($B10,"SP_GROSS_MARGIN_EST",BH$7,$F$2,"Options: NA=--")/100,"--"))</f>
        <v/>
      </c>
    </row>
    <row r="11" spans="2:60" s="135" customFormat="1" ht="14.5" customHeight="1" x14ac:dyDescent="0.4">
      <c r="B11" s="156"/>
      <c r="D11" s="135" t="str" cm="1">
        <f t="array" ref="D11">IF($B11="","",_xll.SNL.Clients.Office.Excel.Functions.SPG($B11, "SP_COMPANY_NAME"))</f>
        <v/>
      </c>
      <c r="G11" s="157" t="str" cm="1">
        <f t="array" ref="G11">IF($B11="","",_xll.SNL.Clients.Office.Excel.Functions.SPG($B11,"SP_LASTSALEPRICE",WORKDAY($F$2+1,-1),"Options:Curr="&amp;I11&amp;",NA=--"))</f>
        <v/>
      </c>
      <c r="H11" s="158" t="str" cm="1">
        <f t="array" ref="H11">IF($B11="","",_xll.SNL.Clients.Office.Excel.Functions.SPG($B11,"SP_PRICE_CLOSE",WORKDAY($F$2+1,-1),"Options:Curr="&amp;$F$3&amp;", NA=--"))</f>
        <v/>
      </c>
      <c r="I11" s="159" t="str" cm="1">
        <f t="array" ref="I11">IF($B11="","",_xll.SNL.Clients.Office.Excel.Functions.SPG($B11,"SP_TRADING_CURRENCY","Options: NA=--"))</f>
        <v/>
      </c>
      <c r="J11" s="160" t="str" cm="1">
        <f t="array" ref="J11">IF($B11="","n/a ",_xll.SNL.Clients.Office.Excel.Functions.SPG($B11,"SP_MARKETCAP",WORKDAY($F$2+1,-1),"Options:Curr="&amp;$F$3&amp;", Mag=Millions, NA=--"))</f>
        <v xml:space="preserve">n/a </v>
      </c>
      <c r="K11" s="160" t="str" cm="1">
        <f t="array" ref="K11">IF($B11="","n/a ",_xll.SNL.Clients.Office.Excel.Functions.SPG($B11,"IQ_TEV",WORKDAY($F$2+1,-1),"Options:Curr="&amp;$F$3&amp;", Mag=Millions, NA=--"))</f>
        <v xml:space="preserve">n/a </v>
      </c>
      <c r="L11" s="161" t="str">
        <f t="shared" si="0"/>
        <v xml:space="preserve">n/a </v>
      </c>
      <c r="M11" s="161" t="str">
        <f t="shared" si="1"/>
        <v xml:space="preserve">n/a </v>
      </c>
      <c r="N11" s="161" t="str">
        <f t="shared" si="1"/>
        <v xml:space="preserve">n/a </v>
      </c>
      <c r="O11" s="161" t="str">
        <f t="shared" si="2"/>
        <v xml:space="preserve">n/a </v>
      </c>
      <c r="P11" s="161" t="str">
        <f t="shared" si="3"/>
        <v xml:space="preserve">n/a </v>
      </c>
      <c r="Q11" s="161" t="str">
        <f t="shared" si="3"/>
        <v xml:space="preserve">n/a </v>
      </c>
      <c r="R11" s="162" t="str">
        <f t="shared" ref="R11:S14" si="6">IFERROR((AE11/AD11)-1,"n/a ")</f>
        <v xml:space="preserve">n/a </v>
      </c>
      <c r="S11" s="162" t="str">
        <f t="shared" si="6"/>
        <v xml:space="preserve">n/a </v>
      </c>
      <c r="T11" s="162"/>
      <c r="U11" s="161" t="str">
        <f t="shared" si="4"/>
        <v xml:space="preserve">n/a </v>
      </c>
      <c r="V11" s="161" t="str">
        <f t="shared" si="5"/>
        <v xml:space="preserve">n/a </v>
      </c>
      <c r="W11" s="161" t="str">
        <f t="shared" si="5"/>
        <v xml:space="preserve">n/a </v>
      </c>
      <c r="X11" s="163" t="str">
        <f t="shared" ref="X11:X15" si="7">IFERROR(AR11/100,"n/a ")</f>
        <v xml:space="preserve">n/a </v>
      </c>
      <c r="Y11" s="161" t="str">
        <f t="shared" ref="Y11:Y15" si="8">IFERROR(H11/AT11,"n/a ")</f>
        <v xml:space="preserve">n/a </v>
      </c>
      <c r="Z11" s="161" t="str">
        <f t="shared" ref="Z11:Z15" si="9">IFERROR(H11/AV11,"n/a ")</f>
        <v xml:space="preserve">n/a </v>
      </c>
      <c r="AA11" s="164"/>
      <c r="AC11" s="165" t="str" cm="1">
        <f t="array" ref="AC11">IF($B11="","",_xll.SNL.Clients.Office.Excel.Functions.SPG($B11,"IQ_REV",AC$7,$F$2,"Options:Curr="&amp;$F$3&amp;", Mag=Millions, NA=--"))</f>
        <v/>
      </c>
      <c r="AD11" s="165" t="str" cm="1">
        <f t="array" ref="AD11">IF($B11="","",_xll.SNL.Clients.Office.Excel.Functions.SPG($B11,"SP_REV_EST",AD$7,$F$2,"Options:Curr="&amp;$F$3&amp;", Mag=Millions, NA=--"))</f>
        <v/>
      </c>
      <c r="AE11" s="165" t="str" cm="1">
        <f t="array" ref="AE11">IF($B11="","",_xll.SNL.Clients.Office.Excel.Functions.SPG($B11,"SP_REV_EST",AE$7,$F$2,"Options:Curr="&amp;$F$3&amp;", Mag=Millions, NA=--"))</f>
        <v/>
      </c>
      <c r="AF11" s="165" t="str" cm="1">
        <f t="array" ref="AF11">IF($B11="","",_xll.SNL.Clients.Office.Excel.Functions.SPG($B11,"SP_REV_EST",AF$7,$F$2,"Options:Curr="&amp;$F$3&amp;", Mag=Millions, NA=--"))</f>
        <v/>
      </c>
      <c r="AG11" s="166"/>
      <c r="AH11" s="165" t="str" cm="1">
        <f t="array" ref="AH11">IF($B11="","",_xll.SNL.Clients.Office.Excel.Functions.SPG($B11,"SP_EBITDA",AH$7,$F$2,"Options:Curr="&amp;$F$3&amp;", Mag=Millions, NA=--"))</f>
        <v/>
      </c>
      <c r="AI11" s="165" t="str" cm="1">
        <f t="array" ref="AI11">IF($B11="","",_xll.SNL.Clients.Office.Excel.Functions.SPG($B11,"SP_EBITDA_EST",AI$7,$F$2,"Options:Curr="&amp;$F$3&amp;", Mag=Millions, NA=--"))</f>
        <v/>
      </c>
      <c r="AJ11" s="165" t="str" cm="1">
        <f t="array" ref="AJ11">IF($B11="","",_xll.SNL.Clients.Office.Excel.Functions.SPG($B11,"SP_EBITDA_EST",AJ$7,$F$2,"Options:Curr="&amp;$F$3&amp;", Mag=Millions, NA=--"))</f>
        <v/>
      </c>
      <c r="AK11" s="165" t="str" cm="1">
        <f t="array" ref="AK11">IF($B11="","",_xll.SNL.Clients.Office.Excel.Functions.SPG($B11,"SP_EBITDA_EST",AK$7,$F$2,"Options:Curr="&amp;$F$3&amp;", Mag=Millions, NA=--"))</f>
        <v/>
      </c>
      <c r="AL11" s="167"/>
      <c r="AM11" s="168" t="str" cm="1">
        <f t="array" ref="AM11">IF($B11="","",_xll.SNL.Clients.Office.Excel.Functions.SPG($B11,"IQ_BASIC_EPS_BEFORE_EXTRA",AM$7,$F$2,"Options:Curr="&amp;$F$3&amp;", NA=--"))</f>
        <v/>
      </c>
      <c r="AN11" s="168" t="str" cm="1">
        <f t="array" ref="AN11">IF($B11="","",_xll.SNL.Clients.Office.Excel.Functions.SPG($B11,"SP_EPS_EST",AN$7,$F$2,"Options:Curr="&amp;$F$3&amp;", NA=--"))</f>
        <v/>
      </c>
      <c r="AO11" s="168" t="str" cm="1">
        <f t="array" ref="AO11">IF($B11="","",_xll.SNL.Clients.Office.Excel.Functions.SPG($B11,"SP_EPS_EST",AO$7,$F$2,"Options:Curr="&amp;$F$3&amp;", NA=--"))</f>
        <v/>
      </c>
      <c r="AP11" s="168" t="str" cm="1">
        <f t="array" ref="AP11">IF($B11="","",_xll.SNL.Clients.Office.Excel.Functions.SPG($B11,"SP_EPS_EST",AP$7,$F$2,"Options:Curr="&amp;$F$3&amp;", NA=--"))</f>
        <v/>
      </c>
      <c r="AQ11" s="167"/>
      <c r="AR11" s="168" t="str" cm="1">
        <f t="array" ref="AR11">IF($B11="","",_xll.SNL.Clients.Office.Excel.Functions.SPG($B11,"IQ_ROE",AR$7,$F$2,"Options:Curr="&amp;$F$3&amp;", NA=--"))</f>
        <v/>
      </c>
      <c r="AS11" s="167"/>
      <c r="AT11" s="168" t="str" cm="1">
        <f t="array" ref="AT11">IF($B11="","",_xll.SNL.Clients.Office.Excel.Functions.SPG($B11,"IQ_BVPS",AT$7,$F$2,"Options:Curr="&amp;$F$3&amp;", NA=--"))</f>
        <v/>
      </c>
      <c r="AU11" s="167"/>
      <c r="AV11" s="168" t="str" cm="1">
        <f t="array" ref="AV11">IF($B11="","",_xll.SNL.Clients.Office.Excel.Functions.SPG($B11,"IQ_TBVPS",AV$7,$F$2,"Options:Curr="&amp;$F$3&amp;", NA=--"))</f>
        <v/>
      </c>
      <c r="AW11" s="167"/>
      <c r="AX11" s="169" t="str" cm="1">
        <f t="array" ref="AX11">IF($B11="","",_xll.SNL.Clients.Office.Excel.Functions.SPG($B11,"SP_DIV_YIELD",WORKDAY($F$2+1,-1),"Options: NA=--"))</f>
        <v/>
      </c>
      <c r="AY11" s="165" t="str" cm="1">
        <f t="array" ref="AY11">IF($B11="","",_xll.SNL.Clients.Office.Excel.Functions.SPG($B11,"IQ_TOTAL_EQUITY","FQ0",$F$2,"Options:Curr="&amp;$F$3&amp;", Mag=Millions, NA=--"))</f>
        <v/>
      </c>
      <c r="AZ11" s="165" t="str" cm="1">
        <f t="array" ref="AZ11">IF($B11="","",_xll.SNL.Clients.Office.Excel.Functions.SPG($B11,"IQ_TOTAL_DEBT","FQ0",$F$2,"Options:Curr="&amp;$F$3&amp;", Mag=Millions, NA=--"))</f>
        <v/>
      </c>
      <c r="BA11" s="165" t="str" cm="1">
        <f t="array" ref="BA11">IF($B11="","",_xll.SNL.Clients.Office.Excel.Functions.SPG($B11,"IQ_CASH_ST_INVEST","FQ0",$F$2,"Options:Curr="&amp;$F$3&amp;", Mag=Millions, NA=--"))</f>
        <v/>
      </c>
      <c r="BB11" s="165" t="e">
        <f t="shared" ref="BB11:BB15" si="10">+AZ11-BA11</f>
        <v>#VALUE!</v>
      </c>
      <c r="BC11" s="165" t="str" cm="1">
        <f t="array" ref="BC11">IF($B11="","",_xll.SNL.Clients.Office.Excel.Functions.SPG($B11,"IQ_TOTAL_EQUITY","FQ0",$F$2,"Options:Curr="&amp;$F$3&amp;", Mag=Millions, NA=--"))</f>
        <v/>
      </c>
      <c r="BD11" s="167"/>
      <c r="BE11" s="170" t="str">
        <f>IF($B11="","",IFERROR(_xll.SNL.Clients.Office.Excel.Functions.SPG($B11,"SP_GROSS_MARGIN",BE$7,$F$2,"Options: NA=--")/100,"--"))</f>
        <v/>
      </c>
      <c r="BF11" s="170" t="str">
        <f>IF($B11="","",IFERROR(_xll.SNL.Clients.Office.Excel.Functions.SPG($B11,"SP_GROSS_MARGIN_EST",BF$7,$F$2,"Options: NA=--")/100,"--"))</f>
        <v/>
      </c>
      <c r="BG11" s="170" t="str">
        <f>IF($B11="","",IFERROR(_xll.SNL.Clients.Office.Excel.Functions.SPG($B11,"SP_GROSS_MARGIN_EST",BG$7,$F$2,"Options: NA=--")/100,"--"))</f>
        <v/>
      </c>
      <c r="BH11" s="170" t="str">
        <f>IF($B11="","",IFERROR(_xll.SNL.Clients.Office.Excel.Functions.SPG($B11,"SP_GROSS_MARGIN_EST",BH$7,$F$2,"Options: NA=--")/100,"--"))</f>
        <v/>
      </c>
    </row>
    <row r="12" spans="2:60" s="135" customFormat="1" ht="14.5" customHeight="1" x14ac:dyDescent="0.4">
      <c r="B12" s="156"/>
      <c r="D12" s="135" t="str" cm="1">
        <f t="array" ref="D12">IF($B12="","",_xll.SNL.Clients.Office.Excel.Functions.SPG($B12, "SP_COMPANY_NAME"))</f>
        <v/>
      </c>
      <c r="G12" s="157" t="str" cm="1">
        <f t="array" ref="G12">IF($B12="","",_xll.SNL.Clients.Office.Excel.Functions.SPG($B12,"SP_LASTSALEPRICE",WORKDAY($F$2+1,-1),"Options:Curr="&amp;I12&amp;",NA=--"))</f>
        <v/>
      </c>
      <c r="H12" s="158" t="str" cm="1">
        <f t="array" ref="H12">IF($B12="","",_xll.SNL.Clients.Office.Excel.Functions.SPG($B12,"SP_PRICE_CLOSE",WORKDAY($F$2+1,-1),"Options:Curr="&amp;$F$3&amp;", NA=--"))</f>
        <v/>
      </c>
      <c r="I12" s="159" t="str" cm="1">
        <f t="array" ref="I12">IF($B12="","",_xll.SNL.Clients.Office.Excel.Functions.SPG($B12,"SP_TRADING_CURRENCY","Options: NA=--"))</f>
        <v/>
      </c>
      <c r="J12" s="160" t="str" cm="1">
        <f t="array" ref="J12">IF($B12="","n/a ",_xll.SNL.Clients.Office.Excel.Functions.SPG($B12,"SP_MARKETCAP",WORKDAY($F$2+1,-1),"Options:Curr="&amp;$F$3&amp;", Mag=Millions, NA=--"))</f>
        <v xml:space="preserve">n/a </v>
      </c>
      <c r="K12" s="160" t="str" cm="1">
        <f t="array" ref="K12">IF($B12="","n/a ",_xll.SNL.Clients.Office.Excel.Functions.SPG($B12,"IQ_TEV",WORKDAY($F$2+1,-1),"Options:Curr="&amp;$F$3&amp;", Mag=Millions, NA=--"))</f>
        <v xml:space="preserve">n/a </v>
      </c>
      <c r="L12" s="161" t="str">
        <f t="shared" si="0"/>
        <v xml:space="preserve">n/a </v>
      </c>
      <c r="M12" s="161" t="str">
        <f t="shared" si="1"/>
        <v xml:space="preserve">n/a </v>
      </c>
      <c r="N12" s="161" t="str">
        <f t="shared" si="1"/>
        <v xml:space="preserve">n/a </v>
      </c>
      <c r="O12" s="161" t="str">
        <f t="shared" si="2"/>
        <v xml:space="preserve">n/a </v>
      </c>
      <c r="P12" s="161" t="str">
        <f t="shared" si="3"/>
        <v xml:space="preserve">n/a </v>
      </c>
      <c r="Q12" s="161" t="str">
        <f t="shared" si="3"/>
        <v xml:space="preserve">n/a </v>
      </c>
      <c r="R12" s="162" t="str">
        <f t="shared" si="6"/>
        <v xml:space="preserve">n/a </v>
      </c>
      <c r="S12" s="162" t="str">
        <f t="shared" si="6"/>
        <v xml:space="preserve">n/a </v>
      </c>
      <c r="T12" s="162"/>
      <c r="U12" s="161" t="str">
        <f t="shared" si="4"/>
        <v xml:space="preserve">n/a </v>
      </c>
      <c r="V12" s="161" t="str">
        <f t="shared" si="5"/>
        <v xml:space="preserve">n/a </v>
      </c>
      <c r="W12" s="161" t="str">
        <f t="shared" si="5"/>
        <v xml:space="preserve">n/a </v>
      </c>
      <c r="X12" s="163" t="str">
        <f t="shared" si="7"/>
        <v xml:space="preserve">n/a </v>
      </c>
      <c r="Y12" s="161" t="str">
        <f t="shared" si="8"/>
        <v xml:space="preserve">n/a </v>
      </c>
      <c r="Z12" s="161" t="str">
        <f t="shared" si="9"/>
        <v xml:space="preserve">n/a </v>
      </c>
      <c r="AA12" s="164"/>
      <c r="AC12" s="165" t="str" cm="1">
        <f t="array" ref="AC12">IF($B12="","",_xll.SNL.Clients.Office.Excel.Functions.SPG($B12,"IQ_REV",AC$7,$F$2,"Options:Curr="&amp;$F$3&amp;", Mag=Millions, NA=--"))</f>
        <v/>
      </c>
      <c r="AD12" s="165" t="str" cm="1">
        <f t="array" ref="AD12">IF($B12="","",_xll.SNL.Clients.Office.Excel.Functions.SPG($B12,"SP_REV_EST",AD$7,$F$2,"Options:Curr="&amp;$F$3&amp;", Mag=Millions, NA=--"))</f>
        <v/>
      </c>
      <c r="AE12" s="165" t="str" cm="1">
        <f t="array" ref="AE12">IF($B12="","",_xll.SNL.Clients.Office.Excel.Functions.SPG($B12,"SP_REV_EST",AE$7,$F$2,"Options:Curr="&amp;$F$3&amp;", Mag=Millions, NA=--"))</f>
        <v/>
      </c>
      <c r="AF12" s="165" t="str" cm="1">
        <f t="array" ref="AF12">IF($B12="","",_xll.SNL.Clients.Office.Excel.Functions.SPG($B12,"SP_REV_EST",AF$7,$F$2,"Options:Curr="&amp;$F$3&amp;", Mag=Millions, NA=--"))</f>
        <v/>
      </c>
      <c r="AG12" s="166"/>
      <c r="AH12" s="165" t="str" cm="1">
        <f t="array" ref="AH12">IF($B12="","",_xll.SNL.Clients.Office.Excel.Functions.SPG($B12,"SP_EBITDA",AH$7,$F$2,"Options:Curr="&amp;$F$3&amp;", Mag=Millions, NA=--"))</f>
        <v/>
      </c>
      <c r="AI12" s="165" t="str" cm="1">
        <f t="array" ref="AI12">IF($B12="","",_xll.SNL.Clients.Office.Excel.Functions.SPG($B12,"SP_EBITDA_EST",AI$7,$F$2,"Options:Curr="&amp;$F$3&amp;", Mag=Millions, NA=--"))</f>
        <v/>
      </c>
      <c r="AJ12" s="165" t="str" cm="1">
        <f t="array" ref="AJ12">IF($B12="","",_xll.SNL.Clients.Office.Excel.Functions.SPG($B12,"SP_EBITDA_EST",AJ$7,$F$2,"Options:Curr="&amp;$F$3&amp;", Mag=Millions, NA=--"))</f>
        <v/>
      </c>
      <c r="AK12" s="165" t="str" cm="1">
        <f t="array" ref="AK12">IF($B12="","",_xll.SNL.Clients.Office.Excel.Functions.SPG($B12,"SP_EBITDA_EST",AK$7,$F$2,"Options:Curr="&amp;$F$3&amp;", Mag=Millions, NA=--"))</f>
        <v/>
      </c>
      <c r="AL12" s="167"/>
      <c r="AM12" s="168" t="str" cm="1">
        <f t="array" ref="AM12">IF($B12="","",_xll.SNL.Clients.Office.Excel.Functions.SPG($B12,"IQ_BASIC_EPS_BEFORE_EXTRA",AM$7,$F$2,"Options:Curr="&amp;$F$3&amp;", NA=--"))</f>
        <v/>
      </c>
      <c r="AN12" s="168" t="str" cm="1">
        <f t="array" ref="AN12">IF($B12="","",_xll.SNL.Clients.Office.Excel.Functions.SPG($B12,"SP_EPS_EST",AN$7,$F$2,"Options:Curr="&amp;$F$3&amp;", NA=--"))</f>
        <v/>
      </c>
      <c r="AO12" s="168" t="str" cm="1">
        <f t="array" ref="AO12">IF($B12="","",_xll.SNL.Clients.Office.Excel.Functions.SPG($B12,"SP_EPS_EST",AO$7,$F$2,"Options:Curr="&amp;$F$3&amp;", NA=--"))</f>
        <v/>
      </c>
      <c r="AP12" s="168" t="str" cm="1">
        <f t="array" ref="AP12">IF($B12="","",_xll.SNL.Clients.Office.Excel.Functions.SPG($B12,"SP_EPS_EST",AP$7,$F$2,"Options:Curr="&amp;$F$3&amp;", NA=--"))</f>
        <v/>
      </c>
      <c r="AQ12" s="167"/>
      <c r="AR12" s="168" t="str" cm="1">
        <f t="array" ref="AR12">IF($B12="","",_xll.SNL.Clients.Office.Excel.Functions.SPG($B12,"IQ_ROE",AR$7,$F$2,"Options:Curr="&amp;$F$3&amp;", NA=--"))</f>
        <v/>
      </c>
      <c r="AS12" s="167"/>
      <c r="AT12" s="168" t="str" cm="1">
        <f t="array" ref="AT12">IF($B12="","",_xll.SNL.Clients.Office.Excel.Functions.SPG($B12,"IQ_BVPS",AT$7,$F$2,"Options:Curr="&amp;$F$3&amp;", NA=--"))</f>
        <v/>
      </c>
      <c r="AU12" s="167"/>
      <c r="AV12" s="168" t="str" cm="1">
        <f t="array" ref="AV12">IF($B12="","",_xll.SNL.Clients.Office.Excel.Functions.SPG($B12,"IQ_TBVPS",AV$7,$F$2,"Options:Curr="&amp;$F$3&amp;", NA=--"))</f>
        <v/>
      </c>
      <c r="AW12" s="167"/>
      <c r="AX12" s="169" t="str" cm="1">
        <f t="array" ref="AX12">IF($B12="","",_xll.SNL.Clients.Office.Excel.Functions.SPG($B12,"SP_DIV_YIELD",WORKDAY($F$2+1,-1),"Options: NA=--"))</f>
        <v/>
      </c>
      <c r="AY12" s="165" t="str" cm="1">
        <f t="array" ref="AY12">IF($B12="","",_xll.SNL.Clients.Office.Excel.Functions.SPG($B12,"IQ_TOTAL_EQUITY","FQ0",$F$2,"Options:Curr="&amp;$F$3&amp;", Mag=Millions, NA=--"))</f>
        <v/>
      </c>
      <c r="AZ12" s="165" t="str" cm="1">
        <f t="array" ref="AZ12">IF($B12="","",_xll.SNL.Clients.Office.Excel.Functions.SPG($B12,"IQ_TOTAL_DEBT","FQ0",$F$2,"Options:Curr="&amp;$F$3&amp;", Mag=Millions, NA=--"))</f>
        <v/>
      </c>
      <c r="BA12" s="165" t="str" cm="1">
        <f t="array" ref="BA12">IF($B12="","",_xll.SNL.Clients.Office.Excel.Functions.SPG($B12,"IQ_CASH_ST_INVEST","FQ0",$F$2,"Options:Curr="&amp;$F$3&amp;", Mag=Millions, NA=--"))</f>
        <v/>
      </c>
      <c r="BB12" s="165" t="e">
        <f t="shared" si="10"/>
        <v>#VALUE!</v>
      </c>
      <c r="BC12" s="165" t="str" cm="1">
        <f t="array" ref="BC12">IF($B12="","",_xll.SNL.Clients.Office.Excel.Functions.SPG($B12,"IQ_TOTAL_EQUITY","FQ0",$F$2,"Options:Curr="&amp;$F$3&amp;", Mag=Millions, NA=--"))</f>
        <v/>
      </c>
      <c r="BD12" s="167"/>
      <c r="BE12" s="170" t="str">
        <f>IF($B12="","",IFERROR(_xll.SNL.Clients.Office.Excel.Functions.SPG($B12,"SP_GROSS_MARGIN",BE$7,$F$2,"Options: NA=--")/100,"--"))</f>
        <v/>
      </c>
      <c r="BF12" s="170" t="str">
        <f>IF($B12="","",IFERROR(_xll.SNL.Clients.Office.Excel.Functions.SPG($B12,"SP_GROSS_MARGIN_EST",BF$7,$F$2,"Options: NA=--")/100,"--"))</f>
        <v/>
      </c>
      <c r="BG12" s="170" t="str">
        <f>IF($B12="","",IFERROR(_xll.SNL.Clients.Office.Excel.Functions.SPG($B12,"SP_GROSS_MARGIN_EST",BG$7,$F$2,"Options: NA=--")/100,"--"))</f>
        <v/>
      </c>
      <c r="BH12" s="170" t="str">
        <f>IF($B12="","",IFERROR(_xll.SNL.Clients.Office.Excel.Functions.SPG($B12,"SP_GROSS_MARGIN_EST",BH$7,$F$2,"Options: NA=--")/100,"--"))</f>
        <v/>
      </c>
    </row>
    <row r="13" spans="2:60" s="135" customFormat="1" ht="14.5" customHeight="1" x14ac:dyDescent="0.4">
      <c r="B13" s="156"/>
      <c r="D13" s="135" t="str" cm="1">
        <f t="array" ref="D13">IF($B13="","",_xll.SNL.Clients.Office.Excel.Functions.SPG($B13, "SP_COMPANY_NAME"))</f>
        <v/>
      </c>
      <c r="G13" s="157" t="str" cm="1">
        <f t="array" ref="G13">IF($B13="","",_xll.SNL.Clients.Office.Excel.Functions.SPG($B13,"SP_LASTSALEPRICE",WORKDAY($F$2+1,-1),"Options:Curr="&amp;I13&amp;",NA=--"))</f>
        <v/>
      </c>
      <c r="H13" s="158" t="str" cm="1">
        <f t="array" ref="H13">IF($B13="","",_xll.SNL.Clients.Office.Excel.Functions.SPG($B13,"SP_PRICE_CLOSE",WORKDAY($F$2+1,-1),"Options:Curr="&amp;$F$3&amp;", NA=--"))</f>
        <v/>
      </c>
      <c r="I13" s="159" t="str" cm="1">
        <f t="array" ref="I13">IF($B13="","",_xll.SNL.Clients.Office.Excel.Functions.SPG($B13,"SP_TRADING_CURRENCY","Options: NA=--"))</f>
        <v/>
      </c>
      <c r="J13" s="160" t="str" cm="1">
        <f t="array" ref="J13">IF($B13="","n/a ",_xll.SNL.Clients.Office.Excel.Functions.SPG($B13,"SP_MARKETCAP",WORKDAY($F$2+1,-1),"Options:Curr="&amp;$F$3&amp;", Mag=Millions, NA=--"))</f>
        <v xml:space="preserve">n/a </v>
      </c>
      <c r="K13" s="160" t="str" cm="1">
        <f t="array" ref="K13">IF($B13="","n/a ",_xll.SNL.Clients.Office.Excel.Functions.SPG($B13,"IQ_TEV",WORKDAY($F$2+1,-1),"Options:Curr="&amp;$F$3&amp;", Mag=Millions, NA=--"))</f>
        <v xml:space="preserve">n/a </v>
      </c>
      <c r="L13" s="161" t="str">
        <f t="shared" si="0"/>
        <v xml:space="preserve">n/a </v>
      </c>
      <c r="M13" s="161" t="str">
        <f t="shared" si="1"/>
        <v xml:space="preserve">n/a </v>
      </c>
      <c r="N13" s="161" t="str">
        <f t="shared" si="1"/>
        <v xml:space="preserve">n/a </v>
      </c>
      <c r="O13" s="161" t="str">
        <f t="shared" si="2"/>
        <v xml:space="preserve">n/a </v>
      </c>
      <c r="P13" s="161" t="str">
        <f t="shared" si="3"/>
        <v xml:space="preserve">n/a </v>
      </c>
      <c r="Q13" s="161" t="str">
        <f t="shared" si="3"/>
        <v xml:space="preserve">n/a </v>
      </c>
      <c r="R13" s="162" t="str">
        <f t="shared" si="6"/>
        <v xml:space="preserve">n/a </v>
      </c>
      <c r="S13" s="162" t="str">
        <f t="shared" si="6"/>
        <v xml:space="preserve">n/a </v>
      </c>
      <c r="T13" s="162"/>
      <c r="U13" s="161" t="str">
        <f t="shared" si="4"/>
        <v xml:space="preserve">n/a </v>
      </c>
      <c r="V13" s="161" t="str">
        <f t="shared" si="5"/>
        <v xml:space="preserve">n/a </v>
      </c>
      <c r="W13" s="161" t="str">
        <f t="shared" si="5"/>
        <v xml:space="preserve">n/a </v>
      </c>
      <c r="X13" s="163" t="str">
        <f t="shared" si="7"/>
        <v xml:space="preserve">n/a </v>
      </c>
      <c r="Y13" s="161" t="str">
        <f t="shared" si="8"/>
        <v xml:space="preserve">n/a </v>
      </c>
      <c r="Z13" s="161" t="str">
        <f t="shared" si="9"/>
        <v xml:space="preserve">n/a </v>
      </c>
      <c r="AA13" s="164"/>
      <c r="AC13" s="165" t="str" cm="1">
        <f t="array" ref="AC13">IF($B13="","",_xll.SNL.Clients.Office.Excel.Functions.SPG($B13,"IQ_REV",AC$7,$F$2,"Options:Curr="&amp;$F$3&amp;", Mag=Millions, NA=--"))</f>
        <v/>
      </c>
      <c r="AD13" s="165" t="str" cm="1">
        <f t="array" ref="AD13">IF($B13="","",_xll.SNL.Clients.Office.Excel.Functions.SPG($B13,"SP_REV_EST",AD$7,$F$2,"Options:Curr="&amp;$F$3&amp;", Mag=Millions, NA=--"))</f>
        <v/>
      </c>
      <c r="AE13" s="165" t="str" cm="1">
        <f t="array" ref="AE13">IF($B13="","",_xll.SNL.Clients.Office.Excel.Functions.SPG($B13,"SP_REV_EST",AE$7,$F$2,"Options:Curr="&amp;$F$3&amp;", Mag=Millions, NA=--"))</f>
        <v/>
      </c>
      <c r="AF13" s="165" t="str" cm="1">
        <f t="array" ref="AF13">IF($B13="","",_xll.SNL.Clients.Office.Excel.Functions.SPG($B13,"SP_REV_EST",AF$7,$F$2,"Options:Curr="&amp;$F$3&amp;", Mag=Millions, NA=--"))</f>
        <v/>
      </c>
      <c r="AG13" s="166"/>
      <c r="AH13" s="165" t="str" cm="1">
        <f t="array" ref="AH13">IF($B13="","",_xll.SNL.Clients.Office.Excel.Functions.SPG($B13,"SP_EBITDA",AH$7,$F$2,"Options:Curr="&amp;$F$3&amp;", Mag=Millions, NA=--"))</f>
        <v/>
      </c>
      <c r="AI13" s="165" t="str" cm="1">
        <f t="array" ref="AI13">IF($B13="","",_xll.SNL.Clients.Office.Excel.Functions.SPG($B13,"SP_EBITDA_EST",AI$7,$F$2,"Options:Curr="&amp;$F$3&amp;", Mag=Millions, NA=--"))</f>
        <v/>
      </c>
      <c r="AJ13" s="165" t="str" cm="1">
        <f t="array" ref="AJ13">IF($B13="","",_xll.SNL.Clients.Office.Excel.Functions.SPG($B13,"SP_EBITDA_EST",AJ$7,$F$2,"Options:Curr="&amp;$F$3&amp;", Mag=Millions, NA=--"))</f>
        <v/>
      </c>
      <c r="AK13" s="165" t="str" cm="1">
        <f t="array" ref="AK13">IF($B13="","",_xll.SNL.Clients.Office.Excel.Functions.SPG($B13,"SP_EBITDA_EST",AK$7,$F$2,"Options:Curr="&amp;$F$3&amp;", Mag=Millions, NA=--"))</f>
        <v/>
      </c>
      <c r="AL13" s="167"/>
      <c r="AM13" s="168" t="str" cm="1">
        <f t="array" ref="AM13">IF($B13="","",_xll.SNL.Clients.Office.Excel.Functions.SPG($B13,"IQ_BASIC_EPS_BEFORE_EXTRA",AM$7,$F$2,"Options:Curr="&amp;$F$3&amp;", NA=--"))</f>
        <v/>
      </c>
      <c r="AN13" s="168" t="str" cm="1">
        <f t="array" ref="AN13">IF($B13="","",_xll.SNL.Clients.Office.Excel.Functions.SPG($B13,"SP_EPS_EST",AN$7,$F$2,"Options:Curr="&amp;$F$3&amp;", NA=--"))</f>
        <v/>
      </c>
      <c r="AO13" s="168" t="str" cm="1">
        <f t="array" ref="AO13">IF($B13="","",_xll.SNL.Clients.Office.Excel.Functions.SPG($B13,"SP_EPS_EST",AO$7,$F$2,"Options:Curr="&amp;$F$3&amp;", NA=--"))</f>
        <v/>
      </c>
      <c r="AP13" s="168" t="str" cm="1">
        <f t="array" ref="AP13">IF($B13="","",_xll.SNL.Clients.Office.Excel.Functions.SPG($B13,"SP_EPS_EST",AP$7,$F$2,"Options:Curr="&amp;$F$3&amp;", NA=--"))</f>
        <v/>
      </c>
      <c r="AQ13" s="167"/>
      <c r="AR13" s="168" t="str" cm="1">
        <f t="array" ref="AR13">IF($B13="","",_xll.SNL.Clients.Office.Excel.Functions.SPG($B13,"IQ_ROE",AR$7,$F$2,"Options:Curr="&amp;$F$3&amp;", NA=--"))</f>
        <v/>
      </c>
      <c r="AS13" s="167"/>
      <c r="AT13" s="168" t="str" cm="1">
        <f t="array" ref="AT13">IF($B13="","",_xll.SNL.Clients.Office.Excel.Functions.SPG($B13,"IQ_BVPS",AT$7,$F$2,"Options:Curr="&amp;$F$3&amp;", NA=--"))</f>
        <v/>
      </c>
      <c r="AU13" s="167"/>
      <c r="AV13" s="168" t="str" cm="1">
        <f t="array" ref="AV13">IF($B13="","",_xll.SNL.Clients.Office.Excel.Functions.SPG($B13,"IQ_TBVPS",AV$7,$F$2,"Options:Curr="&amp;$F$3&amp;", NA=--"))</f>
        <v/>
      </c>
      <c r="AW13" s="167"/>
      <c r="AX13" s="169" t="str" cm="1">
        <f t="array" ref="AX13">IF($B13="","",_xll.SNL.Clients.Office.Excel.Functions.SPG($B13,"SP_DIV_YIELD",WORKDAY($F$2+1,-1),"Options: NA=--"))</f>
        <v/>
      </c>
      <c r="AY13" s="165" t="str" cm="1">
        <f t="array" ref="AY13">IF($B13="","",_xll.SNL.Clients.Office.Excel.Functions.SPG($B13,"IQ_TOTAL_EQUITY","FQ0",$F$2,"Options:Curr="&amp;$F$3&amp;", Mag=Millions, NA=--"))</f>
        <v/>
      </c>
      <c r="AZ13" s="165" t="str" cm="1">
        <f t="array" ref="AZ13">IF($B13="","",_xll.SNL.Clients.Office.Excel.Functions.SPG($B13,"IQ_TOTAL_DEBT","FQ0",$F$2,"Options:Curr="&amp;$F$3&amp;", Mag=Millions, NA=--"))</f>
        <v/>
      </c>
      <c r="BA13" s="165" t="str" cm="1">
        <f t="array" ref="BA13">IF($B13="","",_xll.SNL.Clients.Office.Excel.Functions.SPG($B13,"IQ_CASH_ST_INVEST","FQ0",$F$2,"Options:Curr="&amp;$F$3&amp;", Mag=Millions, NA=--"))</f>
        <v/>
      </c>
      <c r="BB13" s="165" t="e">
        <f t="shared" si="10"/>
        <v>#VALUE!</v>
      </c>
      <c r="BC13" s="165" t="str" cm="1">
        <f t="array" ref="BC13">IF($B13="","",_xll.SNL.Clients.Office.Excel.Functions.SPG($B13,"IQ_TOTAL_EQUITY","FQ0",$F$2,"Options:Curr="&amp;$F$3&amp;", Mag=Millions, NA=--"))</f>
        <v/>
      </c>
      <c r="BD13" s="167"/>
      <c r="BE13" s="170" t="str">
        <f>IF($B13="","",IFERROR(_xll.SNL.Clients.Office.Excel.Functions.SPG($B13,"SP_GROSS_MARGIN",BE$7,$F$2,"Options: NA=--")/100,"--"))</f>
        <v/>
      </c>
      <c r="BF13" s="170" t="str">
        <f>IF($B13="","",IFERROR(_xll.SNL.Clients.Office.Excel.Functions.SPG($B13,"SP_GROSS_MARGIN_EST",BF$7,$F$2,"Options: NA=--")/100,"--"))</f>
        <v/>
      </c>
      <c r="BG13" s="170" t="str">
        <f>IF($B13="","",IFERROR(_xll.SNL.Clients.Office.Excel.Functions.SPG($B13,"SP_GROSS_MARGIN_EST",BG$7,$F$2,"Options: NA=--")/100,"--"))</f>
        <v/>
      </c>
      <c r="BH13" s="170" t="str">
        <f>IF($B13="","",IFERROR(_xll.SNL.Clients.Office.Excel.Functions.SPG($B13,"SP_GROSS_MARGIN_EST",BH$7,$F$2,"Options: NA=--")/100,"--"))</f>
        <v/>
      </c>
    </row>
    <row r="14" spans="2:60" s="135" customFormat="1" ht="14.5" customHeight="1" x14ac:dyDescent="0.4">
      <c r="B14" s="156"/>
      <c r="D14" s="135" t="str" cm="1">
        <f t="array" ref="D14">IF($B14="","",_xll.SNL.Clients.Office.Excel.Functions.SPG($B14, "SP_COMPANY_NAME"))</f>
        <v/>
      </c>
      <c r="G14" s="157" t="str" cm="1">
        <f t="array" ref="G14">IF($B14="","",_xll.SNL.Clients.Office.Excel.Functions.SPG($B14,"SP_LASTSALEPRICE",WORKDAY($F$2+1,-1),"Options:Curr="&amp;I14&amp;",NA=--"))</f>
        <v/>
      </c>
      <c r="H14" s="158" t="str" cm="1">
        <f t="array" ref="H14">IF($B14="","",_xll.SNL.Clients.Office.Excel.Functions.SPG($B14,"SP_PRICE_CLOSE",WORKDAY($F$2+1,-1),"Options:Curr="&amp;$F$3&amp;", NA=--"))</f>
        <v/>
      </c>
      <c r="I14" s="159" t="str" cm="1">
        <f t="array" ref="I14">IF($B14="","",_xll.SNL.Clients.Office.Excel.Functions.SPG($B14,"SP_TRADING_CURRENCY","Options: NA=--"))</f>
        <v/>
      </c>
      <c r="J14" s="160" t="str" cm="1">
        <f t="array" ref="J14">IF($B14="","n/a ",_xll.SNL.Clients.Office.Excel.Functions.SPG($B14,"SP_MARKETCAP",WORKDAY($F$2+1,-1),"Options:Curr="&amp;$F$3&amp;", Mag=Millions, NA=--"))</f>
        <v xml:space="preserve">n/a </v>
      </c>
      <c r="K14" s="160" t="str" cm="1">
        <f t="array" ref="K14">IF($B14="","n/a ",_xll.SNL.Clients.Office.Excel.Functions.SPG($B14,"IQ_TEV",WORKDAY($F$2+1,-1),"Options:Curr="&amp;$F$3&amp;", Mag=Millions, NA=--"))</f>
        <v xml:space="preserve">n/a </v>
      </c>
      <c r="L14" s="161" t="str">
        <f t="shared" si="0"/>
        <v xml:space="preserve">n/a </v>
      </c>
      <c r="M14" s="161" t="str">
        <f t="shared" si="1"/>
        <v xml:space="preserve">n/a </v>
      </c>
      <c r="N14" s="161" t="str">
        <f t="shared" si="1"/>
        <v xml:space="preserve">n/a </v>
      </c>
      <c r="O14" s="161" t="str">
        <f t="shared" si="2"/>
        <v xml:space="preserve">n/a </v>
      </c>
      <c r="P14" s="161" t="str">
        <f t="shared" si="3"/>
        <v xml:space="preserve">n/a </v>
      </c>
      <c r="Q14" s="161" t="str">
        <f t="shared" si="3"/>
        <v xml:space="preserve">n/a </v>
      </c>
      <c r="R14" s="162" t="str">
        <f t="shared" si="6"/>
        <v xml:space="preserve">n/a </v>
      </c>
      <c r="S14" s="162" t="str">
        <f t="shared" si="6"/>
        <v xml:space="preserve">n/a </v>
      </c>
      <c r="T14" s="162"/>
      <c r="U14" s="161" t="str">
        <f t="shared" si="4"/>
        <v xml:space="preserve">n/a </v>
      </c>
      <c r="V14" s="161" t="str">
        <f t="shared" si="5"/>
        <v xml:space="preserve">n/a </v>
      </c>
      <c r="W14" s="161" t="str">
        <f t="shared" si="5"/>
        <v xml:space="preserve">n/a </v>
      </c>
      <c r="X14" s="163" t="str">
        <f t="shared" si="7"/>
        <v xml:space="preserve">n/a </v>
      </c>
      <c r="Y14" s="161" t="str">
        <f t="shared" si="8"/>
        <v xml:space="preserve">n/a </v>
      </c>
      <c r="Z14" s="161" t="str">
        <f t="shared" si="9"/>
        <v xml:space="preserve">n/a </v>
      </c>
      <c r="AA14" s="164"/>
      <c r="AC14" s="165" t="str" cm="1">
        <f t="array" ref="AC14">IF($B14="","",_xll.SNL.Clients.Office.Excel.Functions.SPG($B14,"IQ_REV",AC$7,$F$2,"Options:Curr="&amp;$F$3&amp;", Mag=Millions, NA=--"))</f>
        <v/>
      </c>
      <c r="AD14" s="165" t="str" cm="1">
        <f t="array" ref="AD14">IF($B14="","",_xll.SNL.Clients.Office.Excel.Functions.SPG($B14,"SP_REV_EST",AD$7,$F$2,"Options:Curr="&amp;$F$3&amp;", Mag=Millions, NA=--"))</f>
        <v/>
      </c>
      <c r="AE14" s="165" t="str" cm="1">
        <f t="array" ref="AE14">IF($B14="","",_xll.SNL.Clients.Office.Excel.Functions.SPG($B14,"SP_REV_EST",AE$7,$F$2,"Options:Curr="&amp;$F$3&amp;", Mag=Millions, NA=--"))</f>
        <v/>
      </c>
      <c r="AF14" s="165" t="str" cm="1">
        <f t="array" ref="AF14">IF($B14="","",_xll.SNL.Clients.Office.Excel.Functions.SPG($B14,"SP_REV_EST",AF$7,$F$2,"Options:Curr="&amp;$F$3&amp;", Mag=Millions, NA=--"))</f>
        <v/>
      </c>
      <c r="AG14" s="166"/>
      <c r="AH14" s="165" t="str" cm="1">
        <f t="array" ref="AH14">IF($B14="","",_xll.SNL.Clients.Office.Excel.Functions.SPG($B14,"SP_EBITDA",AH$7,$F$2,"Options:Curr="&amp;$F$3&amp;", Mag=Millions, NA=--"))</f>
        <v/>
      </c>
      <c r="AI14" s="165" t="str" cm="1">
        <f t="array" ref="AI14">IF($B14="","",_xll.SNL.Clients.Office.Excel.Functions.SPG($B14,"SP_EBITDA_EST",AI$7,$F$2,"Options:Curr="&amp;$F$3&amp;", Mag=Millions, NA=--"))</f>
        <v/>
      </c>
      <c r="AJ14" s="165" t="str" cm="1">
        <f t="array" ref="AJ14">IF($B14="","",_xll.SNL.Clients.Office.Excel.Functions.SPG($B14,"SP_EBITDA_EST",AJ$7,$F$2,"Options:Curr="&amp;$F$3&amp;", Mag=Millions, NA=--"))</f>
        <v/>
      </c>
      <c r="AK14" s="165" t="str" cm="1">
        <f t="array" ref="AK14">IF($B14="","",_xll.SNL.Clients.Office.Excel.Functions.SPG($B14,"SP_EBITDA_EST",AK$7,$F$2,"Options:Curr="&amp;$F$3&amp;", Mag=Millions, NA=--"))</f>
        <v/>
      </c>
      <c r="AL14" s="167"/>
      <c r="AM14" s="168" t="str" cm="1">
        <f t="array" ref="AM14">IF($B14="","",_xll.SNL.Clients.Office.Excel.Functions.SPG($B14,"IQ_BASIC_EPS_BEFORE_EXTRA",AM$7,$F$2,"Options:Curr="&amp;$F$3&amp;", NA=--"))</f>
        <v/>
      </c>
      <c r="AN14" s="168" t="str" cm="1">
        <f t="array" ref="AN14">IF($B14="","",_xll.SNL.Clients.Office.Excel.Functions.SPG($B14,"SP_EPS_EST",AN$7,$F$2,"Options:Curr="&amp;$F$3&amp;", NA=--"))</f>
        <v/>
      </c>
      <c r="AO14" s="168" t="str" cm="1">
        <f t="array" ref="AO14">IF($B14="","",_xll.SNL.Clients.Office.Excel.Functions.SPG($B14,"SP_EPS_EST",AO$7,$F$2,"Options:Curr="&amp;$F$3&amp;", NA=--"))</f>
        <v/>
      </c>
      <c r="AP14" s="168" t="str" cm="1">
        <f t="array" ref="AP14">IF($B14="","",_xll.SNL.Clients.Office.Excel.Functions.SPG($B14,"SP_EPS_EST",AP$7,$F$2,"Options:Curr="&amp;$F$3&amp;", NA=--"))</f>
        <v/>
      </c>
      <c r="AQ14" s="167"/>
      <c r="AR14" s="168" t="str" cm="1">
        <f t="array" ref="AR14">IF($B14="","",_xll.SNL.Clients.Office.Excel.Functions.SPG($B14,"IQ_ROE",AR$7,$F$2,"Options:Curr="&amp;$F$3&amp;", NA=--"))</f>
        <v/>
      </c>
      <c r="AS14" s="167"/>
      <c r="AT14" s="168" t="str" cm="1">
        <f t="array" ref="AT14">IF($B14="","",_xll.SNL.Clients.Office.Excel.Functions.SPG($B14,"IQ_BVPS",AT$7,$F$2,"Options:Curr="&amp;$F$3&amp;", NA=--"))</f>
        <v/>
      </c>
      <c r="AU14" s="167"/>
      <c r="AV14" s="168" t="str" cm="1">
        <f t="array" ref="AV14">IF($B14="","",_xll.SNL.Clients.Office.Excel.Functions.SPG($B14,"IQ_TBVPS",AV$7,$F$2,"Options:Curr="&amp;$F$3&amp;", NA=--"))</f>
        <v/>
      </c>
      <c r="AW14" s="167"/>
      <c r="AX14" s="169" t="str" cm="1">
        <f t="array" ref="AX14">IF($B14="","",_xll.SNL.Clients.Office.Excel.Functions.SPG($B14,"SP_DIV_YIELD",WORKDAY($F$2+1,-1),"Options: NA=--"))</f>
        <v/>
      </c>
      <c r="AY14" s="165" t="str" cm="1">
        <f t="array" ref="AY14">IF($B14="","",_xll.SNL.Clients.Office.Excel.Functions.SPG($B14,"IQ_TOTAL_EQUITY","FQ0",$F$2,"Options:Curr="&amp;$F$3&amp;", Mag=Millions, NA=--"))</f>
        <v/>
      </c>
      <c r="AZ14" s="165" t="str" cm="1">
        <f t="array" ref="AZ14">IF($B14="","",_xll.SNL.Clients.Office.Excel.Functions.SPG($B14,"IQ_TOTAL_DEBT","FQ0",$F$2,"Options:Curr="&amp;$F$3&amp;", Mag=Millions, NA=--"))</f>
        <v/>
      </c>
      <c r="BA14" s="165" t="str" cm="1">
        <f t="array" ref="BA14">IF($B14="","",_xll.SNL.Clients.Office.Excel.Functions.SPG($B14,"IQ_CASH_ST_INVEST","FQ0",$F$2,"Options:Curr="&amp;$F$3&amp;", Mag=Millions, NA=--"))</f>
        <v/>
      </c>
      <c r="BB14" s="165" t="e">
        <f t="shared" si="10"/>
        <v>#VALUE!</v>
      </c>
      <c r="BC14" s="165" t="str" cm="1">
        <f t="array" ref="BC14">IF($B14="","",_xll.SNL.Clients.Office.Excel.Functions.SPG($B14,"IQ_TOTAL_EQUITY","FQ0",$F$2,"Options:Curr="&amp;$F$3&amp;", Mag=Millions, NA=--"))</f>
        <v/>
      </c>
      <c r="BD14" s="167"/>
      <c r="BE14" s="170" t="str">
        <f>IF($B14="","",IFERROR(_xll.SNL.Clients.Office.Excel.Functions.SPG($B14,"SP_GROSS_MARGIN",BE$7,$F$2,"Options: NA=--")/100,"--"))</f>
        <v/>
      </c>
      <c r="BF14" s="170" t="str">
        <f>IF($B14="","",IFERROR(_xll.SNL.Clients.Office.Excel.Functions.SPG($B14,"SP_GROSS_MARGIN_EST",BF$7,$F$2,"Options: NA=--")/100,"--"))</f>
        <v/>
      </c>
      <c r="BG14" s="170" t="str">
        <f>IF($B14="","",IFERROR(_xll.SNL.Clients.Office.Excel.Functions.SPG($B14,"SP_GROSS_MARGIN_EST",BG$7,$F$2,"Options: NA=--")/100,"--"))</f>
        <v/>
      </c>
      <c r="BH14" s="170" t="str">
        <f>IF($B14="","",IFERROR(_xll.SNL.Clients.Office.Excel.Functions.SPG($B14,"SP_GROSS_MARGIN_EST",BH$7,$F$2,"Options: NA=--")/100,"--"))</f>
        <v/>
      </c>
    </row>
    <row r="15" spans="2:60" s="135" customFormat="1" ht="14.5" customHeight="1" x14ac:dyDescent="0.4">
      <c r="B15" s="156"/>
      <c r="D15" s="135" t="str" cm="1">
        <f t="array" ref="D15">IF($B15="","",_xll.SNL.Clients.Office.Excel.Functions.SPG($B15, "SP_COMPANY_NAME"))</f>
        <v/>
      </c>
      <c r="G15" s="171" t="str" cm="1">
        <f t="array" ref="G15">IF($B15="","",_xll.SNL.Clients.Office.Excel.Functions.SPG($B15,"SP_LASTSALEPRICE",WORKDAY($F$2+1,-1),"Options:Curr="&amp;I15&amp;",NA=--"))</f>
        <v/>
      </c>
      <c r="H15" s="158" t="str" cm="1">
        <f t="array" ref="H15">IF($B15="","",_xll.SNL.Clients.Office.Excel.Functions.SPG($B15,"SP_PRICE_CLOSE",WORKDAY($F$2+1,-1),"Options:Curr="&amp;$F$3&amp;", NA=--"))</f>
        <v/>
      </c>
      <c r="I15" s="159" t="str" cm="1">
        <f t="array" ref="I15">IF($B15="","",_xll.SNL.Clients.Office.Excel.Functions.SPG($B15,"SP_TRADING_CURRENCY","Options: NA=--"))</f>
        <v/>
      </c>
      <c r="J15" s="160" t="str" cm="1">
        <f t="array" ref="J15">IF($B15="","n/a ",_xll.SNL.Clients.Office.Excel.Functions.SPG($B15,"SP_MARKETCAP",WORKDAY($F$2+1,-1),"Options:Curr="&amp;$F$3&amp;", Mag=Millions, NA=--"))</f>
        <v xml:space="preserve">n/a </v>
      </c>
      <c r="K15" s="160" t="str" cm="1">
        <f t="array" ref="K15">IF($B15="","n/a ",_xll.SNL.Clients.Office.Excel.Functions.SPG($B15,"IQ_TEV",WORKDAY($F$2+1,-1),"Options:Curr="&amp;$F$3&amp;", Mag=Millions, NA=--"))</f>
        <v xml:space="preserve">n/a </v>
      </c>
      <c r="L15" s="161" t="str">
        <f t="shared" si="0"/>
        <v xml:space="preserve">n/a </v>
      </c>
      <c r="M15" s="161" t="str">
        <f t="shared" si="1"/>
        <v xml:space="preserve">n/a </v>
      </c>
      <c r="N15" s="161" t="str">
        <f t="shared" si="1"/>
        <v xml:space="preserve">n/a </v>
      </c>
      <c r="O15" s="161" t="str">
        <f t="shared" si="2"/>
        <v xml:space="preserve">n/a </v>
      </c>
      <c r="P15" s="161" t="str">
        <f t="shared" si="3"/>
        <v xml:space="preserve">n/a </v>
      </c>
      <c r="Q15" s="161" t="str">
        <f t="shared" si="3"/>
        <v xml:space="preserve">n/a </v>
      </c>
      <c r="R15" s="162" t="str">
        <f>IFERROR((AE15/AD15)-1,"n/a ")</f>
        <v xml:space="preserve">n/a </v>
      </c>
      <c r="S15" s="162" t="str">
        <f>IFERROR((AF15/AE15)-1,"n/a ")</f>
        <v xml:space="preserve">n/a </v>
      </c>
      <c r="T15" s="162"/>
      <c r="U15" s="161" t="str">
        <f t="shared" si="4"/>
        <v xml:space="preserve">n/a </v>
      </c>
      <c r="V15" s="161" t="str">
        <f t="shared" si="5"/>
        <v xml:space="preserve">n/a </v>
      </c>
      <c r="W15" s="161" t="str">
        <f t="shared" si="5"/>
        <v xml:space="preserve">n/a </v>
      </c>
      <c r="X15" s="163" t="str">
        <f t="shared" si="7"/>
        <v xml:space="preserve">n/a </v>
      </c>
      <c r="Y15" s="161" t="str">
        <f t="shared" si="8"/>
        <v xml:space="preserve">n/a </v>
      </c>
      <c r="Z15" s="161" t="str">
        <f t="shared" si="9"/>
        <v xml:space="preserve">n/a </v>
      </c>
      <c r="AA15" s="164"/>
      <c r="AC15" s="165" t="str" cm="1">
        <f t="array" ref="AC15">IF($B15="","",_xll.SNL.Clients.Office.Excel.Functions.SPG($B15,"IQ_REV",AC$7,$F$2,"Options:Curr="&amp;$F$3&amp;", Mag=Millions, NA=--"))</f>
        <v/>
      </c>
      <c r="AD15" s="165" t="str" cm="1">
        <f t="array" ref="AD15">IF($B15="","",_xll.SNL.Clients.Office.Excel.Functions.SPG($B15,"SP_REV_EST",AD$7,$F$2,"Options:Curr="&amp;$F$3&amp;", Mag=Millions, NA=--"))</f>
        <v/>
      </c>
      <c r="AE15" s="165" t="str" cm="1">
        <f t="array" ref="AE15">IF($B15="","",_xll.SNL.Clients.Office.Excel.Functions.SPG($B15,"SP_REV_EST",AE$7,$F$2,"Options:Curr="&amp;$F$3&amp;", Mag=Millions, NA=--"))</f>
        <v/>
      </c>
      <c r="AF15" s="165" t="str" cm="1">
        <f t="array" ref="AF15">IF($B15="","",_xll.SNL.Clients.Office.Excel.Functions.SPG($B15,"SP_REV_EST",AF$7,$F$2,"Options:Curr="&amp;$F$3&amp;", Mag=Millions, NA=--"))</f>
        <v/>
      </c>
      <c r="AG15" s="166"/>
      <c r="AH15" s="165" t="str" cm="1">
        <f t="array" ref="AH15">IF($B15="","",_xll.SNL.Clients.Office.Excel.Functions.SPG($B15,"SP_EBITDA",AH$7,$F$2,"Options:Curr="&amp;$F$3&amp;", Mag=Millions, NA=--"))</f>
        <v/>
      </c>
      <c r="AI15" s="165" t="str" cm="1">
        <f t="array" ref="AI15">IF($B15="","",_xll.SNL.Clients.Office.Excel.Functions.SPG($B15,"SP_EBITDA_EST",AI$7,$F$2,"Options:Curr="&amp;$F$3&amp;", Mag=Millions, NA=--"))</f>
        <v/>
      </c>
      <c r="AJ15" s="165" t="str" cm="1">
        <f t="array" ref="AJ15">IF($B15="","",_xll.SNL.Clients.Office.Excel.Functions.SPG($B15,"SP_EBITDA_EST",AJ$7,$F$2,"Options:Curr="&amp;$F$3&amp;", Mag=Millions, NA=--"))</f>
        <v/>
      </c>
      <c r="AK15" s="165" t="str" cm="1">
        <f t="array" ref="AK15">IF($B15="","",_xll.SNL.Clients.Office.Excel.Functions.SPG($B15,"SP_EBITDA_EST",AK$7,$F$2,"Options:Curr="&amp;$F$3&amp;", Mag=Millions, NA=--"))</f>
        <v/>
      </c>
      <c r="AL15" s="167"/>
      <c r="AM15" s="168" t="str" cm="1">
        <f t="array" ref="AM15">IF($B15="","",_xll.SNL.Clients.Office.Excel.Functions.SPG($B15,"IQ_BASIC_EPS_BEFORE_EXTRA",AM$7,$F$2,"Options:Curr="&amp;$F$3&amp;", NA=--"))</f>
        <v/>
      </c>
      <c r="AN15" s="168" t="str" cm="1">
        <f t="array" ref="AN15">IF($B15="","",_xll.SNL.Clients.Office.Excel.Functions.SPG($B15,"SP_EPS_EST",AN$7,$F$2,"Options:Curr="&amp;$F$3&amp;", NA=--"))</f>
        <v/>
      </c>
      <c r="AO15" s="168" t="str" cm="1">
        <f t="array" ref="AO15">IF($B15="","",_xll.SNL.Clients.Office.Excel.Functions.SPG($B15,"SP_EPS_EST",AO$7,$F$2,"Options:Curr="&amp;$F$3&amp;", NA=--"))</f>
        <v/>
      </c>
      <c r="AP15" s="168" t="str" cm="1">
        <f t="array" ref="AP15">IF($B15="","",_xll.SNL.Clients.Office.Excel.Functions.SPG($B15,"SP_EPS_EST",AP$7,$F$2,"Options:Curr="&amp;$F$3&amp;", NA=--"))</f>
        <v/>
      </c>
      <c r="AQ15" s="167"/>
      <c r="AR15" s="168" t="str" cm="1">
        <f t="array" ref="AR15">IF($B15="","",_xll.SNL.Clients.Office.Excel.Functions.SPG($B15,"IQ_ROE",AR$7,$F$2,"Options:Curr="&amp;$F$3&amp;", NA=--"))</f>
        <v/>
      </c>
      <c r="AS15" s="167"/>
      <c r="AT15" s="168" t="str" cm="1">
        <f t="array" ref="AT15">IF($B15="","",_xll.SNL.Clients.Office.Excel.Functions.SPG($B15,"IQ_BVPS",AT$7,$F$2,"Options:Curr="&amp;$F$3&amp;", NA=--"))</f>
        <v/>
      </c>
      <c r="AU15" s="167"/>
      <c r="AV15" s="168" t="str" cm="1">
        <f t="array" ref="AV15">IF($B15="","",_xll.SNL.Clients.Office.Excel.Functions.SPG($B15,"IQ_TBVPS",AV$7,$F$2,"Options:Curr="&amp;$F$3&amp;", NA=--"))</f>
        <v/>
      </c>
      <c r="AW15" s="167"/>
      <c r="AX15" s="169" t="str" cm="1">
        <f t="array" ref="AX15">IF($B15="","",_xll.SNL.Clients.Office.Excel.Functions.SPG($B15,"SP_DIV_YIELD",WORKDAY($F$2+1,-1),"Options: NA=--"))</f>
        <v/>
      </c>
      <c r="AY15" s="165" t="str" cm="1">
        <f t="array" ref="AY15">IF($B15="","",_xll.SNL.Clients.Office.Excel.Functions.SPG($B15,"IQ_TOTAL_EQUITY","FQ0",$F$2,"Options:Curr="&amp;$F$3&amp;", Mag=Millions, NA=--"))</f>
        <v/>
      </c>
      <c r="AZ15" s="165" t="str" cm="1">
        <f t="array" ref="AZ15">IF($B15="","",_xll.SNL.Clients.Office.Excel.Functions.SPG($B15,"IQ_TOTAL_DEBT","FQ0",$F$2,"Options:Curr="&amp;$F$3&amp;", Mag=Millions, NA=--"))</f>
        <v/>
      </c>
      <c r="BA15" s="165" t="str" cm="1">
        <f t="array" ref="BA15">IF($B15="","",_xll.SNL.Clients.Office.Excel.Functions.SPG($B15,"IQ_CASH_ST_INVEST","FQ0",$F$2,"Options:Curr="&amp;$F$3&amp;", Mag=Millions, NA=--"))</f>
        <v/>
      </c>
      <c r="BB15" s="165" t="e">
        <f t="shared" si="10"/>
        <v>#VALUE!</v>
      </c>
      <c r="BC15" s="165" t="str" cm="1">
        <f t="array" ref="BC15">IF($B15="","",_xll.SNL.Clients.Office.Excel.Functions.SPG($B15,"IQ_TOTAL_EQUITY","FQ0",$F$2,"Options:Curr="&amp;$F$3&amp;", Mag=Millions, NA=--"))</f>
        <v/>
      </c>
      <c r="BD15" s="167"/>
      <c r="BE15" s="170" t="str">
        <f>IF($B15="","",IFERROR(_xll.SNL.Clients.Office.Excel.Functions.SPG($B15,"SP_GROSS_MARGIN",BE$7,$F$2,"Options: NA=--")/100,"--"))</f>
        <v/>
      </c>
      <c r="BF15" s="170" t="str">
        <f>IF($B15="","",IFERROR(_xll.SNL.Clients.Office.Excel.Functions.SPG($B15,"SP_GROSS_MARGIN_EST",BF$7,$F$2,"Options: NA=--")/100,"--"))</f>
        <v/>
      </c>
      <c r="BG15" s="170" t="str">
        <f>IF($B15="","",IFERROR(_xll.SNL.Clients.Office.Excel.Functions.SPG($B15,"SP_GROSS_MARGIN_EST",BG$7,$F$2,"Options: NA=--")/100,"--"))</f>
        <v/>
      </c>
      <c r="BH15" s="170" t="str">
        <f>IF($B15="","",IFERROR(_xll.SNL.Clients.Office.Excel.Functions.SPG($B15,"SP_GROSS_MARGIN_EST",BH$7,$F$2,"Options: NA=--")/100,"--"))</f>
        <v/>
      </c>
    </row>
    <row r="16" spans="2:60" s="135" customFormat="1" ht="3" customHeight="1" x14ac:dyDescent="0.4">
      <c r="B16" s="172"/>
      <c r="G16" s="173"/>
      <c r="H16" s="173"/>
      <c r="I16" s="159"/>
      <c r="J16" s="174"/>
      <c r="K16" s="175"/>
      <c r="L16" s="175"/>
      <c r="M16" s="161"/>
      <c r="N16" s="161"/>
      <c r="O16" s="161"/>
      <c r="P16" s="161"/>
      <c r="Q16" s="161"/>
      <c r="R16" s="176"/>
      <c r="S16" s="176"/>
      <c r="T16" s="176"/>
      <c r="U16" s="161"/>
      <c r="V16" s="161"/>
      <c r="W16" s="161"/>
      <c r="X16" s="161"/>
      <c r="Y16" s="161"/>
      <c r="Z16" s="161"/>
      <c r="AA16" s="176"/>
      <c r="AC16" s="177"/>
      <c r="AD16" s="177"/>
      <c r="AE16" s="177"/>
      <c r="AF16" s="177"/>
      <c r="AG16" s="166"/>
      <c r="AH16" s="166"/>
      <c r="AI16" s="177"/>
      <c r="AJ16" s="177"/>
      <c r="AK16" s="177"/>
      <c r="AL16" s="167"/>
      <c r="AM16" s="159"/>
      <c r="AN16" s="159"/>
      <c r="AO16" s="159"/>
      <c r="AP16" s="159"/>
      <c r="AQ16" s="167"/>
      <c r="AR16" s="167"/>
      <c r="AS16" s="167"/>
      <c r="AT16" s="167"/>
      <c r="AU16" s="167"/>
      <c r="AV16" s="167"/>
      <c r="AW16" s="167"/>
      <c r="AX16" s="178"/>
      <c r="AY16" s="177"/>
      <c r="AZ16" s="177"/>
      <c r="BA16" s="177"/>
      <c r="BB16" s="177"/>
      <c r="BC16" s="177"/>
      <c r="BD16" s="167"/>
      <c r="BE16" s="167"/>
      <c r="BF16" s="179"/>
      <c r="BG16" s="179"/>
      <c r="BH16" s="179"/>
    </row>
    <row r="17" spans="2:60" s="135" customFormat="1" ht="14.5" customHeight="1" x14ac:dyDescent="0.4">
      <c r="B17" s="172"/>
      <c r="D17" s="180" t="s">
        <v>100</v>
      </c>
      <c r="E17" s="180"/>
      <c r="F17" s="180"/>
      <c r="G17" s="180"/>
      <c r="H17" s="180"/>
      <c r="I17" s="181"/>
      <c r="J17" s="182"/>
      <c r="K17" s="182"/>
      <c r="L17" s="183" t="str">
        <f t="shared" ref="L17:Z17" si="11">IFERROR(AVERAGE(L10:L15),"n/a ")</f>
        <v xml:space="preserve">n/a </v>
      </c>
      <c r="M17" s="183" t="str">
        <f t="shared" si="11"/>
        <v xml:space="preserve">n/a </v>
      </c>
      <c r="N17" s="184" t="str">
        <f t="shared" si="11"/>
        <v xml:space="preserve">n/a </v>
      </c>
      <c r="O17" s="183" t="str">
        <f t="shared" si="11"/>
        <v xml:space="preserve">n/a </v>
      </c>
      <c r="P17" s="184" t="str">
        <f t="shared" si="11"/>
        <v xml:space="preserve">n/a </v>
      </c>
      <c r="Q17" s="184" t="str">
        <f t="shared" si="11"/>
        <v xml:space="preserve">n/a </v>
      </c>
      <c r="R17" s="185" t="str">
        <f t="shared" si="11"/>
        <v xml:space="preserve">n/a </v>
      </c>
      <c r="S17" s="185" t="str">
        <f t="shared" si="11"/>
        <v xml:space="preserve">n/a </v>
      </c>
      <c r="T17" s="185"/>
      <c r="U17" s="184" t="str">
        <f t="shared" si="11"/>
        <v xml:space="preserve">n/a </v>
      </c>
      <c r="V17" s="184" t="str">
        <f t="shared" si="11"/>
        <v xml:space="preserve">n/a </v>
      </c>
      <c r="W17" s="183" t="str">
        <f t="shared" si="11"/>
        <v xml:space="preserve">n/a </v>
      </c>
      <c r="X17" s="186" t="str">
        <f t="shared" si="11"/>
        <v xml:space="preserve">n/a </v>
      </c>
      <c r="Y17" s="183" t="str">
        <f t="shared" si="11"/>
        <v xml:space="preserve">n/a </v>
      </c>
      <c r="Z17" s="183" t="str">
        <f t="shared" si="11"/>
        <v xml:space="preserve">n/a </v>
      </c>
      <c r="AA17" s="185"/>
      <c r="AC17" s="166"/>
      <c r="AD17" s="166"/>
      <c r="AE17" s="166"/>
      <c r="AF17" s="166"/>
      <c r="AG17" s="166"/>
      <c r="AH17" s="166"/>
      <c r="AI17" s="166"/>
      <c r="AJ17" s="166"/>
      <c r="AK17" s="166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87"/>
      <c r="AY17" s="167"/>
      <c r="AZ17" s="167"/>
      <c r="BA17" s="167"/>
      <c r="BB17" s="167"/>
      <c r="BC17" s="167"/>
      <c r="BD17" s="167"/>
      <c r="BE17" s="167"/>
      <c r="BF17" s="179"/>
      <c r="BG17" s="179"/>
      <c r="BH17" s="179"/>
    </row>
    <row r="18" spans="2:60" s="135" customFormat="1" ht="3" customHeight="1" x14ac:dyDescent="0.4">
      <c r="B18" s="172"/>
      <c r="I18" s="167"/>
      <c r="J18" s="188"/>
      <c r="K18" s="188"/>
      <c r="L18" s="188"/>
      <c r="AC18" s="166"/>
      <c r="AD18" s="166"/>
      <c r="AE18" s="166"/>
      <c r="AF18" s="166"/>
      <c r="AG18" s="166"/>
      <c r="AH18" s="166"/>
      <c r="AI18" s="166"/>
      <c r="AJ18" s="166"/>
      <c r="AK18" s="166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87"/>
      <c r="AY18" s="167"/>
      <c r="AZ18" s="167"/>
      <c r="BA18" s="167"/>
      <c r="BB18" s="167"/>
      <c r="BC18" s="167"/>
      <c r="BD18" s="167"/>
      <c r="BE18" s="167"/>
      <c r="BF18" s="179"/>
      <c r="BG18" s="179"/>
      <c r="BH18" s="179"/>
    </row>
    <row r="19" spans="2:60" s="135" customFormat="1" ht="14.5" customHeight="1" x14ac:dyDescent="0.4">
      <c r="B19" s="172"/>
      <c r="D19" s="155" t="s">
        <v>101</v>
      </c>
      <c r="G19" s="173"/>
      <c r="H19" s="173"/>
      <c r="I19" s="159"/>
      <c r="J19" s="174"/>
      <c r="K19" s="174"/>
      <c r="L19" s="174"/>
      <c r="M19" s="189"/>
      <c r="N19" s="189"/>
      <c r="O19" s="189"/>
      <c r="P19" s="189"/>
      <c r="Q19" s="189"/>
      <c r="R19" s="176"/>
      <c r="S19" s="176"/>
      <c r="T19" s="176"/>
      <c r="U19" s="189"/>
      <c r="V19" s="189"/>
      <c r="W19" s="189"/>
      <c r="X19" s="189"/>
      <c r="Y19" s="189"/>
      <c r="Z19" s="189"/>
      <c r="AA19" s="176"/>
      <c r="AC19" s="177"/>
      <c r="AD19" s="177"/>
      <c r="AE19" s="177"/>
      <c r="AF19" s="177"/>
      <c r="AG19" s="166"/>
      <c r="AH19" s="166"/>
      <c r="AI19" s="177"/>
      <c r="AJ19" s="177"/>
      <c r="AK19" s="177"/>
      <c r="AL19" s="167"/>
      <c r="AM19" s="159"/>
      <c r="AN19" s="159"/>
      <c r="AO19" s="159"/>
      <c r="AP19" s="159"/>
      <c r="AQ19" s="167"/>
      <c r="AR19" s="167"/>
      <c r="AS19" s="167"/>
      <c r="AT19" s="167"/>
      <c r="AU19" s="167"/>
      <c r="AV19" s="167"/>
      <c r="AW19" s="167"/>
      <c r="AX19" s="178"/>
      <c r="AY19" s="177"/>
      <c r="AZ19" s="177"/>
      <c r="BA19" s="177"/>
      <c r="BB19" s="177"/>
      <c r="BC19" s="177"/>
      <c r="BD19" s="167"/>
      <c r="BE19" s="167"/>
      <c r="BF19" s="179"/>
      <c r="BG19" s="179"/>
      <c r="BH19" s="179"/>
    </row>
    <row r="20" spans="2:60" s="135" customFormat="1" ht="14.5" customHeight="1" x14ac:dyDescent="0.4">
      <c r="B20" s="156"/>
      <c r="D20" s="135" t="str" cm="1">
        <f t="array" ref="D20">IF($B20="","",_xll.SNL.Clients.Office.Excel.Functions.SPG($B20, "SP_COMPANY_NAME"))</f>
        <v/>
      </c>
      <c r="G20" s="171" t="str" cm="1">
        <f t="array" ref="G20">IF($B20="","",_xll.SNL.Clients.Office.Excel.Functions.SPG($B20,"SP_LASTSALEPRICE",WORKDAY($F$2+1,-1),"Options:Curr="&amp;I20&amp;",NA=--"))</f>
        <v/>
      </c>
      <c r="H20" s="158" t="str" cm="1">
        <f t="array" ref="H20">IF($B20="","",_xll.SNL.Clients.Office.Excel.Functions.SPG($B20,"SP_PRICE_CLOSE",WORKDAY($F$2+1,-1),"Options:Curr="&amp;$F$3&amp;", NA=--"))</f>
        <v/>
      </c>
      <c r="I20" s="159" t="str" cm="1">
        <f t="array" ref="I20">IF($B20="","",_xll.SNL.Clients.Office.Excel.Functions.SPG($B20,"SP_TRADING_CURRENCY","Options: NA=--"))</f>
        <v/>
      </c>
      <c r="J20" s="160" t="str" cm="1">
        <f t="array" ref="J20">IF($B20="","n/a ",_xll.SNL.Clients.Office.Excel.Functions.SPG($B20,"SP_MARKETCAP",WORKDAY($F$2+1,-1),"Options:Curr="&amp;$F$3&amp;", Mag=Millions, NA=--"))</f>
        <v xml:space="preserve">n/a </v>
      </c>
      <c r="K20" s="160" t="str" cm="1">
        <f t="array" ref="K20">IF($B20="","n/a ",_xll.SNL.Clients.Office.Excel.Functions.SPG($B20,"IQ_TEV",WORKDAY($F$2+1,-1),"Options:Curr="&amp;$F$3&amp;", Mag=Millions, NA=--"))</f>
        <v xml:space="preserve">n/a </v>
      </c>
      <c r="L20" s="161" t="str">
        <f t="shared" ref="L20:N25" si="12">IFERROR(IF(OR($K20/AC20&gt;L$4,$K20/AC20&lt;L$3),"nmf ",$K20/AC20),"n/a ")</f>
        <v xml:space="preserve">n/a </v>
      </c>
      <c r="M20" s="161" t="str">
        <f t="shared" si="12"/>
        <v xml:space="preserve">n/a </v>
      </c>
      <c r="N20" s="161" t="str">
        <f t="shared" si="12"/>
        <v xml:space="preserve">n/a </v>
      </c>
      <c r="O20" s="161" t="str">
        <f t="shared" ref="O20:Q25" si="13">IFERROR(IF(OR($K20/AH20&gt;O$4,$K20/AH20&lt;O$3),"nmf ",$K20/AH20),"n/a ")</f>
        <v xml:space="preserve">n/a </v>
      </c>
      <c r="P20" s="161" t="str">
        <f t="shared" si="13"/>
        <v xml:space="preserve">n/a </v>
      </c>
      <c r="Q20" s="161" t="str">
        <f t="shared" si="13"/>
        <v xml:space="preserve">n/a </v>
      </c>
      <c r="R20" s="162" t="str">
        <f t="shared" ref="R20:S25" si="14">IFERROR((AE20/AD20)-1,"n/a ")</f>
        <v xml:space="preserve">n/a </v>
      </c>
      <c r="S20" s="162" t="str">
        <f t="shared" si="14"/>
        <v xml:space="preserve">n/a </v>
      </c>
      <c r="T20" s="162"/>
      <c r="U20" s="161" t="str">
        <f t="shared" ref="U20:U25" si="15">IFERROR($H20/AM20,"n/a ")</f>
        <v xml:space="preserve">n/a </v>
      </c>
      <c r="V20" s="161" t="str">
        <f t="shared" ref="V20:W25" si="16">IFERROR($H20/AO20,"n/a ")</f>
        <v xml:space="preserve">n/a </v>
      </c>
      <c r="W20" s="161" t="str">
        <f t="shared" si="16"/>
        <v xml:space="preserve">n/a </v>
      </c>
      <c r="X20" s="163" t="str">
        <f t="shared" ref="X20:X25" si="17">IFERROR(AR20/100,"n/a ")</f>
        <v xml:space="preserve">n/a </v>
      </c>
      <c r="Y20" s="161" t="str">
        <f>IFERROR(H20/AT20,"n/a ")</f>
        <v xml:space="preserve">n/a </v>
      </c>
      <c r="Z20" s="161" t="str">
        <f>IFERROR(H20/AV20,"n/a ")</f>
        <v xml:space="preserve">n/a </v>
      </c>
      <c r="AA20" s="164"/>
      <c r="AC20" s="165" t="str" cm="1">
        <f t="array" ref="AC20">IF($B20="","",_xll.SNL.Clients.Office.Excel.Functions.SPG($B20,"IQ_REV",AC$7,$F$2,"Options:Curr="&amp;$F$3&amp;", Mag=Millions, NA=--"))</f>
        <v/>
      </c>
      <c r="AD20" s="165" t="str" cm="1">
        <f t="array" ref="AD20">IF($B20="","",_xll.SNL.Clients.Office.Excel.Functions.SPG($B20,"SP_REV_EST",AD$7,$F$2,"Options:Curr="&amp;$F$3&amp;", Mag=Millions, NA=--"))</f>
        <v/>
      </c>
      <c r="AE20" s="165" t="str" cm="1">
        <f t="array" ref="AE20">IF($B20="","",_xll.SNL.Clients.Office.Excel.Functions.SPG($B20,"SP_REV_EST",AE$7,$F$2,"Options:Curr="&amp;$F$3&amp;", Mag=Millions, NA=--"))</f>
        <v/>
      </c>
      <c r="AF20" s="165" t="str" cm="1">
        <f t="array" ref="AF20">IF($B20="","",_xll.SNL.Clients.Office.Excel.Functions.SPG($B20,"SP_REV_EST",AF$7,$F$2,"Options:Curr="&amp;$F$3&amp;", Mag=Millions, NA=--"))</f>
        <v/>
      </c>
      <c r="AG20" s="166"/>
      <c r="AH20" s="165" t="str" cm="1">
        <f t="array" ref="AH20">IF($B20="","",_xll.SNL.Clients.Office.Excel.Functions.SPG($B20,"SP_EBITDA",AH$7,$F$2,"Options:Curr="&amp;$F$3&amp;", Mag=Millions, NA=--"))</f>
        <v/>
      </c>
      <c r="AI20" s="165" t="str" cm="1">
        <f t="array" ref="AI20">IF($B20="","",_xll.SNL.Clients.Office.Excel.Functions.SPG($B20,"SP_EBITDA_EST",AI$7,$F$2,"Options:Curr="&amp;$F$3&amp;", Mag=Millions, NA=--"))</f>
        <v/>
      </c>
      <c r="AJ20" s="165" t="str" cm="1">
        <f t="array" ref="AJ20">IF($B20="","",_xll.SNL.Clients.Office.Excel.Functions.SPG($B20,"SP_EBITDA_EST",AJ$7,$F$2,"Options:Curr="&amp;$F$3&amp;", Mag=Millions, NA=--"))</f>
        <v/>
      </c>
      <c r="AK20" s="165" t="str" cm="1">
        <f t="array" ref="AK20">IF($B20="","",_xll.SNL.Clients.Office.Excel.Functions.SPG($B20,"SP_EBITDA_EST",AK$7,$F$2,"Options:Curr="&amp;$F$3&amp;", Mag=Millions, NA=--"))</f>
        <v/>
      </c>
      <c r="AL20" s="167"/>
      <c r="AM20" s="168" t="str" cm="1">
        <f t="array" ref="AM20">IF($B20="","",_xll.SNL.Clients.Office.Excel.Functions.SPG($B20,"IQ_BASIC_EPS_BEFORE_EXTRA",AM$7,$F$2,"Options:Curr="&amp;$F$3&amp;", NA=--"))</f>
        <v/>
      </c>
      <c r="AN20" s="168" t="str" cm="1">
        <f t="array" ref="AN20">IF($B20="","",_xll.SNL.Clients.Office.Excel.Functions.SPG($B20,"SP_EPS_EST",AN$7,$F$2,"Options:Curr="&amp;$F$3&amp;", NA=--"))</f>
        <v/>
      </c>
      <c r="AO20" s="168" t="str" cm="1">
        <f t="array" ref="AO20">IF($B20="","",_xll.SNL.Clients.Office.Excel.Functions.SPG($B20,"SP_EPS_EST",AO$7,$F$2,"Options:Curr="&amp;$F$3&amp;", NA=--"))</f>
        <v/>
      </c>
      <c r="AP20" s="168" t="str" cm="1">
        <f t="array" ref="AP20">IF($B20="","",_xll.SNL.Clients.Office.Excel.Functions.SPG($B20,"SP_EPS_EST",AP$7,$F$2,"Options:Curr="&amp;$F$3&amp;", NA=--"))</f>
        <v/>
      </c>
      <c r="AQ20" s="167"/>
      <c r="AR20" s="168" t="str" cm="1">
        <f t="array" ref="AR20">IF($B20="","",_xll.SNL.Clients.Office.Excel.Functions.SPG($B20,"IQ_ROE",AR$7,$F$2,"Options:Curr="&amp;$F$3&amp;", NA=--"))</f>
        <v/>
      </c>
      <c r="AS20" s="167"/>
      <c r="AT20" s="168" t="str" cm="1">
        <f t="array" ref="AT20">IF($B20="","",_xll.SNL.Clients.Office.Excel.Functions.SPG($B20,"IQ_BVPS",AT$7,$F$2,"Options:Curr="&amp;$F$3&amp;", NA=--"))</f>
        <v/>
      </c>
      <c r="AU20" s="167"/>
      <c r="AV20" s="168" t="str" cm="1">
        <f t="array" ref="AV20">IF($B20="","",_xll.SNL.Clients.Office.Excel.Functions.SPG($B20,"IQ_TBVPS",AV$7,$F$2,"Options:Curr="&amp;$F$3&amp;", NA=--"))</f>
        <v/>
      </c>
      <c r="AW20" s="167"/>
      <c r="AX20" s="169" t="str" cm="1">
        <f t="array" ref="AX20">IF($B20="","",_xll.SNL.Clients.Office.Excel.Functions.SPG($B20,"SP_DIV_YIELD",WORKDAY($F$2+1,-1),"Options: NA=--"))</f>
        <v/>
      </c>
      <c r="AY20" s="165" t="str" cm="1">
        <f t="array" ref="AY20">IF($B20="","",_xll.SNL.Clients.Office.Excel.Functions.SPG($B20,"IQ_TOTAL_EQUITY","FQ0",$F$2,"Options:Curr="&amp;$F$3&amp;", Mag=Millions, NA=--"))</f>
        <v/>
      </c>
      <c r="AZ20" s="165" t="str" cm="1">
        <f t="array" ref="AZ20">IF($B20="","",_xll.SNL.Clients.Office.Excel.Functions.SPG($B20,"IQ_TOTAL_DEBT","FQ0",$F$2,"Options:Curr="&amp;$F$3&amp;", Mag=Millions, NA=--"))</f>
        <v/>
      </c>
      <c r="BA20" s="165" t="str" cm="1">
        <f t="array" ref="BA20">IF($B20="","",_xll.SNL.Clients.Office.Excel.Functions.SPG($B20,"IQ_CASH_ST_INVEST","FQ0",$F$2,"Options:Curr="&amp;$F$3&amp;", Mag=Millions, NA=--"))</f>
        <v/>
      </c>
      <c r="BB20" s="165" t="e">
        <f>+AZ20-BA20</f>
        <v>#VALUE!</v>
      </c>
      <c r="BC20" s="165" t="str" cm="1">
        <f t="array" ref="BC20">IF($B20="","",_xll.SNL.Clients.Office.Excel.Functions.SPG($B20,"IQ_TOTAL_EQUITY","FQ0",$F$2,"Options:Curr="&amp;$F$3&amp;", Mag=Millions, NA=--"))</f>
        <v/>
      </c>
      <c r="BD20" s="167"/>
      <c r="BE20" s="170" t="str">
        <f>IF($B20="","",IFERROR(_xll.SNL.Clients.Office.Excel.Functions.SPG($B20,"SP_GROSS_MARGIN",BE$7,$F$2,"Options: NA=--")/100,"--"))</f>
        <v/>
      </c>
      <c r="BF20" s="170" t="str">
        <f>IF($B20="","",IFERROR(_xll.SNL.Clients.Office.Excel.Functions.SPG($B20,"SP_GROSS_MARGIN_EST",BF$7,$F$2,"Options: NA=--")/100,"--"))</f>
        <v/>
      </c>
      <c r="BG20" s="170" t="str">
        <f>IF($B20="","",IFERROR(_xll.SNL.Clients.Office.Excel.Functions.SPG($B20,"SP_GROSS_MARGIN_EST",BG$7,$F$2,"Options: NA=--")/100,"--"))</f>
        <v/>
      </c>
      <c r="BH20" s="170" t="str">
        <f>IF($B20="","",IFERROR(_xll.SNL.Clients.Office.Excel.Functions.SPG($B20,"SP_GROSS_MARGIN_EST",BH$7,$F$2,"Options: NA=--")/100,"--"))</f>
        <v/>
      </c>
    </row>
    <row r="21" spans="2:60" s="135" customFormat="1" ht="14.5" customHeight="1" x14ac:dyDescent="0.4">
      <c r="B21" s="156"/>
      <c r="D21" s="135" t="str" cm="1">
        <f t="array" ref="D21">IF($B21="","",_xll.SNL.Clients.Office.Excel.Functions.SPG($B21, "SP_COMPANY_NAME"))</f>
        <v/>
      </c>
      <c r="G21" s="171" t="str" cm="1">
        <f t="array" ref="G21">IF($B21="","",_xll.SNL.Clients.Office.Excel.Functions.SPG($B21,"SP_LASTSALEPRICE",WORKDAY($F$2+1,-1),"Options:Curr="&amp;I21&amp;",NA=--"))</f>
        <v/>
      </c>
      <c r="H21" s="158" t="str" cm="1">
        <f t="array" ref="H21">IF($B21="","",_xll.SNL.Clients.Office.Excel.Functions.SPG($B21,"SP_PRICE_CLOSE",WORKDAY($F$2+1,-1),"Options:Curr="&amp;$F$3&amp;", NA=--"))</f>
        <v/>
      </c>
      <c r="I21" s="159" t="str" cm="1">
        <f t="array" ref="I21">IF($B21="","",_xll.SNL.Clients.Office.Excel.Functions.SPG($B21,"SP_TRADING_CURRENCY","Options: NA=--"))</f>
        <v/>
      </c>
      <c r="J21" s="160" t="str" cm="1">
        <f t="array" ref="J21">IF($B21="","n/a ",_xll.SNL.Clients.Office.Excel.Functions.SPG($B21,"SP_MARKETCAP",WORKDAY($F$2+1,-1),"Options:Curr="&amp;$F$3&amp;", Mag=Millions, NA=--"))</f>
        <v xml:space="preserve">n/a </v>
      </c>
      <c r="K21" s="160" t="str" cm="1">
        <f t="array" ref="K21">IF($B21="","n/a ",_xll.SNL.Clients.Office.Excel.Functions.SPG($B21,"IQ_TEV",WORKDAY($F$2+1,-1),"Options:Curr="&amp;$F$3&amp;", Mag=Millions, NA=--"))</f>
        <v xml:space="preserve">n/a </v>
      </c>
      <c r="L21" s="161" t="str">
        <f t="shared" si="12"/>
        <v xml:space="preserve">n/a </v>
      </c>
      <c r="M21" s="161" t="str">
        <f t="shared" si="12"/>
        <v xml:space="preserve">n/a </v>
      </c>
      <c r="N21" s="161" t="str">
        <f t="shared" si="12"/>
        <v xml:space="preserve">n/a </v>
      </c>
      <c r="O21" s="161" t="str">
        <f t="shared" si="13"/>
        <v xml:space="preserve">n/a </v>
      </c>
      <c r="P21" s="161" t="str">
        <f t="shared" si="13"/>
        <v xml:space="preserve">n/a </v>
      </c>
      <c r="Q21" s="161" t="str">
        <f t="shared" si="13"/>
        <v xml:space="preserve">n/a </v>
      </c>
      <c r="R21" s="162" t="str">
        <f t="shared" si="14"/>
        <v xml:space="preserve">n/a </v>
      </c>
      <c r="S21" s="162" t="str">
        <f t="shared" si="14"/>
        <v xml:space="preserve">n/a </v>
      </c>
      <c r="T21" s="162"/>
      <c r="U21" s="161" t="str">
        <f t="shared" si="15"/>
        <v xml:space="preserve">n/a </v>
      </c>
      <c r="V21" s="161" t="str">
        <f t="shared" si="16"/>
        <v xml:space="preserve">n/a </v>
      </c>
      <c r="W21" s="161" t="str">
        <f t="shared" si="16"/>
        <v xml:space="preserve">n/a </v>
      </c>
      <c r="X21" s="163" t="str">
        <f t="shared" si="17"/>
        <v xml:space="preserve">n/a </v>
      </c>
      <c r="Y21" s="161" t="str">
        <f t="shared" ref="Y21:Y25" si="18">IFERROR(H21/AT21,"n/a ")</f>
        <v xml:space="preserve">n/a </v>
      </c>
      <c r="Z21" s="161" t="str">
        <f t="shared" ref="Z21:Z25" si="19">IFERROR(H21/AV21,"n/a ")</f>
        <v xml:space="preserve">n/a </v>
      </c>
      <c r="AA21" s="164"/>
      <c r="AC21" s="165" t="str" cm="1">
        <f t="array" ref="AC21">IF($B21="","",_xll.SNL.Clients.Office.Excel.Functions.SPG($B21,"IQ_REV",AC$7,$F$2,"Options:Curr="&amp;$F$3&amp;", Mag=Millions, NA=--"))</f>
        <v/>
      </c>
      <c r="AD21" s="165" t="str" cm="1">
        <f t="array" ref="AD21">IF($B21="","",_xll.SNL.Clients.Office.Excel.Functions.SPG($B21,"SP_REV_EST",AD$7,$F$2,"Options:Curr="&amp;$F$3&amp;", Mag=Millions, NA=--"))</f>
        <v/>
      </c>
      <c r="AE21" s="165" t="str" cm="1">
        <f t="array" ref="AE21">IF($B21="","",_xll.SNL.Clients.Office.Excel.Functions.SPG($B21,"SP_REV_EST",AE$7,$F$2,"Options:Curr="&amp;$F$3&amp;", Mag=Millions, NA=--"))</f>
        <v/>
      </c>
      <c r="AF21" s="165" t="str" cm="1">
        <f t="array" ref="AF21">IF($B21="","",_xll.SNL.Clients.Office.Excel.Functions.SPG($B21,"SP_REV_EST",AF$7,$F$2,"Options:Curr="&amp;$F$3&amp;", Mag=Millions, NA=--"))</f>
        <v/>
      </c>
      <c r="AG21" s="166"/>
      <c r="AH21" s="165" t="str" cm="1">
        <f t="array" ref="AH21">IF($B21="","",_xll.SNL.Clients.Office.Excel.Functions.SPG($B21,"SP_EBITDA",AH$7,$F$2,"Options:Curr="&amp;$F$3&amp;", Mag=Millions, NA=--"))</f>
        <v/>
      </c>
      <c r="AI21" s="165" t="str" cm="1">
        <f t="array" ref="AI21">IF($B21="","",_xll.SNL.Clients.Office.Excel.Functions.SPG($B21,"SP_EBITDA_EST",AI$7,$F$2,"Options:Curr="&amp;$F$3&amp;", Mag=Millions, NA=--"))</f>
        <v/>
      </c>
      <c r="AJ21" s="165" t="str" cm="1">
        <f t="array" ref="AJ21">IF($B21="","",_xll.SNL.Clients.Office.Excel.Functions.SPG($B21,"SP_EBITDA_EST",AJ$7,$F$2,"Options:Curr="&amp;$F$3&amp;", Mag=Millions, NA=--"))</f>
        <v/>
      </c>
      <c r="AK21" s="165" t="str" cm="1">
        <f t="array" ref="AK21">IF($B21="","",_xll.SNL.Clients.Office.Excel.Functions.SPG($B21,"SP_EBITDA_EST",AK$7,$F$2,"Options:Curr="&amp;$F$3&amp;", Mag=Millions, NA=--"))</f>
        <v/>
      </c>
      <c r="AL21" s="167"/>
      <c r="AM21" s="168" t="str" cm="1">
        <f t="array" ref="AM21">IF($B21="","",_xll.SNL.Clients.Office.Excel.Functions.SPG($B21,"IQ_BASIC_EPS_BEFORE_EXTRA",AM$7,$F$2,"Options:Curr="&amp;$F$3&amp;", NA=--"))</f>
        <v/>
      </c>
      <c r="AN21" s="168" t="str" cm="1">
        <f t="array" ref="AN21">IF($B21="","",_xll.SNL.Clients.Office.Excel.Functions.SPG($B21,"SP_EPS_EST",AN$7,$F$2,"Options:Curr="&amp;$F$3&amp;", NA=--"))</f>
        <v/>
      </c>
      <c r="AO21" s="168" t="str" cm="1">
        <f t="array" ref="AO21">IF($B21="","",_xll.SNL.Clients.Office.Excel.Functions.SPG($B21,"SP_EPS_EST",AO$7,$F$2,"Options:Curr="&amp;$F$3&amp;", NA=--"))</f>
        <v/>
      </c>
      <c r="AP21" s="168" t="str" cm="1">
        <f t="array" ref="AP21">IF($B21="","",_xll.SNL.Clients.Office.Excel.Functions.SPG($B21,"SP_EPS_EST",AP$7,$F$2,"Options:Curr="&amp;$F$3&amp;", NA=--"))</f>
        <v/>
      </c>
      <c r="AQ21" s="167"/>
      <c r="AR21" s="168" t="str" cm="1">
        <f t="array" ref="AR21">IF($B21="","",_xll.SNL.Clients.Office.Excel.Functions.SPG($B21,"IQ_ROE",AR$7,$F$2,"Options:Curr="&amp;$F$3&amp;", NA=--"))</f>
        <v/>
      </c>
      <c r="AS21" s="167"/>
      <c r="AT21" s="168" t="str" cm="1">
        <f t="array" ref="AT21">IF($B21="","",_xll.SNL.Clients.Office.Excel.Functions.SPG($B21,"IQ_BVPS",AT$7,$F$2,"Options:Curr="&amp;$F$3&amp;", NA=--"))</f>
        <v/>
      </c>
      <c r="AU21" s="167"/>
      <c r="AV21" s="168" t="str" cm="1">
        <f t="array" ref="AV21">IF($B21="","",_xll.SNL.Clients.Office.Excel.Functions.SPG($B21,"IQ_TBVPS",AV$7,$F$2,"Options:Curr="&amp;$F$3&amp;", NA=--"))</f>
        <v/>
      </c>
      <c r="AW21" s="167"/>
      <c r="AX21" s="169" t="str" cm="1">
        <f t="array" ref="AX21">IF($B21="","",_xll.SNL.Clients.Office.Excel.Functions.SPG($B21,"SP_DIV_YIELD",WORKDAY($F$2+1,-1),"Options: NA=--"))</f>
        <v/>
      </c>
      <c r="AY21" s="165" t="str" cm="1">
        <f t="array" ref="AY21">IF($B21="","",_xll.SNL.Clients.Office.Excel.Functions.SPG($B21,"IQ_TOTAL_EQUITY","FQ0",$F$2,"Options:Curr="&amp;$F$3&amp;", Mag=Millions, NA=--"))</f>
        <v/>
      </c>
      <c r="AZ21" s="165" t="str" cm="1">
        <f t="array" ref="AZ21">IF($B21="","",_xll.SNL.Clients.Office.Excel.Functions.SPG($B21,"IQ_TOTAL_DEBT","FQ0",$F$2,"Options:Curr="&amp;$F$3&amp;", Mag=Millions, NA=--"))</f>
        <v/>
      </c>
      <c r="BA21" s="165" t="str" cm="1">
        <f t="array" ref="BA21">IF($B21="","",_xll.SNL.Clients.Office.Excel.Functions.SPG($B21,"IQ_CASH_ST_INVEST","FQ0",$F$2,"Options:Curr="&amp;$F$3&amp;", Mag=Millions, NA=--"))</f>
        <v/>
      </c>
      <c r="BB21" s="165" t="e">
        <f t="shared" ref="BB21:BB25" si="20">+AZ21-BA21</f>
        <v>#VALUE!</v>
      </c>
      <c r="BC21" s="165" t="str" cm="1">
        <f t="array" ref="BC21">IF($B21="","",_xll.SNL.Clients.Office.Excel.Functions.SPG($B21,"IQ_TOTAL_EQUITY","FQ0",$F$2,"Options:Curr="&amp;$F$3&amp;", Mag=Millions, NA=--"))</f>
        <v/>
      </c>
      <c r="BD21" s="167"/>
      <c r="BE21" s="170" t="str">
        <f>IF($B21="","",IFERROR(_xll.SNL.Clients.Office.Excel.Functions.SPG($B21,"SP_GROSS_MARGIN",BE$7,$F$2,"Options: NA=--")/100,"--"))</f>
        <v/>
      </c>
      <c r="BF21" s="170" t="str">
        <f>IF($B21="","",IFERROR(_xll.SNL.Clients.Office.Excel.Functions.SPG($B21,"SP_GROSS_MARGIN_EST",BF$7,$F$2,"Options: NA=--")/100,"--"))</f>
        <v/>
      </c>
      <c r="BG21" s="170" t="str">
        <f>IF($B21="","",IFERROR(_xll.SNL.Clients.Office.Excel.Functions.SPG($B21,"SP_GROSS_MARGIN_EST",BG$7,$F$2,"Options: NA=--")/100,"--"))</f>
        <v/>
      </c>
      <c r="BH21" s="170" t="str">
        <f>IF($B21="","",IFERROR(_xll.SNL.Clients.Office.Excel.Functions.SPG($B21,"SP_GROSS_MARGIN_EST",BH$7,$F$2,"Options: NA=--")/100,"--"))</f>
        <v/>
      </c>
    </row>
    <row r="22" spans="2:60" s="135" customFormat="1" ht="14.5" customHeight="1" x14ac:dyDescent="0.4">
      <c r="B22" s="156"/>
      <c r="D22" s="135" t="str" cm="1">
        <f t="array" ref="D22">IF($B22="","",_xll.SNL.Clients.Office.Excel.Functions.SPG($B22, "SP_COMPANY_NAME"))</f>
        <v/>
      </c>
      <c r="G22" s="171" t="str" cm="1">
        <f t="array" ref="G22">IF($B22="","",_xll.SNL.Clients.Office.Excel.Functions.SPG($B22,"SP_LASTSALEPRICE",WORKDAY($F$2+1,-1),"Options:Curr="&amp;I22&amp;",NA=--"))</f>
        <v/>
      </c>
      <c r="H22" s="158" t="str" cm="1">
        <f t="array" ref="H22">IF($B22="","",_xll.SNL.Clients.Office.Excel.Functions.SPG($B22,"SP_PRICE_CLOSE",WORKDAY($F$2+1,-1),"Options:Curr="&amp;$F$3&amp;", NA=--"))</f>
        <v/>
      </c>
      <c r="I22" s="159" t="str" cm="1">
        <f t="array" ref="I22">IF($B22="","",_xll.SNL.Clients.Office.Excel.Functions.SPG($B22,"SP_TRADING_CURRENCY","Options: NA=--"))</f>
        <v/>
      </c>
      <c r="J22" s="160" t="str" cm="1">
        <f t="array" ref="J22">IF($B22="","n/a ",_xll.SNL.Clients.Office.Excel.Functions.SPG($B22,"SP_MARKETCAP",WORKDAY($F$2+1,-1),"Options:Curr="&amp;$F$3&amp;", Mag=Millions, NA=--"))</f>
        <v xml:space="preserve">n/a </v>
      </c>
      <c r="K22" s="160" t="str" cm="1">
        <f t="array" ref="K22">IF($B22="","n/a ",_xll.SNL.Clients.Office.Excel.Functions.SPG($B22,"IQ_TEV",WORKDAY($F$2+1,-1),"Options:Curr="&amp;$F$3&amp;", Mag=Millions, NA=--"))</f>
        <v xml:space="preserve">n/a </v>
      </c>
      <c r="L22" s="161" t="str">
        <f t="shared" si="12"/>
        <v xml:space="preserve">n/a </v>
      </c>
      <c r="M22" s="161" t="str">
        <f t="shared" si="12"/>
        <v xml:space="preserve">n/a </v>
      </c>
      <c r="N22" s="161" t="str">
        <f t="shared" si="12"/>
        <v xml:space="preserve">n/a </v>
      </c>
      <c r="O22" s="161" t="str">
        <f t="shared" si="13"/>
        <v xml:space="preserve">n/a </v>
      </c>
      <c r="P22" s="161" t="str">
        <f t="shared" si="13"/>
        <v xml:space="preserve">n/a </v>
      </c>
      <c r="Q22" s="161" t="str">
        <f t="shared" si="13"/>
        <v xml:space="preserve">n/a </v>
      </c>
      <c r="R22" s="162" t="str">
        <f t="shared" si="14"/>
        <v xml:space="preserve">n/a </v>
      </c>
      <c r="S22" s="162" t="str">
        <f t="shared" si="14"/>
        <v xml:space="preserve">n/a </v>
      </c>
      <c r="T22" s="162"/>
      <c r="U22" s="161" t="str">
        <f t="shared" si="15"/>
        <v xml:space="preserve">n/a </v>
      </c>
      <c r="V22" s="161" t="str">
        <f t="shared" si="16"/>
        <v xml:space="preserve">n/a </v>
      </c>
      <c r="W22" s="161" t="str">
        <f t="shared" si="16"/>
        <v xml:space="preserve">n/a </v>
      </c>
      <c r="X22" s="163" t="str">
        <f t="shared" si="17"/>
        <v xml:space="preserve">n/a </v>
      </c>
      <c r="Y22" s="161" t="str">
        <f t="shared" si="18"/>
        <v xml:space="preserve">n/a </v>
      </c>
      <c r="Z22" s="161" t="str">
        <f t="shared" si="19"/>
        <v xml:space="preserve">n/a </v>
      </c>
      <c r="AA22" s="164"/>
      <c r="AC22" s="165" t="str" cm="1">
        <f t="array" ref="AC22">IF($B22="","",_xll.SNL.Clients.Office.Excel.Functions.SPG($B22,"IQ_REV",AC$7,$F$2,"Options:Curr="&amp;$F$3&amp;", Mag=Millions, NA=--"))</f>
        <v/>
      </c>
      <c r="AD22" s="165" t="str" cm="1">
        <f t="array" ref="AD22">IF($B22="","",_xll.SNL.Clients.Office.Excel.Functions.SPG($B22,"SP_REV_EST",AD$7,$F$2,"Options:Curr="&amp;$F$3&amp;", Mag=Millions, NA=--"))</f>
        <v/>
      </c>
      <c r="AE22" s="165" t="str" cm="1">
        <f t="array" ref="AE22">IF($B22="","",_xll.SNL.Clients.Office.Excel.Functions.SPG($B22,"SP_REV_EST",AE$7,$F$2,"Options:Curr="&amp;$F$3&amp;", Mag=Millions, NA=--"))</f>
        <v/>
      </c>
      <c r="AF22" s="165" t="str" cm="1">
        <f t="array" ref="AF22">IF($B22="","",_xll.SNL.Clients.Office.Excel.Functions.SPG($B22,"SP_REV_EST",AF$7,$F$2,"Options:Curr="&amp;$F$3&amp;", Mag=Millions, NA=--"))</f>
        <v/>
      </c>
      <c r="AG22" s="166"/>
      <c r="AH22" s="165" t="str" cm="1">
        <f t="array" ref="AH22">IF($B22="","",_xll.SNL.Clients.Office.Excel.Functions.SPG($B22,"SP_EBITDA",AH$7,$F$2,"Options:Curr="&amp;$F$3&amp;", Mag=Millions, NA=--"))</f>
        <v/>
      </c>
      <c r="AI22" s="165" t="str" cm="1">
        <f t="array" ref="AI22">IF($B22="","",_xll.SNL.Clients.Office.Excel.Functions.SPG($B22,"SP_EBITDA_EST",AI$7,$F$2,"Options:Curr="&amp;$F$3&amp;", Mag=Millions, NA=--"))</f>
        <v/>
      </c>
      <c r="AJ22" s="165" t="str" cm="1">
        <f t="array" ref="AJ22">IF($B22="","",_xll.SNL.Clients.Office.Excel.Functions.SPG($B22,"SP_EBITDA_EST",AJ$7,$F$2,"Options:Curr="&amp;$F$3&amp;", Mag=Millions, NA=--"))</f>
        <v/>
      </c>
      <c r="AK22" s="165" t="str" cm="1">
        <f t="array" ref="AK22">IF($B22="","",_xll.SNL.Clients.Office.Excel.Functions.SPG($B22,"SP_EBITDA_EST",AK$7,$F$2,"Options:Curr="&amp;$F$3&amp;", Mag=Millions, NA=--"))</f>
        <v/>
      </c>
      <c r="AL22" s="167"/>
      <c r="AM22" s="168" t="str" cm="1">
        <f t="array" ref="AM22">IF($B22="","",_xll.SNL.Clients.Office.Excel.Functions.SPG($B22,"IQ_BASIC_EPS_BEFORE_EXTRA",AM$7,$F$2,"Options:Curr="&amp;$F$3&amp;", NA=--"))</f>
        <v/>
      </c>
      <c r="AN22" s="168" t="str" cm="1">
        <f t="array" ref="AN22">IF($B22="","",_xll.SNL.Clients.Office.Excel.Functions.SPG($B22,"SP_EPS_EST",AN$7,$F$2,"Options:Curr="&amp;$F$3&amp;", NA=--"))</f>
        <v/>
      </c>
      <c r="AO22" s="168" t="str" cm="1">
        <f t="array" ref="AO22">IF($B22="","",_xll.SNL.Clients.Office.Excel.Functions.SPG($B22,"SP_EPS_EST",AO$7,$F$2,"Options:Curr="&amp;$F$3&amp;", NA=--"))</f>
        <v/>
      </c>
      <c r="AP22" s="168" t="str" cm="1">
        <f t="array" ref="AP22">IF($B22="","",_xll.SNL.Clients.Office.Excel.Functions.SPG($B22,"SP_EPS_EST",AP$7,$F$2,"Options:Curr="&amp;$F$3&amp;", NA=--"))</f>
        <v/>
      </c>
      <c r="AQ22" s="167"/>
      <c r="AR22" s="168" t="str" cm="1">
        <f t="array" ref="AR22">IF($B22="","",_xll.SNL.Clients.Office.Excel.Functions.SPG($B22,"IQ_ROE",AR$7,$F$2,"Options:Curr="&amp;$F$3&amp;", NA=--"))</f>
        <v/>
      </c>
      <c r="AS22" s="167"/>
      <c r="AT22" s="168" t="str" cm="1">
        <f t="array" ref="AT22">IF($B22="","",_xll.SNL.Clients.Office.Excel.Functions.SPG($B22,"IQ_BVPS",AT$7,$F$2,"Options:Curr="&amp;$F$3&amp;", NA=--"))</f>
        <v/>
      </c>
      <c r="AU22" s="167"/>
      <c r="AV22" s="168" t="str" cm="1">
        <f t="array" ref="AV22">IF($B22="","",_xll.SNL.Clients.Office.Excel.Functions.SPG($B22,"IQ_TBVPS",AV$7,$F$2,"Options:Curr="&amp;$F$3&amp;", NA=--"))</f>
        <v/>
      </c>
      <c r="AW22" s="167"/>
      <c r="AX22" s="169" t="str" cm="1">
        <f t="array" ref="AX22">IF($B22="","",_xll.SNL.Clients.Office.Excel.Functions.SPG($B22,"SP_DIV_YIELD",WORKDAY($F$2+1,-1),"Options: NA=--"))</f>
        <v/>
      </c>
      <c r="AY22" s="165" t="str" cm="1">
        <f t="array" ref="AY22">IF($B22="","",_xll.SNL.Clients.Office.Excel.Functions.SPG($B22,"IQ_TOTAL_EQUITY","FQ0",$F$2,"Options:Curr="&amp;$F$3&amp;", Mag=Millions, NA=--"))</f>
        <v/>
      </c>
      <c r="AZ22" s="165" t="str" cm="1">
        <f t="array" ref="AZ22">IF($B22="","",_xll.SNL.Clients.Office.Excel.Functions.SPG($B22,"IQ_TOTAL_DEBT","FQ0",$F$2,"Options:Curr="&amp;$F$3&amp;", Mag=Millions, NA=--"))</f>
        <v/>
      </c>
      <c r="BA22" s="165" t="str" cm="1">
        <f t="array" ref="BA22">IF($B22="","",_xll.SNL.Clients.Office.Excel.Functions.SPG($B22,"IQ_CASH_ST_INVEST","FQ0",$F$2,"Options:Curr="&amp;$F$3&amp;", Mag=Millions, NA=--"))</f>
        <v/>
      </c>
      <c r="BB22" s="165" t="e">
        <f t="shared" si="20"/>
        <v>#VALUE!</v>
      </c>
      <c r="BC22" s="165" t="str" cm="1">
        <f t="array" ref="BC22">IF($B22="","",_xll.SNL.Clients.Office.Excel.Functions.SPG($B22,"IQ_TOTAL_EQUITY","FQ0",$F$2,"Options:Curr="&amp;$F$3&amp;", Mag=Millions, NA=--"))</f>
        <v/>
      </c>
      <c r="BD22" s="167"/>
      <c r="BE22" s="170" t="str">
        <f>IF($B22="","",IFERROR(_xll.SNL.Clients.Office.Excel.Functions.SPG($B22,"SP_GROSS_MARGIN",BE$7,$F$2,"Options: NA=--")/100,"--"))</f>
        <v/>
      </c>
      <c r="BF22" s="170" t="str">
        <f>IF($B22="","",IFERROR(_xll.SNL.Clients.Office.Excel.Functions.SPG($B22,"SP_GROSS_MARGIN_EST",BF$7,$F$2,"Options: NA=--")/100,"--"))</f>
        <v/>
      </c>
      <c r="BG22" s="170" t="str">
        <f>IF($B22="","",IFERROR(_xll.SNL.Clients.Office.Excel.Functions.SPG($B22,"SP_GROSS_MARGIN_EST",BG$7,$F$2,"Options: NA=--")/100,"--"))</f>
        <v/>
      </c>
      <c r="BH22" s="170" t="str">
        <f>IF($B22="","",IFERROR(_xll.SNL.Clients.Office.Excel.Functions.SPG($B22,"SP_GROSS_MARGIN_EST",BH$7,$F$2,"Options: NA=--")/100,"--"))</f>
        <v/>
      </c>
    </row>
    <row r="23" spans="2:60" s="135" customFormat="1" ht="14.5" customHeight="1" x14ac:dyDescent="0.4">
      <c r="B23" s="156"/>
      <c r="D23" s="135" t="str" cm="1">
        <f t="array" ref="D23">IF($B23="","",_xll.SNL.Clients.Office.Excel.Functions.SPG($B23, "SP_COMPANY_NAME"))</f>
        <v/>
      </c>
      <c r="G23" s="171" t="str" cm="1">
        <f t="array" ref="G23">IF($B23="","",_xll.SNL.Clients.Office.Excel.Functions.SPG($B23,"SP_LASTSALEPRICE",WORKDAY($F$2+1,-1),"Options:Curr="&amp;I23&amp;",NA=--"))</f>
        <v/>
      </c>
      <c r="H23" s="158" t="str" cm="1">
        <f t="array" ref="H23">IF($B23="","",_xll.SNL.Clients.Office.Excel.Functions.SPG($B23,"SP_PRICE_CLOSE",WORKDAY($F$2+1,-1),"Options:Curr="&amp;$F$3&amp;", NA=--"))</f>
        <v/>
      </c>
      <c r="I23" s="159" t="str" cm="1">
        <f t="array" ref="I23">IF($B23="","",_xll.SNL.Clients.Office.Excel.Functions.SPG($B23,"SP_TRADING_CURRENCY","Options: NA=--"))</f>
        <v/>
      </c>
      <c r="J23" s="160" t="str" cm="1">
        <f t="array" ref="J23">IF($B23="","n/a ",_xll.SNL.Clients.Office.Excel.Functions.SPG($B23,"SP_MARKETCAP",WORKDAY($F$2+1,-1),"Options:Curr="&amp;$F$3&amp;", Mag=Millions, NA=--"))</f>
        <v xml:space="preserve">n/a </v>
      </c>
      <c r="K23" s="160" t="str" cm="1">
        <f t="array" ref="K23">IF($B23="","n/a ",_xll.SNL.Clients.Office.Excel.Functions.SPG($B23,"IQ_TEV",WORKDAY($F$2+1,-1),"Options:Curr="&amp;$F$3&amp;", Mag=Millions, NA=--"))</f>
        <v xml:space="preserve">n/a </v>
      </c>
      <c r="L23" s="161" t="str">
        <f t="shared" si="12"/>
        <v xml:space="preserve">n/a </v>
      </c>
      <c r="M23" s="161" t="str">
        <f t="shared" si="12"/>
        <v xml:space="preserve">n/a </v>
      </c>
      <c r="N23" s="161" t="str">
        <f t="shared" si="12"/>
        <v xml:space="preserve">n/a </v>
      </c>
      <c r="O23" s="161" t="str">
        <f t="shared" si="13"/>
        <v xml:space="preserve">n/a </v>
      </c>
      <c r="P23" s="161" t="str">
        <f t="shared" si="13"/>
        <v xml:space="preserve">n/a </v>
      </c>
      <c r="Q23" s="161" t="str">
        <f t="shared" si="13"/>
        <v xml:space="preserve">n/a </v>
      </c>
      <c r="R23" s="162" t="str">
        <f t="shared" si="14"/>
        <v xml:space="preserve">n/a </v>
      </c>
      <c r="S23" s="162" t="str">
        <f t="shared" si="14"/>
        <v xml:space="preserve">n/a </v>
      </c>
      <c r="T23" s="162"/>
      <c r="U23" s="161" t="str">
        <f t="shared" si="15"/>
        <v xml:space="preserve">n/a </v>
      </c>
      <c r="V23" s="161" t="str">
        <f t="shared" si="16"/>
        <v xml:space="preserve">n/a </v>
      </c>
      <c r="W23" s="161" t="str">
        <f t="shared" si="16"/>
        <v xml:space="preserve">n/a </v>
      </c>
      <c r="X23" s="163" t="str">
        <f t="shared" si="17"/>
        <v xml:space="preserve">n/a </v>
      </c>
      <c r="Y23" s="161" t="str">
        <f t="shared" si="18"/>
        <v xml:space="preserve">n/a </v>
      </c>
      <c r="Z23" s="161" t="str">
        <f t="shared" si="19"/>
        <v xml:space="preserve">n/a </v>
      </c>
      <c r="AA23" s="164"/>
      <c r="AC23" s="165" t="str" cm="1">
        <f t="array" ref="AC23">IF($B23="","",_xll.SNL.Clients.Office.Excel.Functions.SPG($B23,"IQ_REV",AC$7,$F$2,"Options:Curr="&amp;$F$3&amp;", Mag=Millions, NA=--"))</f>
        <v/>
      </c>
      <c r="AD23" s="165" t="str" cm="1">
        <f t="array" ref="AD23">IF($B23="","",_xll.SNL.Clients.Office.Excel.Functions.SPG($B23,"SP_REV_EST",AD$7,$F$2,"Options:Curr="&amp;$F$3&amp;", Mag=Millions, NA=--"))</f>
        <v/>
      </c>
      <c r="AE23" s="165" t="str" cm="1">
        <f t="array" ref="AE23">IF($B23="","",_xll.SNL.Clients.Office.Excel.Functions.SPG($B23,"SP_REV_EST",AE$7,$F$2,"Options:Curr="&amp;$F$3&amp;", Mag=Millions, NA=--"))</f>
        <v/>
      </c>
      <c r="AF23" s="165" t="str" cm="1">
        <f t="array" ref="AF23">IF($B23="","",_xll.SNL.Clients.Office.Excel.Functions.SPG($B23,"SP_REV_EST",AF$7,$F$2,"Options:Curr="&amp;$F$3&amp;", Mag=Millions, NA=--"))</f>
        <v/>
      </c>
      <c r="AG23" s="166"/>
      <c r="AH23" s="165" t="str" cm="1">
        <f t="array" ref="AH23">IF($B23="","",_xll.SNL.Clients.Office.Excel.Functions.SPG($B23,"SP_EBITDA",AH$7,$F$2,"Options:Curr="&amp;$F$3&amp;", Mag=Millions, NA=--"))</f>
        <v/>
      </c>
      <c r="AI23" s="165" t="str" cm="1">
        <f t="array" ref="AI23">IF($B23="","",_xll.SNL.Clients.Office.Excel.Functions.SPG($B23,"SP_EBITDA_EST",AI$7,$F$2,"Options:Curr="&amp;$F$3&amp;", Mag=Millions, NA=--"))</f>
        <v/>
      </c>
      <c r="AJ23" s="165" t="str" cm="1">
        <f t="array" ref="AJ23">IF($B23="","",_xll.SNL.Clients.Office.Excel.Functions.SPG($B23,"SP_EBITDA_EST",AJ$7,$F$2,"Options:Curr="&amp;$F$3&amp;", Mag=Millions, NA=--"))</f>
        <v/>
      </c>
      <c r="AK23" s="165" t="str" cm="1">
        <f t="array" ref="AK23">IF($B23="","",_xll.SNL.Clients.Office.Excel.Functions.SPG($B23,"SP_EBITDA_EST",AK$7,$F$2,"Options:Curr="&amp;$F$3&amp;", Mag=Millions, NA=--"))</f>
        <v/>
      </c>
      <c r="AL23" s="167"/>
      <c r="AM23" s="168" t="str" cm="1">
        <f t="array" ref="AM23">IF($B23="","",_xll.SNL.Clients.Office.Excel.Functions.SPG($B23,"IQ_BASIC_EPS_BEFORE_EXTRA",AM$7,$F$2,"Options:Curr="&amp;$F$3&amp;", NA=--"))</f>
        <v/>
      </c>
      <c r="AN23" s="168" t="str" cm="1">
        <f t="array" ref="AN23">IF($B23="","",_xll.SNL.Clients.Office.Excel.Functions.SPG($B23,"SP_EPS_EST",AN$7,$F$2,"Options:Curr="&amp;$F$3&amp;", NA=--"))</f>
        <v/>
      </c>
      <c r="AO23" s="168" t="str" cm="1">
        <f t="array" ref="AO23">IF($B23="","",_xll.SNL.Clients.Office.Excel.Functions.SPG($B23,"SP_EPS_EST",AO$7,$F$2,"Options:Curr="&amp;$F$3&amp;", NA=--"))</f>
        <v/>
      </c>
      <c r="AP23" s="168" t="str" cm="1">
        <f t="array" ref="AP23">IF($B23="","",_xll.SNL.Clients.Office.Excel.Functions.SPG($B23,"SP_EPS_EST",AP$7,$F$2,"Options:Curr="&amp;$F$3&amp;", NA=--"))</f>
        <v/>
      </c>
      <c r="AQ23" s="167"/>
      <c r="AR23" s="168" t="str" cm="1">
        <f t="array" ref="AR23">IF($B23="","",_xll.SNL.Clients.Office.Excel.Functions.SPG($B23,"IQ_ROE",AR$7,$F$2,"Options:Curr="&amp;$F$3&amp;", NA=--"))</f>
        <v/>
      </c>
      <c r="AS23" s="167"/>
      <c r="AT23" s="168" t="str" cm="1">
        <f t="array" ref="AT23">IF($B23="","",_xll.SNL.Clients.Office.Excel.Functions.SPG($B23,"IQ_BVPS",AT$7,$F$2,"Options:Curr="&amp;$F$3&amp;", NA=--"))</f>
        <v/>
      </c>
      <c r="AU23" s="167"/>
      <c r="AV23" s="168" t="str" cm="1">
        <f t="array" ref="AV23">IF($B23="","",_xll.SNL.Clients.Office.Excel.Functions.SPG($B23,"IQ_TBVPS",AV$7,$F$2,"Options:Curr="&amp;$F$3&amp;", NA=--"))</f>
        <v/>
      </c>
      <c r="AW23" s="167"/>
      <c r="AX23" s="169" t="str" cm="1">
        <f t="array" ref="AX23">IF($B23="","",_xll.SNL.Clients.Office.Excel.Functions.SPG($B23,"SP_DIV_YIELD",WORKDAY($F$2+1,-1),"Options: NA=--"))</f>
        <v/>
      </c>
      <c r="AY23" s="165" t="str" cm="1">
        <f t="array" ref="AY23">IF($B23="","",_xll.SNL.Clients.Office.Excel.Functions.SPG($B23,"IQ_TOTAL_EQUITY","FQ0",$F$2,"Options:Curr="&amp;$F$3&amp;", Mag=Millions, NA=--"))</f>
        <v/>
      </c>
      <c r="AZ23" s="165" t="str" cm="1">
        <f t="array" ref="AZ23">IF($B23="","",_xll.SNL.Clients.Office.Excel.Functions.SPG($B23,"IQ_TOTAL_DEBT","FQ0",$F$2,"Options:Curr="&amp;$F$3&amp;", Mag=Millions, NA=--"))</f>
        <v/>
      </c>
      <c r="BA23" s="165" t="str" cm="1">
        <f t="array" ref="BA23">IF($B23="","",_xll.SNL.Clients.Office.Excel.Functions.SPG($B23,"IQ_CASH_ST_INVEST","FQ0",$F$2,"Options:Curr="&amp;$F$3&amp;", Mag=Millions, NA=--"))</f>
        <v/>
      </c>
      <c r="BB23" s="165" t="e">
        <f t="shared" si="20"/>
        <v>#VALUE!</v>
      </c>
      <c r="BC23" s="165" t="str" cm="1">
        <f t="array" ref="BC23">IF($B23="","",_xll.SNL.Clients.Office.Excel.Functions.SPG($B23,"IQ_TOTAL_EQUITY","FQ0",$F$2,"Options:Curr="&amp;$F$3&amp;", Mag=Millions, NA=--"))</f>
        <v/>
      </c>
      <c r="BD23" s="167"/>
      <c r="BE23" s="170" t="str">
        <f>IF($B23="","",IFERROR(_xll.SNL.Clients.Office.Excel.Functions.SPG($B23,"SP_GROSS_MARGIN",BE$7,$F$2,"Options: NA=--")/100,"--"))</f>
        <v/>
      </c>
      <c r="BF23" s="170" t="str">
        <f>IF($B23="","",IFERROR(_xll.SNL.Clients.Office.Excel.Functions.SPG($B23,"SP_GROSS_MARGIN_EST",BF$7,$F$2,"Options: NA=--")/100,"--"))</f>
        <v/>
      </c>
      <c r="BG23" s="170" t="str">
        <f>IF($B23="","",IFERROR(_xll.SNL.Clients.Office.Excel.Functions.SPG($B23,"SP_GROSS_MARGIN_EST",BG$7,$F$2,"Options: NA=--")/100,"--"))</f>
        <v/>
      </c>
      <c r="BH23" s="170" t="str">
        <f>IF($B23="","",IFERROR(_xll.SNL.Clients.Office.Excel.Functions.SPG($B23,"SP_GROSS_MARGIN_EST",BH$7,$F$2,"Options: NA=--")/100,"--"))</f>
        <v/>
      </c>
    </row>
    <row r="24" spans="2:60" s="135" customFormat="1" ht="14.5" customHeight="1" x14ac:dyDescent="0.4">
      <c r="B24" s="156"/>
      <c r="D24" s="135" t="str" cm="1">
        <f t="array" ref="D24">IF($B24="","",_xll.SNL.Clients.Office.Excel.Functions.SPG($B24, "SP_COMPANY_NAME"))</f>
        <v/>
      </c>
      <c r="G24" s="171" t="str" cm="1">
        <f t="array" ref="G24">IF($B24="","",_xll.SNL.Clients.Office.Excel.Functions.SPG($B24,"SP_LASTSALEPRICE",WORKDAY($F$2+1,-1),"Options:Curr="&amp;I24&amp;",NA=--"))</f>
        <v/>
      </c>
      <c r="H24" s="158" t="str" cm="1">
        <f t="array" ref="H24">IF($B24="","",_xll.SNL.Clients.Office.Excel.Functions.SPG($B24,"SP_PRICE_CLOSE",WORKDAY($F$2+1,-1),"Options:Curr="&amp;$F$3&amp;", NA=--"))</f>
        <v/>
      </c>
      <c r="I24" s="159" t="str" cm="1">
        <f t="array" ref="I24">IF($B24="","",_xll.SNL.Clients.Office.Excel.Functions.SPG($B24,"SP_TRADING_CURRENCY","Options: NA=--"))</f>
        <v/>
      </c>
      <c r="J24" s="160" t="str" cm="1">
        <f t="array" ref="J24">IF($B24="","n/a ",_xll.SNL.Clients.Office.Excel.Functions.SPG($B24,"SP_MARKETCAP",WORKDAY($F$2+1,-1),"Options:Curr="&amp;$F$3&amp;", Mag=Millions, NA=--"))</f>
        <v xml:space="preserve">n/a </v>
      </c>
      <c r="K24" s="160" t="str" cm="1">
        <f t="array" ref="K24">IF($B24="","n/a ",_xll.SNL.Clients.Office.Excel.Functions.SPG($B24,"IQ_TEV",WORKDAY($F$2+1,-1),"Options:Curr="&amp;$F$3&amp;", Mag=Millions, NA=--"))</f>
        <v xml:space="preserve">n/a </v>
      </c>
      <c r="L24" s="161" t="str">
        <f t="shared" si="12"/>
        <v xml:space="preserve">n/a </v>
      </c>
      <c r="M24" s="161" t="str">
        <f t="shared" si="12"/>
        <v xml:space="preserve">n/a </v>
      </c>
      <c r="N24" s="161" t="str">
        <f t="shared" si="12"/>
        <v xml:space="preserve">n/a </v>
      </c>
      <c r="O24" s="161" t="str">
        <f t="shared" si="13"/>
        <v xml:space="preserve">n/a </v>
      </c>
      <c r="P24" s="161" t="str">
        <f t="shared" si="13"/>
        <v xml:space="preserve">n/a </v>
      </c>
      <c r="Q24" s="161" t="str">
        <f t="shared" si="13"/>
        <v xml:space="preserve">n/a </v>
      </c>
      <c r="R24" s="162" t="str">
        <f t="shared" si="14"/>
        <v xml:space="preserve">n/a </v>
      </c>
      <c r="S24" s="162" t="str">
        <f t="shared" si="14"/>
        <v xml:space="preserve">n/a </v>
      </c>
      <c r="T24" s="162"/>
      <c r="U24" s="161" t="str">
        <f t="shared" si="15"/>
        <v xml:space="preserve">n/a </v>
      </c>
      <c r="V24" s="161" t="str">
        <f t="shared" si="16"/>
        <v xml:space="preserve">n/a </v>
      </c>
      <c r="W24" s="161" t="str">
        <f t="shared" si="16"/>
        <v xml:space="preserve">n/a </v>
      </c>
      <c r="X24" s="163" t="str">
        <f t="shared" si="17"/>
        <v xml:space="preserve">n/a </v>
      </c>
      <c r="Y24" s="161" t="str">
        <f t="shared" si="18"/>
        <v xml:space="preserve">n/a </v>
      </c>
      <c r="Z24" s="161" t="str">
        <f t="shared" si="19"/>
        <v xml:space="preserve">n/a </v>
      </c>
      <c r="AA24" s="164"/>
      <c r="AC24" s="165" t="str" cm="1">
        <f t="array" ref="AC24">IF($B24="","",_xll.SNL.Clients.Office.Excel.Functions.SPG($B24,"IQ_REV",AC$7,$F$2,"Options:Curr="&amp;$F$3&amp;", Mag=Millions, NA=--"))</f>
        <v/>
      </c>
      <c r="AD24" s="165" t="str" cm="1">
        <f t="array" ref="AD24">IF($B24="","",_xll.SNL.Clients.Office.Excel.Functions.SPG($B24,"SP_REV_EST",AD$7,$F$2,"Options:Curr="&amp;$F$3&amp;", Mag=Millions, NA=--"))</f>
        <v/>
      </c>
      <c r="AE24" s="165" t="str" cm="1">
        <f t="array" ref="AE24">IF($B24="","",_xll.SNL.Clients.Office.Excel.Functions.SPG($B24,"SP_REV_EST",AE$7,$F$2,"Options:Curr="&amp;$F$3&amp;", Mag=Millions, NA=--"))</f>
        <v/>
      </c>
      <c r="AF24" s="165" t="str" cm="1">
        <f t="array" ref="AF24">IF($B24="","",_xll.SNL.Clients.Office.Excel.Functions.SPG($B24,"SP_REV_EST",AF$7,$F$2,"Options:Curr="&amp;$F$3&amp;", Mag=Millions, NA=--"))</f>
        <v/>
      </c>
      <c r="AG24" s="166"/>
      <c r="AH24" s="165" t="str" cm="1">
        <f t="array" ref="AH24">IF($B24="","",_xll.SNL.Clients.Office.Excel.Functions.SPG($B24,"SP_EBITDA",AH$7,$F$2,"Options:Curr="&amp;$F$3&amp;", Mag=Millions, NA=--"))</f>
        <v/>
      </c>
      <c r="AI24" s="165" t="str" cm="1">
        <f t="array" ref="AI24">IF($B24="","",_xll.SNL.Clients.Office.Excel.Functions.SPG($B24,"SP_EBITDA_EST",AI$7,$F$2,"Options:Curr="&amp;$F$3&amp;", Mag=Millions, NA=--"))</f>
        <v/>
      </c>
      <c r="AJ24" s="165" t="str" cm="1">
        <f t="array" ref="AJ24">IF($B24="","",_xll.SNL.Clients.Office.Excel.Functions.SPG($B24,"SP_EBITDA_EST",AJ$7,$F$2,"Options:Curr="&amp;$F$3&amp;", Mag=Millions, NA=--"))</f>
        <v/>
      </c>
      <c r="AK24" s="165" t="str" cm="1">
        <f t="array" ref="AK24">IF($B24="","",_xll.SNL.Clients.Office.Excel.Functions.SPG($B24,"SP_EBITDA_EST",AK$7,$F$2,"Options:Curr="&amp;$F$3&amp;", Mag=Millions, NA=--"))</f>
        <v/>
      </c>
      <c r="AL24" s="167"/>
      <c r="AM24" s="168" t="str" cm="1">
        <f t="array" ref="AM24">IF($B24="","",_xll.SNL.Clients.Office.Excel.Functions.SPG($B24,"IQ_BASIC_EPS_BEFORE_EXTRA",AM$7,$F$2,"Options:Curr="&amp;$F$3&amp;", NA=--"))</f>
        <v/>
      </c>
      <c r="AN24" s="168" t="str" cm="1">
        <f t="array" ref="AN24">IF($B24="","",_xll.SNL.Clients.Office.Excel.Functions.SPG($B24,"SP_EPS_EST",AN$7,$F$2,"Options:Curr="&amp;$F$3&amp;", NA=--"))</f>
        <v/>
      </c>
      <c r="AO24" s="168" t="str" cm="1">
        <f t="array" ref="AO24">IF($B24="","",_xll.SNL.Clients.Office.Excel.Functions.SPG($B24,"SP_EPS_EST",AO$7,$F$2,"Options:Curr="&amp;$F$3&amp;", NA=--"))</f>
        <v/>
      </c>
      <c r="AP24" s="168" t="str" cm="1">
        <f t="array" ref="AP24">IF($B24="","",_xll.SNL.Clients.Office.Excel.Functions.SPG($B24,"SP_EPS_EST",AP$7,$F$2,"Options:Curr="&amp;$F$3&amp;", NA=--"))</f>
        <v/>
      </c>
      <c r="AQ24" s="167"/>
      <c r="AR24" s="168" t="str" cm="1">
        <f t="array" ref="AR24">IF($B24="","",_xll.SNL.Clients.Office.Excel.Functions.SPG($B24,"IQ_ROE",AR$7,$F$2,"Options:Curr="&amp;$F$3&amp;", NA=--"))</f>
        <v/>
      </c>
      <c r="AS24" s="167"/>
      <c r="AT24" s="168" t="str" cm="1">
        <f t="array" ref="AT24">IF($B24="","",_xll.SNL.Clients.Office.Excel.Functions.SPG($B24,"IQ_BVPS",AT$7,$F$2,"Options:Curr="&amp;$F$3&amp;", NA=--"))</f>
        <v/>
      </c>
      <c r="AU24" s="167"/>
      <c r="AV24" s="168" t="str" cm="1">
        <f t="array" ref="AV24">IF($B24="","",_xll.SNL.Clients.Office.Excel.Functions.SPG($B24,"IQ_TBVPS",AV$7,$F$2,"Options:Curr="&amp;$F$3&amp;", NA=--"))</f>
        <v/>
      </c>
      <c r="AW24" s="167"/>
      <c r="AX24" s="169" t="str" cm="1">
        <f t="array" ref="AX24">IF($B24="","",_xll.SNL.Clients.Office.Excel.Functions.SPG($B24,"SP_DIV_YIELD",WORKDAY($F$2+1,-1),"Options: NA=--"))</f>
        <v/>
      </c>
      <c r="AY24" s="165" t="str" cm="1">
        <f t="array" ref="AY24">IF($B24="","",_xll.SNL.Clients.Office.Excel.Functions.SPG($B24,"IQ_TOTAL_EQUITY","FQ0",$F$2,"Options:Curr="&amp;$F$3&amp;", Mag=Millions, NA=--"))</f>
        <v/>
      </c>
      <c r="AZ24" s="165" t="str" cm="1">
        <f t="array" ref="AZ24">IF($B24="","",_xll.SNL.Clients.Office.Excel.Functions.SPG($B24,"IQ_TOTAL_DEBT","FQ0",$F$2,"Options:Curr="&amp;$F$3&amp;", Mag=Millions, NA=--"))</f>
        <v/>
      </c>
      <c r="BA24" s="165" t="str" cm="1">
        <f t="array" ref="BA24">IF($B24="","",_xll.SNL.Clients.Office.Excel.Functions.SPG($B24,"IQ_CASH_ST_INVEST","FQ0",$F$2,"Options:Curr="&amp;$F$3&amp;", Mag=Millions, NA=--"))</f>
        <v/>
      </c>
      <c r="BB24" s="165" t="e">
        <f t="shared" si="20"/>
        <v>#VALUE!</v>
      </c>
      <c r="BC24" s="165" t="str" cm="1">
        <f t="array" ref="BC24">IF($B24="","",_xll.SNL.Clients.Office.Excel.Functions.SPG($B24,"IQ_TOTAL_EQUITY","FQ0",$F$2,"Options:Curr="&amp;$F$3&amp;", Mag=Millions, NA=--"))</f>
        <v/>
      </c>
      <c r="BD24" s="167"/>
      <c r="BE24" s="170" t="str">
        <f>IF($B24="","",IFERROR(_xll.SNL.Clients.Office.Excel.Functions.SPG($B24,"SP_GROSS_MARGIN",BE$7,$F$2,"Options: NA=--")/100,"--"))</f>
        <v/>
      </c>
      <c r="BF24" s="170" t="str">
        <f>IF($B24="","",IFERROR(_xll.SNL.Clients.Office.Excel.Functions.SPG($B24,"SP_GROSS_MARGIN_EST",BF$7,$F$2,"Options: NA=--")/100,"--"))</f>
        <v/>
      </c>
      <c r="BG24" s="170" t="str">
        <f>IF($B24="","",IFERROR(_xll.SNL.Clients.Office.Excel.Functions.SPG($B24,"SP_GROSS_MARGIN_EST",BG$7,$F$2,"Options: NA=--")/100,"--"))</f>
        <v/>
      </c>
      <c r="BH24" s="170" t="str">
        <f>IF($B24="","",IFERROR(_xll.SNL.Clients.Office.Excel.Functions.SPG($B24,"SP_GROSS_MARGIN_EST",BH$7,$F$2,"Options: NA=--")/100,"--"))</f>
        <v/>
      </c>
    </row>
    <row r="25" spans="2:60" s="135" customFormat="1" ht="14.5" customHeight="1" x14ac:dyDescent="0.4">
      <c r="B25" s="156"/>
      <c r="D25" s="135" t="str" cm="1">
        <f t="array" ref="D25">IF($B25="","",_xll.SNL.Clients.Office.Excel.Functions.SPG($B25, "SP_COMPANY_NAME"))</f>
        <v/>
      </c>
      <c r="G25" s="171" t="str" cm="1">
        <f t="array" ref="G25">IF($B25="","",_xll.SNL.Clients.Office.Excel.Functions.SPG($B25,"SP_LASTSALEPRICE",WORKDAY($F$2+1,-1),"Options:Curr="&amp;I25&amp;",NA=--"))</f>
        <v/>
      </c>
      <c r="H25" s="158" t="str" cm="1">
        <f t="array" ref="H25">IF($B25="","",_xll.SNL.Clients.Office.Excel.Functions.SPG($B25,"SP_PRICE_CLOSE",WORKDAY($F$2+1,-1),"Options:Curr="&amp;$F$3&amp;", NA=--"))</f>
        <v/>
      </c>
      <c r="I25" s="159" t="str" cm="1">
        <f t="array" ref="I25">IF($B25="","",_xll.SNL.Clients.Office.Excel.Functions.SPG($B25,"SP_TRADING_CURRENCY","Options: NA=--"))</f>
        <v/>
      </c>
      <c r="J25" s="160" t="str" cm="1">
        <f t="array" ref="J25">IF($B25="","n/a ",_xll.SNL.Clients.Office.Excel.Functions.SPG($B25,"SP_MARKETCAP",WORKDAY($F$2+1,-1),"Options:Curr="&amp;$F$3&amp;", Mag=Millions, NA=--"))</f>
        <v xml:space="preserve">n/a </v>
      </c>
      <c r="K25" s="160" t="str" cm="1">
        <f t="array" ref="K25">IF($B25="","n/a ",_xll.SNL.Clients.Office.Excel.Functions.SPG($B25,"IQ_TEV",WORKDAY($F$2+1,-1),"Options:Curr="&amp;$F$3&amp;", Mag=Millions, NA=--"))</f>
        <v xml:space="preserve">n/a </v>
      </c>
      <c r="L25" s="161" t="str">
        <f t="shared" si="12"/>
        <v xml:space="preserve">n/a </v>
      </c>
      <c r="M25" s="161" t="str">
        <f t="shared" si="12"/>
        <v xml:space="preserve">n/a </v>
      </c>
      <c r="N25" s="161" t="str">
        <f t="shared" si="12"/>
        <v xml:space="preserve">n/a </v>
      </c>
      <c r="O25" s="161" t="str">
        <f t="shared" si="13"/>
        <v xml:space="preserve">n/a </v>
      </c>
      <c r="P25" s="161" t="str">
        <f t="shared" si="13"/>
        <v xml:space="preserve">n/a </v>
      </c>
      <c r="Q25" s="161" t="str">
        <f t="shared" si="13"/>
        <v xml:space="preserve">n/a </v>
      </c>
      <c r="R25" s="162" t="str">
        <f t="shared" si="14"/>
        <v xml:space="preserve">n/a </v>
      </c>
      <c r="S25" s="162" t="str">
        <f t="shared" si="14"/>
        <v xml:space="preserve">n/a </v>
      </c>
      <c r="T25" s="162"/>
      <c r="U25" s="161" t="str">
        <f t="shared" si="15"/>
        <v xml:space="preserve">n/a </v>
      </c>
      <c r="V25" s="161" t="str">
        <f t="shared" si="16"/>
        <v xml:space="preserve">n/a </v>
      </c>
      <c r="W25" s="161" t="str">
        <f t="shared" si="16"/>
        <v xml:space="preserve">n/a </v>
      </c>
      <c r="X25" s="163" t="str">
        <f t="shared" si="17"/>
        <v xml:space="preserve">n/a </v>
      </c>
      <c r="Y25" s="161" t="str">
        <f t="shared" si="18"/>
        <v xml:space="preserve">n/a </v>
      </c>
      <c r="Z25" s="161" t="str">
        <f t="shared" si="19"/>
        <v xml:space="preserve">n/a </v>
      </c>
      <c r="AA25" s="164"/>
      <c r="AC25" s="165" t="str" cm="1">
        <f t="array" ref="AC25">IF($B25="","",_xll.SNL.Clients.Office.Excel.Functions.SPG($B25,"IQ_REV",AC$7,$F$2,"Options:Curr="&amp;$F$3&amp;", Mag=Millions, NA=--"))</f>
        <v/>
      </c>
      <c r="AD25" s="165" t="str" cm="1">
        <f t="array" ref="AD25">IF($B25="","",_xll.SNL.Clients.Office.Excel.Functions.SPG($B25,"SP_REV_EST",AD$7,$F$2,"Options:Curr="&amp;$F$3&amp;", Mag=Millions, NA=--"))</f>
        <v/>
      </c>
      <c r="AE25" s="165" t="str" cm="1">
        <f t="array" ref="AE25">IF($B25="","",_xll.SNL.Clients.Office.Excel.Functions.SPG($B25,"SP_REV_EST",AE$7,$F$2,"Options:Curr="&amp;$F$3&amp;", Mag=Millions, NA=--"))</f>
        <v/>
      </c>
      <c r="AF25" s="165" t="str" cm="1">
        <f t="array" ref="AF25">IF($B25="","",_xll.SNL.Clients.Office.Excel.Functions.SPG($B25,"SP_REV_EST",AF$7,$F$2,"Options:Curr="&amp;$F$3&amp;", Mag=Millions, NA=--"))</f>
        <v/>
      </c>
      <c r="AG25" s="166"/>
      <c r="AH25" s="165" t="str" cm="1">
        <f t="array" ref="AH25">IF($B25="","",_xll.SNL.Clients.Office.Excel.Functions.SPG($B25,"SP_EBITDA",AH$7,$F$2,"Options:Curr="&amp;$F$3&amp;", Mag=Millions, NA=--"))</f>
        <v/>
      </c>
      <c r="AI25" s="165" t="str" cm="1">
        <f t="array" ref="AI25">IF($B25="","",_xll.SNL.Clients.Office.Excel.Functions.SPG($B25,"SP_EBITDA_EST",AI$7,$F$2,"Options:Curr="&amp;$F$3&amp;", Mag=Millions, NA=--"))</f>
        <v/>
      </c>
      <c r="AJ25" s="165" t="str" cm="1">
        <f t="array" ref="AJ25">IF($B25="","",_xll.SNL.Clients.Office.Excel.Functions.SPG($B25,"SP_EBITDA_EST",AJ$7,$F$2,"Options:Curr="&amp;$F$3&amp;", Mag=Millions, NA=--"))</f>
        <v/>
      </c>
      <c r="AK25" s="165" t="str" cm="1">
        <f t="array" ref="AK25">IF($B25="","",_xll.SNL.Clients.Office.Excel.Functions.SPG($B25,"SP_EBITDA_EST",AK$7,$F$2,"Options:Curr="&amp;$F$3&amp;", Mag=Millions, NA=--"))</f>
        <v/>
      </c>
      <c r="AL25" s="167"/>
      <c r="AM25" s="168" t="str" cm="1">
        <f t="array" ref="AM25">IF($B25="","",_xll.SNL.Clients.Office.Excel.Functions.SPG($B25,"IQ_BASIC_EPS_BEFORE_EXTRA",AM$7,$F$2,"Options:Curr="&amp;$F$3&amp;", NA=--"))</f>
        <v/>
      </c>
      <c r="AN25" s="168" t="str" cm="1">
        <f t="array" ref="AN25">IF($B25="","",_xll.SNL.Clients.Office.Excel.Functions.SPG($B25,"SP_EPS_EST",AN$7,$F$2,"Options:Curr="&amp;$F$3&amp;", NA=--"))</f>
        <v/>
      </c>
      <c r="AO25" s="168" t="str" cm="1">
        <f t="array" ref="AO25">IF($B25="","",_xll.SNL.Clients.Office.Excel.Functions.SPG($B25,"SP_EPS_EST",AO$7,$F$2,"Options:Curr="&amp;$F$3&amp;", NA=--"))</f>
        <v/>
      </c>
      <c r="AP25" s="168" t="str" cm="1">
        <f t="array" ref="AP25">IF($B25="","",_xll.SNL.Clients.Office.Excel.Functions.SPG($B25,"SP_EPS_EST",AP$7,$F$2,"Options:Curr="&amp;$F$3&amp;", NA=--"))</f>
        <v/>
      </c>
      <c r="AQ25" s="167"/>
      <c r="AR25" s="168" t="str" cm="1">
        <f t="array" ref="AR25">IF($B25="","",_xll.SNL.Clients.Office.Excel.Functions.SPG($B25,"IQ_ROE",AR$7,$F$2,"Options:Curr="&amp;$F$3&amp;", NA=--"))</f>
        <v/>
      </c>
      <c r="AS25" s="167"/>
      <c r="AT25" s="168" t="str" cm="1">
        <f t="array" ref="AT25">IF($B25="","",_xll.SNL.Clients.Office.Excel.Functions.SPG($B25,"IQ_BVPS",AT$7,$F$2,"Options:Curr="&amp;$F$3&amp;", NA=--"))</f>
        <v/>
      </c>
      <c r="AU25" s="167"/>
      <c r="AV25" s="168" t="str" cm="1">
        <f t="array" ref="AV25">IF($B25="","",_xll.SNL.Clients.Office.Excel.Functions.SPG($B25,"IQ_TBVPS",AV$7,$F$2,"Options:Curr="&amp;$F$3&amp;", NA=--"))</f>
        <v/>
      </c>
      <c r="AW25" s="167"/>
      <c r="AX25" s="169" t="str" cm="1">
        <f t="array" ref="AX25">IF($B25="","",_xll.SNL.Clients.Office.Excel.Functions.SPG($B25,"SP_DIV_YIELD",WORKDAY($F$2+1,-1),"Options: NA=--"))</f>
        <v/>
      </c>
      <c r="AY25" s="165" t="str" cm="1">
        <f t="array" ref="AY25">IF($B25="","",_xll.SNL.Clients.Office.Excel.Functions.SPG($B25,"IQ_TOTAL_EQUITY","FQ0",$F$2,"Options:Curr="&amp;$F$3&amp;", Mag=Millions, NA=--"))</f>
        <v/>
      </c>
      <c r="AZ25" s="165" t="str" cm="1">
        <f t="array" ref="AZ25">IF($B25="","",_xll.SNL.Clients.Office.Excel.Functions.SPG($B25,"IQ_TOTAL_DEBT","FQ0",$F$2,"Options:Curr="&amp;$F$3&amp;", Mag=Millions, NA=--"))</f>
        <v/>
      </c>
      <c r="BA25" s="165" t="str" cm="1">
        <f t="array" ref="BA25">IF($B25="","",_xll.SNL.Clients.Office.Excel.Functions.SPG($B25,"IQ_CASH_ST_INVEST","FQ0",$F$2,"Options:Curr="&amp;$F$3&amp;", Mag=Millions, NA=--"))</f>
        <v/>
      </c>
      <c r="BB25" s="165" t="e">
        <f t="shared" si="20"/>
        <v>#VALUE!</v>
      </c>
      <c r="BC25" s="165" t="str" cm="1">
        <f t="array" ref="BC25">IF($B25="","",_xll.SNL.Clients.Office.Excel.Functions.SPG($B25,"IQ_TOTAL_EQUITY","FQ0",$F$2,"Options:Curr="&amp;$F$3&amp;", Mag=Millions, NA=--"))</f>
        <v/>
      </c>
      <c r="BD25" s="167"/>
      <c r="BE25" s="170" t="str">
        <f>IF($B25="","",IFERROR(_xll.SNL.Clients.Office.Excel.Functions.SPG($B25,"SP_GROSS_MARGIN",BE$7,$F$2,"Options: NA=--")/100,"--"))</f>
        <v/>
      </c>
      <c r="BF25" s="170" t="str">
        <f>IF($B25="","",IFERROR(_xll.SNL.Clients.Office.Excel.Functions.SPG($B25,"SP_GROSS_MARGIN_EST",BF$7,$F$2,"Options: NA=--")/100,"--"))</f>
        <v/>
      </c>
      <c r="BG25" s="170" t="str">
        <f>IF($B25="","",IFERROR(_xll.SNL.Clients.Office.Excel.Functions.SPG($B25,"SP_GROSS_MARGIN_EST",BG$7,$F$2,"Options: NA=--")/100,"--"))</f>
        <v/>
      </c>
      <c r="BH25" s="170" t="str">
        <f>IF($B25="","",IFERROR(_xll.SNL.Clients.Office.Excel.Functions.SPG($B25,"SP_GROSS_MARGIN_EST",BH$7,$F$2,"Options: NA=--")/100,"--"))</f>
        <v/>
      </c>
    </row>
    <row r="26" spans="2:60" s="135" customFormat="1" ht="3" customHeight="1" x14ac:dyDescent="0.4">
      <c r="B26" s="172"/>
      <c r="G26" s="173"/>
      <c r="H26" s="173"/>
      <c r="I26" s="159"/>
      <c r="J26" s="174"/>
      <c r="K26" s="175"/>
      <c r="L26" s="175"/>
      <c r="M26" s="161"/>
      <c r="N26" s="161"/>
      <c r="O26" s="161"/>
      <c r="P26" s="161"/>
      <c r="Q26" s="161"/>
      <c r="R26" s="176"/>
      <c r="S26" s="176"/>
      <c r="T26" s="176"/>
      <c r="U26" s="161"/>
      <c r="V26" s="161"/>
      <c r="W26" s="161"/>
      <c r="X26" s="161"/>
      <c r="Y26" s="161"/>
      <c r="Z26" s="161"/>
      <c r="AA26" s="176"/>
      <c r="AC26" s="177"/>
      <c r="AD26" s="177"/>
      <c r="AE26" s="177"/>
      <c r="AF26" s="177"/>
      <c r="AG26" s="166"/>
      <c r="AH26" s="166"/>
      <c r="AI26" s="177"/>
      <c r="AJ26" s="177"/>
      <c r="AK26" s="177"/>
      <c r="AL26" s="167"/>
      <c r="AM26" s="159"/>
      <c r="AN26" s="159"/>
      <c r="AO26" s="159"/>
      <c r="AP26" s="159"/>
      <c r="AQ26" s="167"/>
      <c r="AR26" s="167"/>
      <c r="AS26" s="167"/>
      <c r="AT26" s="167"/>
      <c r="AU26" s="167"/>
      <c r="AV26" s="167"/>
      <c r="AW26" s="167"/>
      <c r="AX26" s="177"/>
      <c r="AY26" s="177"/>
      <c r="AZ26" s="177"/>
      <c r="BA26" s="177"/>
      <c r="BB26" s="177"/>
      <c r="BC26" s="177"/>
      <c r="BD26" s="167"/>
      <c r="BE26" s="167"/>
      <c r="BF26" s="179"/>
      <c r="BG26" s="179"/>
      <c r="BH26" s="179"/>
    </row>
    <row r="27" spans="2:60" s="135" customFormat="1" ht="14.5" customHeight="1" x14ac:dyDescent="0.4">
      <c r="B27" s="190"/>
      <c r="D27" s="180" t="s">
        <v>100</v>
      </c>
      <c r="E27" s="180"/>
      <c r="F27" s="180"/>
      <c r="G27" s="180"/>
      <c r="H27" s="180"/>
      <c r="I27" s="180"/>
      <c r="J27" s="182"/>
      <c r="K27" s="182"/>
      <c r="L27" s="183" t="str">
        <f>IFERROR(AVERAGE(L20:L25),"n/a ")</f>
        <v xml:space="preserve">n/a </v>
      </c>
      <c r="M27" s="183" t="str">
        <f>IFERROR(AVERAGE(M20:M25),"n/a ")</f>
        <v xml:space="preserve">n/a </v>
      </c>
      <c r="N27" s="184" t="str">
        <f>IFERROR(AVERAGE(N20:N25),"n/a ")</f>
        <v xml:space="preserve">n/a </v>
      </c>
      <c r="O27" s="184" t="str">
        <f t="shared" ref="O27:Z27" si="21">IFERROR(AVERAGE(O20:O25),"n/a ")</f>
        <v xml:space="preserve">n/a </v>
      </c>
      <c r="P27" s="184" t="str">
        <f t="shared" si="21"/>
        <v xml:space="preserve">n/a </v>
      </c>
      <c r="Q27" s="184" t="str">
        <f t="shared" si="21"/>
        <v xml:space="preserve">n/a </v>
      </c>
      <c r="R27" s="185" t="str">
        <f t="shared" si="21"/>
        <v xml:space="preserve">n/a </v>
      </c>
      <c r="S27" s="185" t="str">
        <f t="shared" si="21"/>
        <v xml:space="preserve">n/a </v>
      </c>
      <c r="T27" s="185"/>
      <c r="U27" s="184" t="str">
        <f t="shared" si="21"/>
        <v xml:space="preserve">n/a </v>
      </c>
      <c r="V27" s="184" t="str">
        <f t="shared" si="21"/>
        <v xml:space="preserve">n/a </v>
      </c>
      <c r="W27" s="184" t="str">
        <f t="shared" si="21"/>
        <v xml:space="preserve">n/a </v>
      </c>
      <c r="X27" s="186" t="str">
        <f t="shared" si="21"/>
        <v xml:space="preserve">n/a </v>
      </c>
      <c r="Y27" s="183" t="str">
        <f t="shared" si="21"/>
        <v xml:space="preserve">n/a </v>
      </c>
      <c r="Z27" s="183" t="str">
        <f t="shared" si="21"/>
        <v xml:space="preserve">n/a </v>
      </c>
      <c r="AA27" s="185"/>
      <c r="AC27" s="166"/>
      <c r="AD27" s="166"/>
      <c r="AE27" s="166"/>
      <c r="AF27" s="166"/>
      <c r="AG27" s="166"/>
      <c r="AH27" s="166"/>
      <c r="AI27" s="166"/>
      <c r="AJ27" s="166"/>
      <c r="AK27" s="166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79"/>
      <c r="BG27" s="179"/>
      <c r="BH27" s="179"/>
    </row>
    <row r="28" spans="2:60" s="135" customFormat="1" ht="3" customHeight="1" x14ac:dyDescent="0.4">
      <c r="B28" s="172"/>
      <c r="I28" s="167"/>
      <c r="J28" s="188"/>
      <c r="K28" s="188"/>
      <c r="L28" s="188"/>
      <c r="AC28" s="166"/>
      <c r="AD28" s="166"/>
      <c r="AE28" s="166"/>
      <c r="AF28" s="166"/>
      <c r="AG28" s="166"/>
      <c r="AH28" s="166"/>
      <c r="AI28" s="166"/>
      <c r="AJ28" s="166"/>
      <c r="AK28" s="166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87"/>
      <c r="AY28" s="167"/>
      <c r="AZ28" s="167"/>
      <c r="BA28" s="167"/>
      <c r="BB28" s="167"/>
      <c r="BC28" s="167"/>
      <c r="BD28" s="167"/>
      <c r="BE28" s="167"/>
      <c r="BF28" s="179"/>
      <c r="BG28" s="179"/>
      <c r="BH28" s="179"/>
    </row>
    <row r="29" spans="2:60" s="135" customFormat="1" ht="14.5" customHeight="1" x14ac:dyDescent="0.4">
      <c r="B29" s="172"/>
      <c r="D29" s="155" t="s">
        <v>102</v>
      </c>
      <c r="G29" s="173"/>
      <c r="H29" s="173"/>
      <c r="I29" s="159"/>
      <c r="J29" s="174"/>
      <c r="K29" s="174"/>
      <c r="L29" s="174"/>
      <c r="M29" s="189"/>
      <c r="N29" s="189"/>
      <c r="O29" s="189"/>
      <c r="P29" s="189"/>
      <c r="Q29" s="189"/>
      <c r="R29" s="176"/>
      <c r="S29" s="176"/>
      <c r="T29" s="176"/>
      <c r="U29" s="189"/>
      <c r="V29" s="189"/>
      <c r="W29" s="189"/>
      <c r="X29" s="189"/>
      <c r="Y29" s="189"/>
      <c r="Z29" s="189"/>
      <c r="AA29" s="176"/>
      <c r="AC29" s="177"/>
      <c r="AD29" s="177"/>
      <c r="AE29" s="177"/>
      <c r="AF29" s="177"/>
      <c r="AG29" s="166"/>
      <c r="AH29" s="166"/>
      <c r="AI29" s="177"/>
      <c r="AJ29" s="177"/>
      <c r="AK29" s="177"/>
      <c r="AL29" s="167"/>
      <c r="AM29" s="159"/>
      <c r="AN29" s="159"/>
      <c r="AO29" s="159"/>
      <c r="AP29" s="159"/>
      <c r="AQ29" s="167"/>
      <c r="AR29" s="167"/>
      <c r="AS29" s="167"/>
      <c r="AT29" s="167"/>
      <c r="AU29" s="167"/>
      <c r="AV29" s="167"/>
      <c r="AW29" s="167"/>
      <c r="AX29" s="178"/>
      <c r="AY29" s="177"/>
      <c r="AZ29" s="177"/>
      <c r="BA29" s="177"/>
      <c r="BB29" s="177"/>
      <c r="BC29" s="177"/>
      <c r="BD29" s="167"/>
      <c r="BE29" s="167"/>
      <c r="BF29" s="179"/>
      <c r="BG29" s="179"/>
      <c r="BH29" s="179"/>
    </row>
    <row r="30" spans="2:60" s="135" customFormat="1" ht="14.5" customHeight="1" x14ac:dyDescent="0.4">
      <c r="B30" s="156"/>
      <c r="D30" s="135" t="str" cm="1">
        <f t="array" ref="D30">IF($B30="","",_xll.SNL.Clients.Office.Excel.Functions.SPG($B30, "SP_COMPANY_NAME"))</f>
        <v/>
      </c>
      <c r="G30" s="171" t="str" cm="1">
        <f t="array" ref="G30">IF($B30="","",_xll.SNL.Clients.Office.Excel.Functions.SPG($B30,"SP_LASTSALEPRICE",WORKDAY($F$2+1,-1),"Options:Curr="&amp;I30&amp;",NA=--"))</f>
        <v/>
      </c>
      <c r="H30" s="158" t="str" cm="1">
        <f t="array" ref="H30">IF($B30="","",_xll.SNL.Clients.Office.Excel.Functions.SPG($B30,"SP_PRICE_CLOSE",WORKDAY($F$2+1,-1),"Options:Curr="&amp;$F$3&amp;", NA=--"))</f>
        <v/>
      </c>
      <c r="I30" s="159" t="str" cm="1">
        <f t="array" ref="I30">IF($B30="","",_xll.SNL.Clients.Office.Excel.Functions.SPG($B30,"SP_TRADING_CURRENCY","Options: NA=--"))</f>
        <v/>
      </c>
      <c r="J30" s="160" t="str" cm="1">
        <f t="array" ref="J30">IF($B30="","n/a ",_xll.SNL.Clients.Office.Excel.Functions.SPG($B30,"SP_MARKETCAP",WORKDAY($F$2+1,-1),"Options:Curr="&amp;$F$3&amp;", Mag=Millions, NA=--"))</f>
        <v xml:space="preserve">n/a </v>
      </c>
      <c r="K30" s="160" t="str" cm="1">
        <f t="array" ref="K30">IF($B30="","n/a ",_xll.SNL.Clients.Office.Excel.Functions.SPG($B30,"IQ_TEV",WORKDAY($F$2+1,-1),"Options:Curr="&amp;$F$3&amp;", Mag=Millions, NA=--"))</f>
        <v xml:space="preserve">n/a </v>
      </c>
      <c r="L30" s="161" t="str">
        <f t="shared" ref="L30:N35" si="22">IFERROR(IF(OR($K30/AC30&gt;L$4,$K30/AC30&lt;L$3),"nmf ",$K30/AC30),"n/a ")</f>
        <v xml:space="preserve">n/a </v>
      </c>
      <c r="M30" s="161" t="str">
        <f t="shared" si="22"/>
        <v xml:space="preserve">n/a </v>
      </c>
      <c r="N30" s="161" t="str">
        <f t="shared" si="22"/>
        <v xml:space="preserve">n/a </v>
      </c>
      <c r="O30" s="161" t="str">
        <f t="shared" ref="O30:Q35" si="23">IFERROR(IF(OR($K30/AH30&gt;O$4,$K30/AH30&lt;O$3),"nmf ",$K30/AH30),"n/a ")</f>
        <v xml:space="preserve">n/a </v>
      </c>
      <c r="P30" s="161" t="str">
        <f t="shared" si="23"/>
        <v xml:space="preserve">n/a </v>
      </c>
      <c r="Q30" s="161" t="str">
        <f t="shared" si="23"/>
        <v xml:space="preserve">n/a </v>
      </c>
      <c r="R30" s="162" t="str">
        <f t="shared" ref="R30:S35" si="24">IFERROR((AE30/AD30)-1,"n/a ")</f>
        <v xml:space="preserve">n/a </v>
      </c>
      <c r="S30" s="162" t="str">
        <f t="shared" si="24"/>
        <v xml:space="preserve">n/a </v>
      </c>
      <c r="T30" s="162"/>
      <c r="U30" s="161" t="str">
        <f t="shared" ref="U30:U35" si="25">IFERROR($H30/AM30,"n/a ")</f>
        <v xml:space="preserve">n/a </v>
      </c>
      <c r="V30" s="161" t="str">
        <f t="shared" ref="V30:W35" si="26">IFERROR($H30/AO30,"n/a ")</f>
        <v xml:space="preserve">n/a </v>
      </c>
      <c r="W30" s="161" t="str">
        <f t="shared" si="26"/>
        <v xml:space="preserve">n/a </v>
      </c>
      <c r="X30" s="163" t="str">
        <f t="shared" ref="X30:X35" si="27">IFERROR(AR30/100,"n/a ")</f>
        <v xml:space="preserve">n/a </v>
      </c>
      <c r="Y30" s="161" t="str">
        <f>IFERROR(H30/AT30,"n/a ")</f>
        <v xml:space="preserve">n/a </v>
      </c>
      <c r="Z30" s="161" t="str">
        <f>IFERROR(H30/AV30,"n/a ")</f>
        <v xml:space="preserve">n/a </v>
      </c>
      <c r="AA30" s="164"/>
      <c r="AC30" s="165" t="str" cm="1">
        <f t="array" ref="AC30">IF($B30="","",_xll.SNL.Clients.Office.Excel.Functions.SPG($B30,"IQ_REV",AC$7,$F$2,"Options:Curr="&amp;$F$3&amp;", Mag=Millions, NA=--"))</f>
        <v/>
      </c>
      <c r="AD30" s="165" t="str" cm="1">
        <f t="array" ref="AD30">IF($B30="","",_xll.SNL.Clients.Office.Excel.Functions.SPG($B30,"SP_REV_EST",AD$7,$F$2,"Options:Curr="&amp;$F$3&amp;", Mag=Millions, NA=--"))</f>
        <v/>
      </c>
      <c r="AE30" s="165" t="str" cm="1">
        <f t="array" ref="AE30">IF($B30="","",_xll.SNL.Clients.Office.Excel.Functions.SPG($B30,"SP_REV_EST",AE$7,$F$2,"Options:Curr="&amp;$F$3&amp;", Mag=Millions, NA=--"))</f>
        <v/>
      </c>
      <c r="AF30" s="165" t="str" cm="1">
        <f t="array" ref="AF30">IF($B30="","",_xll.SNL.Clients.Office.Excel.Functions.SPG($B30,"SP_REV_EST",AF$7,$F$2,"Options:Curr="&amp;$F$3&amp;", Mag=Millions, NA=--"))</f>
        <v/>
      </c>
      <c r="AG30" s="166"/>
      <c r="AH30" s="165" t="str" cm="1">
        <f t="array" ref="AH30">IF($B30="","",_xll.SNL.Clients.Office.Excel.Functions.SPG($B30,"SP_EBITDA",AH$7,$F$2,"Options:Curr="&amp;$F$3&amp;", Mag=Millions, NA=--"))</f>
        <v/>
      </c>
      <c r="AI30" s="165" t="str" cm="1">
        <f t="array" ref="AI30">IF($B30="","",_xll.SNL.Clients.Office.Excel.Functions.SPG($B30,"SP_EBITDA_EST",AI$7,$F$2,"Options:Curr="&amp;$F$3&amp;", Mag=Millions, NA=--"))</f>
        <v/>
      </c>
      <c r="AJ30" s="165" t="str" cm="1">
        <f t="array" ref="AJ30">IF($B30="","",_xll.SNL.Clients.Office.Excel.Functions.SPG($B30,"SP_EBITDA_EST",AJ$7,$F$2,"Options:Curr="&amp;$F$3&amp;", Mag=Millions, NA=--"))</f>
        <v/>
      </c>
      <c r="AK30" s="165" t="str" cm="1">
        <f t="array" ref="AK30">IF($B30="","",_xll.SNL.Clients.Office.Excel.Functions.SPG($B30,"SP_EBITDA_EST",AK$7,$F$2,"Options:Curr="&amp;$F$3&amp;", Mag=Millions, NA=--"))</f>
        <v/>
      </c>
      <c r="AL30" s="167"/>
      <c r="AM30" s="168" t="str" cm="1">
        <f t="array" ref="AM30">IF($B30="","",_xll.SNL.Clients.Office.Excel.Functions.SPG($B30,"IQ_BASIC_EPS_BEFORE_EXTRA",AM$7,$F$2,"Options:Curr="&amp;$F$3&amp;", NA=--"))</f>
        <v/>
      </c>
      <c r="AN30" s="168" t="str" cm="1">
        <f t="array" ref="AN30">IF($B30="","",_xll.SNL.Clients.Office.Excel.Functions.SPG($B30,"SP_EPS_EST",AN$7,$F$2,"Options:Curr="&amp;$F$3&amp;", NA=--"))</f>
        <v/>
      </c>
      <c r="AO30" s="168" t="str" cm="1">
        <f t="array" ref="AO30">IF($B30="","",_xll.SNL.Clients.Office.Excel.Functions.SPG($B30,"SP_EPS_EST",AO$7,$F$2,"Options:Curr="&amp;$F$3&amp;", NA=--"))</f>
        <v/>
      </c>
      <c r="AP30" s="168" t="str" cm="1">
        <f t="array" ref="AP30">IF($B30="","",_xll.SNL.Clients.Office.Excel.Functions.SPG($B30,"SP_EPS_EST",AP$7,$F$2,"Options:Curr="&amp;$F$3&amp;", NA=--"))</f>
        <v/>
      </c>
      <c r="AQ30" s="167"/>
      <c r="AR30" s="168" t="str" cm="1">
        <f t="array" ref="AR30">IF($B30="","",_xll.SNL.Clients.Office.Excel.Functions.SPG($B30,"IQ_ROE",AR$7,$F$2,"Options:Curr="&amp;$F$3&amp;", NA=--"))</f>
        <v/>
      </c>
      <c r="AS30" s="167"/>
      <c r="AT30" s="168" t="str" cm="1">
        <f t="array" ref="AT30">IF($B30="","",_xll.SNL.Clients.Office.Excel.Functions.SPG($B30,"IQ_BVPS",AT$7,$F$2,"Options:Curr="&amp;$F$3&amp;", NA=--"))</f>
        <v/>
      </c>
      <c r="AU30" s="167"/>
      <c r="AV30" s="168" t="str" cm="1">
        <f t="array" ref="AV30">IF($B30="","",_xll.SNL.Clients.Office.Excel.Functions.SPG($B30,"IQ_TBVPS",AV$7,$F$2,"Options:Curr="&amp;$F$3&amp;", NA=--"))</f>
        <v/>
      </c>
      <c r="AW30" s="167"/>
      <c r="AX30" s="169" t="str" cm="1">
        <f t="array" ref="AX30">IF($B30="","",_xll.SNL.Clients.Office.Excel.Functions.SPG($B30,"SP_DIV_YIELD",WORKDAY($F$2+1,-1),"Options: NA=--"))</f>
        <v/>
      </c>
      <c r="AY30" s="165" t="str" cm="1">
        <f t="array" ref="AY30">IF($B30="","",_xll.SNL.Clients.Office.Excel.Functions.SPG($B30,"IQ_TOTAL_EQUITY","FQ0",$F$2,"Options:Curr="&amp;$F$3&amp;", Mag=Millions, NA=--"))</f>
        <v/>
      </c>
      <c r="AZ30" s="165" t="str" cm="1">
        <f t="array" ref="AZ30">IF($B30="","",_xll.SNL.Clients.Office.Excel.Functions.SPG($B30,"IQ_TOTAL_DEBT","FQ0",$F$2,"Options:Curr="&amp;$F$3&amp;", Mag=Millions, NA=--"))</f>
        <v/>
      </c>
      <c r="BA30" s="165" t="str" cm="1">
        <f t="array" ref="BA30">IF($B30="","",_xll.SNL.Clients.Office.Excel.Functions.SPG($B30,"IQ_CASH_ST_INVEST","FQ0",$F$2,"Options:Curr="&amp;$F$3&amp;", Mag=Millions, NA=--"))</f>
        <v/>
      </c>
      <c r="BB30" s="165" t="e">
        <f>+AZ30-BA30</f>
        <v>#VALUE!</v>
      </c>
      <c r="BC30" s="165" t="str" cm="1">
        <f t="array" ref="BC30">IF($B30="","",_xll.SNL.Clients.Office.Excel.Functions.SPG($B30,"IQ_TOTAL_EQUITY","FQ0",$F$2,"Options:Curr="&amp;$F$3&amp;", Mag=Millions, NA=--"))</f>
        <v/>
      </c>
      <c r="BD30" s="167"/>
      <c r="BE30" s="170" t="str">
        <f>IF($B30="","",IFERROR(_xll.SNL.Clients.Office.Excel.Functions.SPG($B30,"SP_GROSS_MARGIN",BE$7,$F$2,"Options: NA=--")/100,"--"))</f>
        <v/>
      </c>
      <c r="BF30" s="170" t="str">
        <f>IF($B30="","",IFERROR(_xll.SNL.Clients.Office.Excel.Functions.SPG($B30,"SP_GROSS_MARGIN_EST",BF$7,$F$2,"Options: NA=--")/100,"--"))</f>
        <v/>
      </c>
      <c r="BG30" s="170" t="str">
        <f>IF($B30="","",IFERROR(_xll.SNL.Clients.Office.Excel.Functions.SPG($B30,"SP_GROSS_MARGIN_EST",BG$7,$F$2,"Options: NA=--")/100,"--"))</f>
        <v/>
      </c>
      <c r="BH30" s="170" t="str">
        <f>IF($B30="","",IFERROR(_xll.SNL.Clients.Office.Excel.Functions.SPG($B30,"SP_GROSS_MARGIN_EST",BH$7,$F$2,"Options: NA=--")/100,"--"))</f>
        <v/>
      </c>
    </row>
    <row r="31" spans="2:60" s="135" customFormat="1" ht="14.5" customHeight="1" x14ac:dyDescent="0.4">
      <c r="B31" s="156"/>
      <c r="D31" s="135" t="str" cm="1">
        <f t="array" ref="D31">IF($B31="","",_xll.SNL.Clients.Office.Excel.Functions.SPG($B31, "SP_COMPANY_NAME"))</f>
        <v/>
      </c>
      <c r="G31" s="171" t="str" cm="1">
        <f t="array" ref="G31">IF($B31="","",_xll.SNL.Clients.Office.Excel.Functions.SPG($B31,"SP_LASTSALEPRICE",WORKDAY($F$2+1,-1),"Options:Curr="&amp;I31&amp;",NA=--"))</f>
        <v/>
      </c>
      <c r="H31" s="158" t="str" cm="1">
        <f t="array" ref="H31">IF($B31="","",_xll.SNL.Clients.Office.Excel.Functions.SPG($B31,"SP_PRICE_CLOSE",WORKDAY($F$2+1,-1),"Options:Curr="&amp;$F$3&amp;", NA=--"))</f>
        <v/>
      </c>
      <c r="I31" s="159" t="str" cm="1">
        <f t="array" ref="I31">IF($B31="","",_xll.SNL.Clients.Office.Excel.Functions.SPG($B31,"SP_TRADING_CURRENCY","Options: NA=--"))</f>
        <v/>
      </c>
      <c r="J31" s="160" t="str" cm="1">
        <f t="array" ref="J31">IF($B31="","n/a ",_xll.SNL.Clients.Office.Excel.Functions.SPG($B31,"SP_MARKETCAP",WORKDAY($F$2+1,-1),"Options:Curr="&amp;$F$3&amp;", Mag=Millions, NA=--"))</f>
        <v xml:space="preserve">n/a </v>
      </c>
      <c r="K31" s="160" t="str" cm="1">
        <f t="array" ref="K31">IF($B31="","n/a ",_xll.SNL.Clients.Office.Excel.Functions.SPG($B31,"IQ_TEV",WORKDAY($F$2+1,-1),"Options:Curr="&amp;$F$3&amp;", Mag=Millions, NA=--"))</f>
        <v xml:space="preserve">n/a </v>
      </c>
      <c r="L31" s="161" t="str">
        <f t="shared" si="22"/>
        <v xml:space="preserve">n/a </v>
      </c>
      <c r="M31" s="161" t="str">
        <f t="shared" si="22"/>
        <v xml:space="preserve">n/a </v>
      </c>
      <c r="N31" s="161" t="str">
        <f t="shared" si="22"/>
        <v xml:space="preserve">n/a </v>
      </c>
      <c r="O31" s="161" t="str">
        <f t="shared" si="23"/>
        <v xml:space="preserve">n/a </v>
      </c>
      <c r="P31" s="161" t="str">
        <f t="shared" si="23"/>
        <v xml:space="preserve">n/a </v>
      </c>
      <c r="Q31" s="161" t="str">
        <f t="shared" si="23"/>
        <v xml:space="preserve">n/a </v>
      </c>
      <c r="R31" s="162" t="str">
        <f t="shared" si="24"/>
        <v xml:space="preserve">n/a </v>
      </c>
      <c r="S31" s="162" t="str">
        <f t="shared" si="24"/>
        <v xml:space="preserve">n/a </v>
      </c>
      <c r="T31" s="162"/>
      <c r="U31" s="161" t="str">
        <f t="shared" si="25"/>
        <v xml:space="preserve">n/a </v>
      </c>
      <c r="V31" s="161" t="str">
        <f t="shared" si="26"/>
        <v xml:space="preserve">n/a </v>
      </c>
      <c r="W31" s="161" t="str">
        <f t="shared" si="26"/>
        <v xml:space="preserve">n/a </v>
      </c>
      <c r="X31" s="163" t="str">
        <f t="shared" si="27"/>
        <v xml:space="preserve">n/a </v>
      </c>
      <c r="Y31" s="161" t="str">
        <f t="shared" ref="Y31:Y35" si="28">IFERROR(H31/AT31,"n/a ")</f>
        <v xml:space="preserve">n/a </v>
      </c>
      <c r="Z31" s="161" t="str">
        <f t="shared" ref="Z31:Z35" si="29">IFERROR(H31/AV31,"n/a ")</f>
        <v xml:space="preserve">n/a </v>
      </c>
      <c r="AA31" s="164"/>
      <c r="AC31" s="165" t="str" cm="1">
        <f t="array" ref="AC31">IF($B31="","",_xll.SNL.Clients.Office.Excel.Functions.SPG($B31,"IQ_REV",AC$7,$F$2,"Options:Curr="&amp;$F$3&amp;", Mag=Millions, NA=--"))</f>
        <v/>
      </c>
      <c r="AD31" s="165" t="str" cm="1">
        <f t="array" ref="AD31">IF($B31="","",_xll.SNL.Clients.Office.Excel.Functions.SPG($B31,"SP_REV_EST",AD$7,$F$2,"Options:Curr="&amp;$F$3&amp;", Mag=Millions, NA=--"))</f>
        <v/>
      </c>
      <c r="AE31" s="165" t="str" cm="1">
        <f t="array" ref="AE31">IF($B31="","",_xll.SNL.Clients.Office.Excel.Functions.SPG($B31,"SP_REV_EST",AE$7,$F$2,"Options:Curr="&amp;$F$3&amp;", Mag=Millions, NA=--"))</f>
        <v/>
      </c>
      <c r="AF31" s="165" t="str" cm="1">
        <f t="array" ref="AF31">IF($B31="","",_xll.SNL.Clients.Office.Excel.Functions.SPG($B31,"SP_REV_EST",AF$7,$F$2,"Options:Curr="&amp;$F$3&amp;", Mag=Millions, NA=--"))</f>
        <v/>
      </c>
      <c r="AG31" s="166"/>
      <c r="AH31" s="165" t="str" cm="1">
        <f t="array" ref="AH31">IF($B31="","",_xll.SNL.Clients.Office.Excel.Functions.SPG($B31,"SP_EBITDA",AH$7,$F$2,"Options:Curr="&amp;$F$3&amp;", Mag=Millions, NA=--"))</f>
        <v/>
      </c>
      <c r="AI31" s="165" t="str" cm="1">
        <f t="array" ref="AI31">IF($B31="","",_xll.SNL.Clients.Office.Excel.Functions.SPG($B31,"SP_EBITDA_EST",AI$7,$F$2,"Options:Curr="&amp;$F$3&amp;", Mag=Millions, NA=--"))</f>
        <v/>
      </c>
      <c r="AJ31" s="165" t="str" cm="1">
        <f t="array" ref="AJ31">IF($B31="","",_xll.SNL.Clients.Office.Excel.Functions.SPG($B31,"SP_EBITDA_EST",AJ$7,$F$2,"Options:Curr="&amp;$F$3&amp;", Mag=Millions, NA=--"))</f>
        <v/>
      </c>
      <c r="AK31" s="165" t="str" cm="1">
        <f t="array" ref="AK31">IF($B31="","",_xll.SNL.Clients.Office.Excel.Functions.SPG($B31,"SP_EBITDA_EST",AK$7,$F$2,"Options:Curr="&amp;$F$3&amp;", Mag=Millions, NA=--"))</f>
        <v/>
      </c>
      <c r="AL31" s="167"/>
      <c r="AM31" s="168" t="str" cm="1">
        <f t="array" ref="AM31">IF($B31="","",_xll.SNL.Clients.Office.Excel.Functions.SPG($B31,"IQ_BASIC_EPS_BEFORE_EXTRA",AM$7,$F$2,"Options:Curr="&amp;$F$3&amp;", NA=--"))</f>
        <v/>
      </c>
      <c r="AN31" s="168" t="str" cm="1">
        <f t="array" ref="AN31">IF($B31="","",_xll.SNL.Clients.Office.Excel.Functions.SPG($B31,"SP_EPS_EST",AN$7,$F$2,"Options:Curr="&amp;$F$3&amp;", NA=--"))</f>
        <v/>
      </c>
      <c r="AO31" s="168" t="str" cm="1">
        <f t="array" ref="AO31">IF($B31="","",_xll.SNL.Clients.Office.Excel.Functions.SPG($B31,"SP_EPS_EST",AO$7,$F$2,"Options:Curr="&amp;$F$3&amp;", NA=--"))</f>
        <v/>
      </c>
      <c r="AP31" s="168" t="str" cm="1">
        <f t="array" ref="AP31">IF($B31="","",_xll.SNL.Clients.Office.Excel.Functions.SPG($B31,"SP_EPS_EST",AP$7,$F$2,"Options:Curr="&amp;$F$3&amp;", NA=--"))</f>
        <v/>
      </c>
      <c r="AQ31" s="167"/>
      <c r="AR31" s="168" t="str" cm="1">
        <f t="array" ref="AR31">IF($B31="","",_xll.SNL.Clients.Office.Excel.Functions.SPG($B31,"IQ_ROE",AR$7,$F$2,"Options:Curr="&amp;$F$3&amp;", NA=--"))</f>
        <v/>
      </c>
      <c r="AS31" s="167"/>
      <c r="AT31" s="168" t="str" cm="1">
        <f t="array" ref="AT31">IF($B31="","",_xll.SNL.Clients.Office.Excel.Functions.SPG($B31,"IQ_BVPS",AT$7,$F$2,"Options:Curr="&amp;$F$3&amp;", NA=--"))</f>
        <v/>
      </c>
      <c r="AU31" s="167"/>
      <c r="AV31" s="168" t="str" cm="1">
        <f t="array" ref="AV31">IF($B31="","",_xll.SNL.Clients.Office.Excel.Functions.SPG($B31,"IQ_TBVPS",AV$7,$F$2,"Options:Curr="&amp;$F$3&amp;", NA=--"))</f>
        <v/>
      </c>
      <c r="AW31" s="167"/>
      <c r="AX31" s="169" t="str" cm="1">
        <f t="array" ref="AX31">IF($B31="","",_xll.SNL.Clients.Office.Excel.Functions.SPG($B31,"SP_DIV_YIELD",WORKDAY($F$2+1,-1),"Options: NA=--"))</f>
        <v/>
      </c>
      <c r="AY31" s="165" t="str" cm="1">
        <f t="array" ref="AY31">IF($B31="","",_xll.SNL.Clients.Office.Excel.Functions.SPG($B31,"IQ_TOTAL_EQUITY","FQ0",$F$2,"Options:Curr="&amp;$F$3&amp;", Mag=Millions, NA=--"))</f>
        <v/>
      </c>
      <c r="AZ31" s="165" t="str" cm="1">
        <f t="array" ref="AZ31">IF($B31="","",_xll.SNL.Clients.Office.Excel.Functions.SPG($B31,"IQ_TOTAL_DEBT","FQ0",$F$2,"Options:Curr="&amp;$F$3&amp;", Mag=Millions, NA=--"))</f>
        <v/>
      </c>
      <c r="BA31" s="165" t="str" cm="1">
        <f t="array" ref="BA31">IF($B31="","",_xll.SNL.Clients.Office.Excel.Functions.SPG($B31,"IQ_CASH_ST_INVEST","FQ0",$F$2,"Options:Curr="&amp;$F$3&amp;", Mag=Millions, NA=--"))</f>
        <v/>
      </c>
      <c r="BB31" s="165" t="e">
        <f t="shared" ref="BB31:BB35" si="30">+AZ31-BA31</f>
        <v>#VALUE!</v>
      </c>
      <c r="BC31" s="165" t="str" cm="1">
        <f t="array" ref="BC31">IF($B31="","",_xll.SNL.Clients.Office.Excel.Functions.SPG($B31,"IQ_TOTAL_EQUITY","FQ0",$F$2,"Options:Curr="&amp;$F$3&amp;", Mag=Millions, NA=--"))</f>
        <v/>
      </c>
      <c r="BD31" s="167"/>
      <c r="BE31" s="170" t="str">
        <f>IF($B31="","",IFERROR(_xll.SNL.Clients.Office.Excel.Functions.SPG($B31,"SP_GROSS_MARGIN",BE$7,$F$2,"Options: NA=--")/100,"--"))</f>
        <v/>
      </c>
      <c r="BF31" s="170" t="str">
        <f>IF($B31="","",IFERROR(_xll.SNL.Clients.Office.Excel.Functions.SPG($B31,"SP_GROSS_MARGIN_EST",BF$7,$F$2,"Options: NA=--")/100,"--"))</f>
        <v/>
      </c>
      <c r="BG31" s="170" t="str">
        <f>IF($B31="","",IFERROR(_xll.SNL.Clients.Office.Excel.Functions.SPG($B31,"SP_GROSS_MARGIN_EST",BG$7,$F$2,"Options: NA=--")/100,"--"))</f>
        <v/>
      </c>
      <c r="BH31" s="170" t="str">
        <f>IF($B31="","",IFERROR(_xll.SNL.Clients.Office.Excel.Functions.SPG($B31,"SP_GROSS_MARGIN_EST",BH$7,$F$2,"Options: NA=--")/100,"--"))</f>
        <v/>
      </c>
    </row>
    <row r="32" spans="2:60" s="135" customFormat="1" ht="14.5" customHeight="1" x14ac:dyDescent="0.4">
      <c r="B32" s="156"/>
      <c r="D32" s="135" t="str" cm="1">
        <f t="array" ref="D32">IF($B32="","",_xll.SNL.Clients.Office.Excel.Functions.SPG($B32, "SP_COMPANY_NAME"))</f>
        <v/>
      </c>
      <c r="G32" s="171" t="str" cm="1">
        <f t="array" ref="G32">IF($B32="","",_xll.SNL.Clients.Office.Excel.Functions.SPG($B32,"SP_LASTSALEPRICE",WORKDAY($F$2+1,-1),"Options:Curr="&amp;I32&amp;",NA=--"))</f>
        <v/>
      </c>
      <c r="H32" s="158" t="str" cm="1">
        <f t="array" ref="H32">IF($B32="","",_xll.SNL.Clients.Office.Excel.Functions.SPG($B32,"SP_PRICE_CLOSE",WORKDAY($F$2+1,-1),"Options:Curr="&amp;$F$3&amp;", NA=--"))</f>
        <v/>
      </c>
      <c r="I32" s="159" t="str" cm="1">
        <f t="array" ref="I32">IF($B32="","",_xll.SNL.Clients.Office.Excel.Functions.SPG($B32,"SP_TRADING_CURRENCY","Options: NA=--"))</f>
        <v/>
      </c>
      <c r="J32" s="160" t="str" cm="1">
        <f t="array" ref="J32">IF($B32="","n/a ",_xll.SNL.Clients.Office.Excel.Functions.SPG($B32,"SP_MARKETCAP",WORKDAY($F$2+1,-1),"Options:Curr="&amp;$F$3&amp;", Mag=Millions, NA=--"))</f>
        <v xml:space="preserve">n/a </v>
      </c>
      <c r="K32" s="160" t="str" cm="1">
        <f t="array" ref="K32">IF($B32="","n/a ",_xll.SNL.Clients.Office.Excel.Functions.SPG($B32,"IQ_TEV",WORKDAY($F$2+1,-1),"Options:Curr="&amp;$F$3&amp;", Mag=Millions, NA=--"))</f>
        <v xml:space="preserve">n/a </v>
      </c>
      <c r="L32" s="161" t="str">
        <f t="shared" si="22"/>
        <v xml:space="preserve">n/a </v>
      </c>
      <c r="M32" s="161" t="str">
        <f t="shared" si="22"/>
        <v xml:space="preserve">n/a </v>
      </c>
      <c r="N32" s="161" t="str">
        <f t="shared" si="22"/>
        <v xml:space="preserve">n/a </v>
      </c>
      <c r="O32" s="161" t="str">
        <f t="shared" si="23"/>
        <v xml:space="preserve">n/a </v>
      </c>
      <c r="P32" s="161" t="str">
        <f t="shared" si="23"/>
        <v xml:space="preserve">n/a </v>
      </c>
      <c r="Q32" s="161" t="str">
        <f t="shared" si="23"/>
        <v xml:space="preserve">n/a </v>
      </c>
      <c r="R32" s="162" t="str">
        <f t="shared" si="24"/>
        <v xml:space="preserve">n/a </v>
      </c>
      <c r="S32" s="162" t="str">
        <f t="shared" si="24"/>
        <v xml:space="preserve">n/a </v>
      </c>
      <c r="T32" s="162"/>
      <c r="U32" s="161" t="str">
        <f t="shared" si="25"/>
        <v xml:space="preserve">n/a </v>
      </c>
      <c r="V32" s="161" t="str">
        <f t="shared" si="26"/>
        <v xml:space="preserve">n/a </v>
      </c>
      <c r="W32" s="161" t="str">
        <f t="shared" si="26"/>
        <v xml:space="preserve">n/a </v>
      </c>
      <c r="X32" s="163" t="str">
        <f t="shared" si="27"/>
        <v xml:space="preserve">n/a </v>
      </c>
      <c r="Y32" s="161" t="str">
        <f t="shared" si="28"/>
        <v xml:space="preserve">n/a </v>
      </c>
      <c r="Z32" s="161" t="str">
        <f t="shared" si="29"/>
        <v xml:space="preserve">n/a </v>
      </c>
      <c r="AA32" s="164"/>
      <c r="AC32" s="165" t="str" cm="1">
        <f t="array" ref="AC32">IF($B32="","",_xll.SNL.Clients.Office.Excel.Functions.SPG($B32,"IQ_REV",AC$7,$F$2,"Options:Curr="&amp;$F$3&amp;", Mag=Millions, NA=--"))</f>
        <v/>
      </c>
      <c r="AD32" s="165" t="str" cm="1">
        <f t="array" ref="AD32">IF($B32="","",_xll.SNL.Clients.Office.Excel.Functions.SPG($B32,"SP_REV_EST",AD$7,$F$2,"Options:Curr="&amp;$F$3&amp;", Mag=Millions, NA=--"))</f>
        <v/>
      </c>
      <c r="AE32" s="165" t="str" cm="1">
        <f t="array" ref="AE32">IF($B32="","",_xll.SNL.Clients.Office.Excel.Functions.SPG($B32,"SP_REV_EST",AE$7,$F$2,"Options:Curr="&amp;$F$3&amp;", Mag=Millions, NA=--"))</f>
        <v/>
      </c>
      <c r="AF32" s="165" t="str" cm="1">
        <f t="array" ref="AF32">IF($B32="","",_xll.SNL.Clients.Office.Excel.Functions.SPG($B32,"SP_REV_EST",AF$7,$F$2,"Options:Curr="&amp;$F$3&amp;", Mag=Millions, NA=--"))</f>
        <v/>
      </c>
      <c r="AG32" s="166"/>
      <c r="AH32" s="165" t="str" cm="1">
        <f t="array" ref="AH32">IF($B32="","",_xll.SNL.Clients.Office.Excel.Functions.SPG($B32,"SP_EBITDA",AH$7,$F$2,"Options:Curr="&amp;$F$3&amp;", Mag=Millions, NA=--"))</f>
        <v/>
      </c>
      <c r="AI32" s="165" t="str" cm="1">
        <f t="array" ref="AI32">IF($B32="","",_xll.SNL.Clients.Office.Excel.Functions.SPG($B32,"SP_EBITDA_EST",AI$7,$F$2,"Options:Curr="&amp;$F$3&amp;", Mag=Millions, NA=--"))</f>
        <v/>
      </c>
      <c r="AJ32" s="165" t="str" cm="1">
        <f t="array" ref="AJ32">IF($B32="","",_xll.SNL.Clients.Office.Excel.Functions.SPG($B32,"SP_EBITDA_EST",AJ$7,$F$2,"Options:Curr="&amp;$F$3&amp;", Mag=Millions, NA=--"))</f>
        <v/>
      </c>
      <c r="AK32" s="165" t="str" cm="1">
        <f t="array" ref="AK32">IF($B32="","",_xll.SNL.Clients.Office.Excel.Functions.SPG($B32,"SP_EBITDA_EST",AK$7,$F$2,"Options:Curr="&amp;$F$3&amp;", Mag=Millions, NA=--"))</f>
        <v/>
      </c>
      <c r="AL32" s="167"/>
      <c r="AM32" s="168" t="str" cm="1">
        <f t="array" ref="AM32">IF($B32="","",_xll.SNL.Clients.Office.Excel.Functions.SPG($B32,"IQ_BASIC_EPS_BEFORE_EXTRA",AM$7,$F$2,"Options:Curr="&amp;$F$3&amp;", NA=--"))</f>
        <v/>
      </c>
      <c r="AN32" s="168" t="str" cm="1">
        <f t="array" ref="AN32">IF($B32="","",_xll.SNL.Clients.Office.Excel.Functions.SPG($B32,"SP_EPS_EST",AN$7,$F$2,"Options:Curr="&amp;$F$3&amp;", NA=--"))</f>
        <v/>
      </c>
      <c r="AO32" s="168" t="str" cm="1">
        <f t="array" ref="AO32">IF($B32="","",_xll.SNL.Clients.Office.Excel.Functions.SPG($B32,"SP_EPS_EST",AO$7,$F$2,"Options:Curr="&amp;$F$3&amp;", NA=--"))</f>
        <v/>
      </c>
      <c r="AP32" s="168" t="str" cm="1">
        <f t="array" ref="AP32">IF($B32="","",_xll.SNL.Clients.Office.Excel.Functions.SPG($B32,"SP_EPS_EST",AP$7,$F$2,"Options:Curr="&amp;$F$3&amp;", NA=--"))</f>
        <v/>
      </c>
      <c r="AQ32" s="167"/>
      <c r="AR32" s="168" t="str" cm="1">
        <f t="array" ref="AR32">IF($B32="","",_xll.SNL.Clients.Office.Excel.Functions.SPG($B32,"IQ_ROE",AR$7,$F$2,"Options:Curr="&amp;$F$3&amp;", NA=--"))</f>
        <v/>
      </c>
      <c r="AS32" s="167"/>
      <c r="AT32" s="168" t="str" cm="1">
        <f t="array" ref="AT32">IF($B32="","",_xll.SNL.Clients.Office.Excel.Functions.SPG($B32,"IQ_BVPS",AT$7,$F$2,"Options:Curr="&amp;$F$3&amp;", NA=--"))</f>
        <v/>
      </c>
      <c r="AU32" s="167"/>
      <c r="AV32" s="168" t="str" cm="1">
        <f t="array" ref="AV32">IF($B32="","",_xll.SNL.Clients.Office.Excel.Functions.SPG($B32,"IQ_TBVPS",AV$7,$F$2,"Options:Curr="&amp;$F$3&amp;", NA=--"))</f>
        <v/>
      </c>
      <c r="AW32" s="167"/>
      <c r="AX32" s="169" t="str" cm="1">
        <f t="array" ref="AX32">IF($B32="","",_xll.SNL.Clients.Office.Excel.Functions.SPG($B32,"SP_DIV_YIELD",WORKDAY($F$2+1,-1),"Options: NA=--"))</f>
        <v/>
      </c>
      <c r="AY32" s="165" t="str" cm="1">
        <f t="array" ref="AY32">IF($B32="","",_xll.SNL.Clients.Office.Excel.Functions.SPG($B32,"IQ_TOTAL_EQUITY","FQ0",$F$2,"Options:Curr="&amp;$F$3&amp;", Mag=Millions, NA=--"))</f>
        <v/>
      </c>
      <c r="AZ32" s="165" t="str" cm="1">
        <f t="array" ref="AZ32">IF($B32="","",_xll.SNL.Clients.Office.Excel.Functions.SPG($B32,"IQ_TOTAL_DEBT","FQ0",$F$2,"Options:Curr="&amp;$F$3&amp;", Mag=Millions, NA=--"))</f>
        <v/>
      </c>
      <c r="BA32" s="165" t="str" cm="1">
        <f t="array" ref="BA32">IF($B32="","",_xll.SNL.Clients.Office.Excel.Functions.SPG($B32,"IQ_CASH_ST_INVEST","FQ0",$F$2,"Options:Curr="&amp;$F$3&amp;", Mag=Millions, NA=--"))</f>
        <v/>
      </c>
      <c r="BB32" s="165" t="e">
        <f t="shared" si="30"/>
        <v>#VALUE!</v>
      </c>
      <c r="BC32" s="165" t="str" cm="1">
        <f t="array" ref="BC32">IF($B32="","",_xll.SNL.Clients.Office.Excel.Functions.SPG($B32,"IQ_TOTAL_EQUITY","FQ0",$F$2,"Options:Curr="&amp;$F$3&amp;", Mag=Millions, NA=--"))</f>
        <v/>
      </c>
      <c r="BD32" s="167"/>
      <c r="BE32" s="170" t="str">
        <f>IF($B32="","",IFERROR(_xll.SNL.Clients.Office.Excel.Functions.SPG($B32,"SP_GROSS_MARGIN",BE$7,$F$2,"Options: NA=--")/100,"--"))</f>
        <v/>
      </c>
      <c r="BF32" s="170" t="str">
        <f>IF($B32="","",IFERROR(_xll.SNL.Clients.Office.Excel.Functions.SPG($B32,"SP_GROSS_MARGIN_EST",BF$7,$F$2,"Options: NA=--")/100,"--"))</f>
        <v/>
      </c>
      <c r="BG32" s="170" t="str">
        <f>IF($B32="","",IFERROR(_xll.SNL.Clients.Office.Excel.Functions.SPG($B32,"SP_GROSS_MARGIN_EST",BG$7,$F$2,"Options: NA=--")/100,"--"))</f>
        <v/>
      </c>
      <c r="BH32" s="170" t="str">
        <f>IF($B32="","",IFERROR(_xll.SNL.Clients.Office.Excel.Functions.SPG($B32,"SP_GROSS_MARGIN_EST",BH$7,$F$2,"Options: NA=--")/100,"--"))</f>
        <v/>
      </c>
    </row>
    <row r="33" spans="2:60" s="135" customFormat="1" ht="14.5" customHeight="1" x14ac:dyDescent="0.4">
      <c r="B33" s="156"/>
      <c r="D33" s="135" t="str" cm="1">
        <f t="array" ref="D33">IF($B33="","",_xll.SNL.Clients.Office.Excel.Functions.SPG($B33, "SP_COMPANY_NAME"))</f>
        <v/>
      </c>
      <c r="G33" s="171" t="str" cm="1">
        <f t="array" ref="G33">IF($B33="","",_xll.SNL.Clients.Office.Excel.Functions.SPG($B33,"SP_LASTSALEPRICE",WORKDAY($F$2+1,-1),"Options:Curr="&amp;I33&amp;",NA=--"))</f>
        <v/>
      </c>
      <c r="H33" s="158" t="str" cm="1">
        <f t="array" ref="H33">IF($B33="","",_xll.SNL.Clients.Office.Excel.Functions.SPG($B33,"SP_PRICE_CLOSE",WORKDAY($F$2+1,-1),"Options:Curr="&amp;$F$3&amp;", NA=--"))</f>
        <v/>
      </c>
      <c r="I33" s="159" t="str" cm="1">
        <f t="array" ref="I33">IF($B33="","",_xll.SNL.Clients.Office.Excel.Functions.SPG($B33,"SP_TRADING_CURRENCY","Options: NA=--"))</f>
        <v/>
      </c>
      <c r="J33" s="160" t="str" cm="1">
        <f t="array" ref="J33">IF($B33="","n/a ",_xll.SNL.Clients.Office.Excel.Functions.SPG($B33,"SP_MARKETCAP",WORKDAY($F$2+1,-1),"Options:Curr="&amp;$F$3&amp;", Mag=Millions, NA=--"))</f>
        <v xml:space="preserve">n/a </v>
      </c>
      <c r="K33" s="160" t="str" cm="1">
        <f t="array" ref="K33">IF($B33="","n/a ",_xll.SNL.Clients.Office.Excel.Functions.SPG($B33,"IQ_TEV",WORKDAY($F$2+1,-1),"Options:Curr="&amp;$F$3&amp;", Mag=Millions, NA=--"))</f>
        <v xml:space="preserve">n/a </v>
      </c>
      <c r="L33" s="161" t="str">
        <f t="shared" si="22"/>
        <v xml:space="preserve">n/a </v>
      </c>
      <c r="M33" s="161" t="str">
        <f t="shared" si="22"/>
        <v xml:space="preserve">n/a </v>
      </c>
      <c r="N33" s="161" t="str">
        <f t="shared" si="22"/>
        <v xml:space="preserve">n/a </v>
      </c>
      <c r="O33" s="161" t="str">
        <f t="shared" si="23"/>
        <v xml:space="preserve">n/a </v>
      </c>
      <c r="P33" s="161" t="str">
        <f t="shared" si="23"/>
        <v xml:space="preserve">n/a </v>
      </c>
      <c r="Q33" s="161" t="str">
        <f t="shared" si="23"/>
        <v xml:space="preserve">n/a </v>
      </c>
      <c r="R33" s="162" t="str">
        <f t="shared" si="24"/>
        <v xml:space="preserve">n/a </v>
      </c>
      <c r="S33" s="162" t="str">
        <f t="shared" si="24"/>
        <v xml:space="preserve">n/a </v>
      </c>
      <c r="T33" s="162"/>
      <c r="U33" s="161" t="str">
        <f t="shared" si="25"/>
        <v xml:space="preserve">n/a </v>
      </c>
      <c r="V33" s="161" t="str">
        <f t="shared" si="26"/>
        <v xml:space="preserve">n/a </v>
      </c>
      <c r="W33" s="161" t="str">
        <f t="shared" si="26"/>
        <v xml:space="preserve">n/a </v>
      </c>
      <c r="X33" s="163" t="str">
        <f t="shared" si="27"/>
        <v xml:space="preserve">n/a </v>
      </c>
      <c r="Y33" s="161" t="str">
        <f t="shared" si="28"/>
        <v xml:space="preserve">n/a </v>
      </c>
      <c r="Z33" s="161" t="str">
        <f t="shared" si="29"/>
        <v xml:space="preserve">n/a </v>
      </c>
      <c r="AA33" s="164"/>
      <c r="AC33" s="165" t="str" cm="1">
        <f t="array" ref="AC33">IF($B33="","",_xll.SNL.Clients.Office.Excel.Functions.SPG($B33,"IQ_REV",AC$7,$F$2,"Options:Curr="&amp;$F$3&amp;", Mag=Millions, NA=--"))</f>
        <v/>
      </c>
      <c r="AD33" s="165" t="str" cm="1">
        <f t="array" ref="AD33">IF($B33="","",_xll.SNL.Clients.Office.Excel.Functions.SPG($B33,"SP_REV_EST",AD$7,$F$2,"Options:Curr="&amp;$F$3&amp;", Mag=Millions, NA=--"))</f>
        <v/>
      </c>
      <c r="AE33" s="165" t="str" cm="1">
        <f t="array" ref="AE33">IF($B33="","",_xll.SNL.Clients.Office.Excel.Functions.SPG($B33,"SP_REV_EST",AE$7,$F$2,"Options:Curr="&amp;$F$3&amp;", Mag=Millions, NA=--"))</f>
        <v/>
      </c>
      <c r="AF33" s="165" t="str" cm="1">
        <f t="array" ref="AF33">IF($B33="","",_xll.SNL.Clients.Office.Excel.Functions.SPG($B33,"SP_REV_EST",AF$7,$F$2,"Options:Curr="&amp;$F$3&amp;", Mag=Millions, NA=--"))</f>
        <v/>
      </c>
      <c r="AG33" s="166"/>
      <c r="AH33" s="165" t="str" cm="1">
        <f t="array" ref="AH33">IF($B33="","",_xll.SNL.Clients.Office.Excel.Functions.SPG($B33,"SP_EBITDA",AH$7,$F$2,"Options:Curr="&amp;$F$3&amp;", Mag=Millions, NA=--"))</f>
        <v/>
      </c>
      <c r="AI33" s="165" t="str" cm="1">
        <f t="array" ref="AI33">IF($B33="","",_xll.SNL.Clients.Office.Excel.Functions.SPG($B33,"SP_EBITDA_EST",AI$7,$F$2,"Options:Curr="&amp;$F$3&amp;", Mag=Millions, NA=--"))</f>
        <v/>
      </c>
      <c r="AJ33" s="165" t="str" cm="1">
        <f t="array" ref="AJ33">IF($B33="","",_xll.SNL.Clients.Office.Excel.Functions.SPG($B33,"SP_EBITDA_EST",AJ$7,$F$2,"Options:Curr="&amp;$F$3&amp;", Mag=Millions, NA=--"))</f>
        <v/>
      </c>
      <c r="AK33" s="165" t="str" cm="1">
        <f t="array" ref="AK33">IF($B33="","",_xll.SNL.Clients.Office.Excel.Functions.SPG($B33,"SP_EBITDA_EST",AK$7,$F$2,"Options:Curr="&amp;$F$3&amp;", Mag=Millions, NA=--"))</f>
        <v/>
      </c>
      <c r="AL33" s="167"/>
      <c r="AM33" s="168" t="str" cm="1">
        <f t="array" ref="AM33">IF($B33="","",_xll.SNL.Clients.Office.Excel.Functions.SPG($B33,"IQ_BASIC_EPS_BEFORE_EXTRA",AM$7,$F$2,"Options:Curr="&amp;$F$3&amp;", NA=--"))</f>
        <v/>
      </c>
      <c r="AN33" s="168" t="str" cm="1">
        <f t="array" ref="AN33">IF($B33="","",_xll.SNL.Clients.Office.Excel.Functions.SPG($B33,"SP_EPS_EST",AN$7,$F$2,"Options:Curr="&amp;$F$3&amp;", NA=--"))</f>
        <v/>
      </c>
      <c r="AO33" s="168" t="str" cm="1">
        <f t="array" ref="AO33">IF($B33="","",_xll.SNL.Clients.Office.Excel.Functions.SPG($B33,"SP_EPS_EST",AO$7,$F$2,"Options:Curr="&amp;$F$3&amp;", NA=--"))</f>
        <v/>
      </c>
      <c r="AP33" s="168" t="str" cm="1">
        <f t="array" ref="AP33">IF($B33="","",_xll.SNL.Clients.Office.Excel.Functions.SPG($B33,"SP_EPS_EST",AP$7,$F$2,"Options:Curr="&amp;$F$3&amp;", NA=--"))</f>
        <v/>
      </c>
      <c r="AQ33" s="167"/>
      <c r="AR33" s="168" t="str" cm="1">
        <f t="array" ref="AR33">IF($B33="","",_xll.SNL.Clients.Office.Excel.Functions.SPG($B33,"IQ_ROE",AR$7,$F$2,"Options:Curr="&amp;$F$3&amp;", NA=--"))</f>
        <v/>
      </c>
      <c r="AS33" s="167"/>
      <c r="AT33" s="168" t="str" cm="1">
        <f t="array" ref="AT33">IF($B33="","",_xll.SNL.Clients.Office.Excel.Functions.SPG($B33,"IQ_BVPS",AT$7,$F$2,"Options:Curr="&amp;$F$3&amp;", NA=--"))</f>
        <v/>
      </c>
      <c r="AU33" s="167"/>
      <c r="AV33" s="168" t="str" cm="1">
        <f t="array" ref="AV33">IF($B33="","",_xll.SNL.Clients.Office.Excel.Functions.SPG($B33,"IQ_TBVPS",AV$7,$F$2,"Options:Curr="&amp;$F$3&amp;", NA=--"))</f>
        <v/>
      </c>
      <c r="AW33" s="167"/>
      <c r="AX33" s="169" t="str" cm="1">
        <f t="array" ref="AX33">IF($B33="","",_xll.SNL.Clients.Office.Excel.Functions.SPG($B33,"SP_DIV_YIELD",WORKDAY($F$2+1,-1),"Options: NA=--"))</f>
        <v/>
      </c>
      <c r="AY33" s="165" t="str" cm="1">
        <f t="array" ref="AY33">IF($B33="","",_xll.SNL.Clients.Office.Excel.Functions.SPG($B33,"IQ_TOTAL_EQUITY","FQ0",$F$2,"Options:Curr="&amp;$F$3&amp;", Mag=Millions, NA=--"))</f>
        <v/>
      </c>
      <c r="AZ33" s="165" t="str" cm="1">
        <f t="array" ref="AZ33">IF($B33="","",_xll.SNL.Clients.Office.Excel.Functions.SPG($B33,"IQ_TOTAL_DEBT","FQ0",$F$2,"Options:Curr="&amp;$F$3&amp;", Mag=Millions, NA=--"))</f>
        <v/>
      </c>
      <c r="BA33" s="165" t="str" cm="1">
        <f t="array" ref="BA33">IF($B33="","",_xll.SNL.Clients.Office.Excel.Functions.SPG($B33,"IQ_CASH_ST_INVEST","FQ0",$F$2,"Options:Curr="&amp;$F$3&amp;", Mag=Millions, NA=--"))</f>
        <v/>
      </c>
      <c r="BB33" s="165" t="e">
        <f t="shared" si="30"/>
        <v>#VALUE!</v>
      </c>
      <c r="BC33" s="165" t="str" cm="1">
        <f t="array" ref="BC33">IF($B33="","",_xll.SNL.Clients.Office.Excel.Functions.SPG($B33,"IQ_TOTAL_EQUITY","FQ0",$F$2,"Options:Curr="&amp;$F$3&amp;", Mag=Millions, NA=--"))</f>
        <v/>
      </c>
      <c r="BD33" s="167"/>
      <c r="BE33" s="170" t="str">
        <f>IF($B33="","",IFERROR(_xll.SNL.Clients.Office.Excel.Functions.SPG($B33,"SP_GROSS_MARGIN",BE$7,$F$2,"Options: NA=--")/100,"--"))</f>
        <v/>
      </c>
      <c r="BF33" s="170" t="str">
        <f>IF($B33="","",IFERROR(_xll.SNL.Clients.Office.Excel.Functions.SPG($B33,"SP_GROSS_MARGIN_EST",BF$7,$F$2,"Options: NA=--")/100,"--"))</f>
        <v/>
      </c>
      <c r="BG33" s="170" t="str">
        <f>IF($B33="","",IFERROR(_xll.SNL.Clients.Office.Excel.Functions.SPG($B33,"SP_GROSS_MARGIN_EST",BG$7,$F$2,"Options: NA=--")/100,"--"))</f>
        <v/>
      </c>
      <c r="BH33" s="170" t="str">
        <f>IF($B33="","",IFERROR(_xll.SNL.Clients.Office.Excel.Functions.SPG($B33,"SP_GROSS_MARGIN_EST",BH$7,$F$2,"Options: NA=--")/100,"--"))</f>
        <v/>
      </c>
    </row>
    <row r="34" spans="2:60" s="135" customFormat="1" ht="14.5" customHeight="1" x14ac:dyDescent="0.4">
      <c r="B34" s="156"/>
      <c r="D34" s="135" t="str" cm="1">
        <f t="array" ref="D34">IF($B34="","",_xll.SNL.Clients.Office.Excel.Functions.SPG($B34, "SP_COMPANY_NAME"))</f>
        <v/>
      </c>
      <c r="G34" s="171" t="str" cm="1">
        <f t="array" ref="G34">IF($B34="","",_xll.SNL.Clients.Office.Excel.Functions.SPG($B34,"SP_LASTSALEPRICE",WORKDAY($F$2+1,-1),"Options:Curr="&amp;I34&amp;",NA=--"))</f>
        <v/>
      </c>
      <c r="H34" s="158" t="str" cm="1">
        <f t="array" ref="H34">IF($B34="","",_xll.SNL.Clients.Office.Excel.Functions.SPG($B34,"SP_PRICE_CLOSE",WORKDAY($F$2+1,-1),"Options:Curr="&amp;$F$3&amp;", NA=--"))</f>
        <v/>
      </c>
      <c r="I34" s="159" t="str" cm="1">
        <f t="array" ref="I34">IF($B34="","",_xll.SNL.Clients.Office.Excel.Functions.SPG($B34,"SP_TRADING_CURRENCY","Options: NA=--"))</f>
        <v/>
      </c>
      <c r="J34" s="160" t="str" cm="1">
        <f t="array" ref="J34">IF($B34="","n/a ",_xll.SNL.Clients.Office.Excel.Functions.SPG($B34,"SP_MARKETCAP",WORKDAY($F$2+1,-1),"Options:Curr="&amp;$F$3&amp;", Mag=Millions, NA=--"))</f>
        <v xml:space="preserve">n/a </v>
      </c>
      <c r="K34" s="160" t="str" cm="1">
        <f t="array" ref="K34">IF($B34="","n/a ",_xll.SNL.Clients.Office.Excel.Functions.SPG($B34,"IQ_TEV",WORKDAY($F$2+1,-1),"Options:Curr="&amp;$F$3&amp;", Mag=Millions, NA=--"))</f>
        <v xml:space="preserve">n/a </v>
      </c>
      <c r="L34" s="161" t="str">
        <f t="shared" si="22"/>
        <v xml:space="preserve">n/a </v>
      </c>
      <c r="M34" s="161" t="str">
        <f t="shared" si="22"/>
        <v xml:space="preserve">n/a </v>
      </c>
      <c r="N34" s="161" t="str">
        <f t="shared" si="22"/>
        <v xml:space="preserve">n/a </v>
      </c>
      <c r="O34" s="161" t="str">
        <f t="shared" si="23"/>
        <v xml:space="preserve">n/a </v>
      </c>
      <c r="P34" s="161" t="str">
        <f t="shared" si="23"/>
        <v xml:space="preserve">n/a </v>
      </c>
      <c r="Q34" s="161" t="str">
        <f t="shared" si="23"/>
        <v xml:space="preserve">n/a </v>
      </c>
      <c r="R34" s="162" t="str">
        <f t="shared" si="24"/>
        <v xml:space="preserve">n/a </v>
      </c>
      <c r="S34" s="162" t="str">
        <f t="shared" si="24"/>
        <v xml:space="preserve">n/a </v>
      </c>
      <c r="T34" s="162"/>
      <c r="U34" s="161" t="str">
        <f t="shared" si="25"/>
        <v xml:space="preserve">n/a </v>
      </c>
      <c r="V34" s="161" t="str">
        <f t="shared" si="26"/>
        <v xml:space="preserve">n/a </v>
      </c>
      <c r="W34" s="161" t="str">
        <f t="shared" si="26"/>
        <v xml:space="preserve">n/a </v>
      </c>
      <c r="X34" s="163" t="str">
        <f t="shared" si="27"/>
        <v xml:space="preserve">n/a </v>
      </c>
      <c r="Y34" s="161" t="str">
        <f t="shared" si="28"/>
        <v xml:space="preserve">n/a </v>
      </c>
      <c r="Z34" s="161" t="str">
        <f t="shared" si="29"/>
        <v xml:space="preserve">n/a </v>
      </c>
      <c r="AA34" s="164"/>
      <c r="AC34" s="165" t="str" cm="1">
        <f t="array" ref="AC34">IF($B34="","",_xll.SNL.Clients.Office.Excel.Functions.SPG($B34,"IQ_REV",AC$7,$F$2,"Options:Curr="&amp;$F$3&amp;", Mag=Millions, NA=--"))</f>
        <v/>
      </c>
      <c r="AD34" s="165" t="str" cm="1">
        <f t="array" ref="AD34">IF($B34="","",_xll.SNL.Clients.Office.Excel.Functions.SPG($B34,"SP_REV_EST",AD$7,$F$2,"Options:Curr="&amp;$F$3&amp;", Mag=Millions, NA=--"))</f>
        <v/>
      </c>
      <c r="AE34" s="165" t="str" cm="1">
        <f t="array" ref="AE34">IF($B34="","",_xll.SNL.Clients.Office.Excel.Functions.SPG($B34,"SP_REV_EST",AE$7,$F$2,"Options:Curr="&amp;$F$3&amp;", Mag=Millions, NA=--"))</f>
        <v/>
      </c>
      <c r="AF34" s="165" t="str" cm="1">
        <f t="array" ref="AF34">IF($B34="","",_xll.SNL.Clients.Office.Excel.Functions.SPG($B34,"SP_REV_EST",AF$7,$F$2,"Options:Curr="&amp;$F$3&amp;", Mag=Millions, NA=--"))</f>
        <v/>
      </c>
      <c r="AG34" s="166"/>
      <c r="AH34" s="165" t="str" cm="1">
        <f t="array" ref="AH34">IF($B34="","",_xll.SNL.Clients.Office.Excel.Functions.SPG($B34,"SP_EBITDA",AH$7,$F$2,"Options:Curr="&amp;$F$3&amp;", Mag=Millions, NA=--"))</f>
        <v/>
      </c>
      <c r="AI34" s="165" t="str" cm="1">
        <f t="array" ref="AI34">IF($B34="","",_xll.SNL.Clients.Office.Excel.Functions.SPG($B34,"SP_EBITDA_EST",AI$7,$F$2,"Options:Curr="&amp;$F$3&amp;", Mag=Millions, NA=--"))</f>
        <v/>
      </c>
      <c r="AJ34" s="165" t="str" cm="1">
        <f t="array" ref="AJ34">IF($B34="","",_xll.SNL.Clients.Office.Excel.Functions.SPG($B34,"SP_EBITDA_EST",AJ$7,$F$2,"Options:Curr="&amp;$F$3&amp;", Mag=Millions, NA=--"))</f>
        <v/>
      </c>
      <c r="AK34" s="165" t="str" cm="1">
        <f t="array" ref="AK34">IF($B34="","",_xll.SNL.Clients.Office.Excel.Functions.SPG($B34,"SP_EBITDA_EST",AK$7,$F$2,"Options:Curr="&amp;$F$3&amp;", Mag=Millions, NA=--"))</f>
        <v/>
      </c>
      <c r="AL34" s="167"/>
      <c r="AM34" s="168" t="str" cm="1">
        <f t="array" ref="AM34">IF($B34="","",_xll.SNL.Clients.Office.Excel.Functions.SPG($B34,"IQ_BASIC_EPS_BEFORE_EXTRA",AM$7,$F$2,"Options:Curr="&amp;$F$3&amp;", NA=--"))</f>
        <v/>
      </c>
      <c r="AN34" s="168" t="str" cm="1">
        <f t="array" ref="AN34">IF($B34="","",_xll.SNL.Clients.Office.Excel.Functions.SPG($B34,"SP_EPS_EST",AN$7,$F$2,"Options:Curr="&amp;$F$3&amp;", NA=--"))</f>
        <v/>
      </c>
      <c r="AO34" s="168" t="str" cm="1">
        <f t="array" ref="AO34">IF($B34="","",_xll.SNL.Clients.Office.Excel.Functions.SPG($B34,"SP_EPS_EST",AO$7,$F$2,"Options:Curr="&amp;$F$3&amp;", NA=--"))</f>
        <v/>
      </c>
      <c r="AP34" s="168" t="str" cm="1">
        <f t="array" ref="AP34">IF($B34="","",_xll.SNL.Clients.Office.Excel.Functions.SPG($B34,"SP_EPS_EST",AP$7,$F$2,"Options:Curr="&amp;$F$3&amp;", NA=--"))</f>
        <v/>
      </c>
      <c r="AQ34" s="167"/>
      <c r="AR34" s="168" t="str" cm="1">
        <f t="array" ref="AR34">IF($B34="","",_xll.SNL.Clients.Office.Excel.Functions.SPG($B34,"IQ_ROE",AR$7,$F$2,"Options:Curr="&amp;$F$3&amp;", NA=--"))</f>
        <v/>
      </c>
      <c r="AS34" s="167"/>
      <c r="AT34" s="168" t="str" cm="1">
        <f t="array" ref="AT34">IF($B34="","",_xll.SNL.Clients.Office.Excel.Functions.SPG($B34,"IQ_BVPS",AT$7,$F$2,"Options:Curr="&amp;$F$3&amp;", NA=--"))</f>
        <v/>
      </c>
      <c r="AU34" s="167"/>
      <c r="AV34" s="168" t="str" cm="1">
        <f t="array" ref="AV34">IF($B34="","",_xll.SNL.Clients.Office.Excel.Functions.SPG($B34,"IQ_TBVPS",AV$7,$F$2,"Options:Curr="&amp;$F$3&amp;", NA=--"))</f>
        <v/>
      </c>
      <c r="AW34" s="167"/>
      <c r="AX34" s="169" t="str" cm="1">
        <f t="array" ref="AX34">IF($B34="","",_xll.SNL.Clients.Office.Excel.Functions.SPG($B34,"SP_DIV_YIELD",WORKDAY($F$2+1,-1),"Options: NA=--"))</f>
        <v/>
      </c>
      <c r="AY34" s="165" t="str" cm="1">
        <f t="array" ref="AY34">IF($B34="","",_xll.SNL.Clients.Office.Excel.Functions.SPG($B34,"IQ_TOTAL_EQUITY","FQ0",$F$2,"Options:Curr="&amp;$F$3&amp;", Mag=Millions, NA=--"))</f>
        <v/>
      </c>
      <c r="AZ34" s="165" t="str" cm="1">
        <f t="array" ref="AZ34">IF($B34="","",_xll.SNL.Clients.Office.Excel.Functions.SPG($B34,"IQ_TOTAL_DEBT","FQ0",$F$2,"Options:Curr="&amp;$F$3&amp;", Mag=Millions, NA=--"))</f>
        <v/>
      </c>
      <c r="BA34" s="165" t="str" cm="1">
        <f t="array" ref="BA34">IF($B34="","",_xll.SNL.Clients.Office.Excel.Functions.SPG($B34,"IQ_CASH_ST_INVEST","FQ0",$F$2,"Options:Curr="&amp;$F$3&amp;", Mag=Millions, NA=--"))</f>
        <v/>
      </c>
      <c r="BB34" s="165" t="e">
        <f t="shared" si="30"/>
        <v>#VALUE!</v>
      </c>
      <c r="BC34" s="165" t="str" cm="1">
        <f t="array" ref="BC34">IF($B34="","",_xll.SNL.Clients.Office.Excel.Functions.SPG($B34,"IQ_TOTAL_EQUITY","FQ0",$F$2,"Options:Curr="&amp;$F$3&amp;", Mag=Millions, NA=--"))</f>
        <v/>
      </c>
      <c r="BD34" s="167"/>
      <c r="BE34" s="170" t="str">
        <f>IF($B34="","",IFERROR(_xll.SNL.Clients.Office.Excel.Functions.SPG($B34,"SP_GROSS_MARGIN",BE$7,$F$2,"Options: NA=--")/100,"--"))</f>
        <v/>
      </c>
      <c r="BF34" s="170" t="str">
        <f>IF($B34="","",IFERROR(_xll.SNL.Clients.Office.Excel.Functions.SPG($B34,"SP_GROSS_MARGIN_EST",BF$7,$F$2,"Options: NA=--")/100,"--"))</f>
        <v/>
      </c>
      <c r="BG34" s="170" t="str">
        <f>IF($B34="","",IFERROR(_xll.SNL.Clients.Office.Excel.Functions.SPG($B34,"SP_GROSS_MARGIN_EST",BG$7,$F$2,"Options: NA=--")/100,"--"))</f>
        <v/>
      </c>
      <c r="BH34" s="170" t="str">
        <f>IF($B34="","",IFERROR(_xll.SNL.Clients.Office.Excel.Functions.SPG($B34,"SP_GROSS_MARGIN_EST",BH$7,$F$2,"Options: NA=--")/100,"--"))</f>
        <v/>
      </c>
    </row>
    <row r="35" spans="2:60" s="135" customFormat="1" ht="14.5" customHeight="1" x14ac:dyDescent="0.4">
      <c r="B35" s="156"/>
      <c r="D35" s="135" t="str" cm="1">
        <f t="array" ref="D35">IF($B35="","",_xll.SNL.Clients.Office.Excel.Functions.SPG($B35, "SP_COMPANY_NAME"))</f>
        <v/>
      </c>
      <c r="G35" s="171" t="str" cm="1">
        <f t="array" ref="G35">IF($B35="","",_xll.SNL.Clients.Office.Excel.Functions.SPG($B35,"SP_LASTSALEPRICE",WORKDAY($F$2+1,-1),"Options:Curr="&amp;I35&amp;",NA=--"))</f>
        <v/>
      </c>
      <c r="H35" s="158" t="str" cm="1">
        <f t="array" ref="H35">IF($B35="","",_xll.SNL.Clients.Office.Excel.Functions.SPG($B35,"SP_PRICE_CLOSE",WORKDAY($F$2+1,-1),"Options:Curr="&amp;$F$3&amp;", NA=--"))</f>
        <v/>
      </c>
      <c r="I35" s="159" t="str" cm="1">
        <f t="array" ref="I35">IF($B35="","",_xll.SNL.Clients.Office.Excel.Functions.SPG($B35,"SP_TRADING_CURRENCY","Options: NA=--"))</f>
        <v/>
      </c>
      <c r="J35" s="160" t="str" cm="1">
        <f t="array" ref="J35">IF($B35="","n/a ",_xll.SNL.Clients.Office.Excel.Functions.SPG($B35,"SP_MARKETCAP",WORKDAY($F$2+1,-1),"Options:Curr="&amp;$F$3&amp;", Mag=Millions, NA=--"))</f>
        <v xml:space="preserve">n/a </v>
      </c>
      <c r="K35" s="160" t="str" cm="1">
        <f t="array" ref="K35">IF($B35="","n/a ",_xll.SNL.Clients.Office.Excel.Functions.SPG($B35,"IQ_TEV",WORKDAY($F$2+1,-1),"Options:Curr="&amp;$F$3&amp;", Mag=Millions, NA=--"))</f>
        <v xml:space="preserve">n/a </v>
      </c>
      <c r="L35" s="161" t="str">
        <f t="shared" si="22"/>
        <v xml:space="preserve">n/a </v>
      </c>
      <c r="M35" s="161" t="str">
        <f t="shared" si="22"/>
        <v xml:space="preserve">n/a </v>
      </c>
      <c r="N35" s="161" t="str">
        <f t="shared" si="22"/>
        <v xml:space="preserve">n/a </v>
      </c>
      <c r="O35" s="161" t="str">
        <f t="shared" si="23"/>
        <v xml:space="preserve">n/a </v>
      </c>
      <c r="P35" s="161" t="str">
        <f t="shared" si="23"/>
        <v xml:space="preserve">n/a </v>
      </c>
      <c r="Q35" s="161" t="str">
        <f t="shared" si="23"/>
        <v xml:space="preserve">n/a </v>
      </c>
      <c r="R35" s="162" t="str">
        <f t="shared" si="24"/>
        <v xml:space="preserve">n/a </v>
      </c>
      <c r="S35" s="162" t="str">
        <f t="shared" si="24"/>
        <v xml:space="preserve">n/a </v>
      </c>
      <c r="T35" s="162"/>
      <c r="U35" s="161" t="str">
        <f t="shared" si="25"/>
        <v xml:space="preserve">n/a </v>
      </c>
      <c r="V35" s="161" t="str">
        <f t="shared" si="26"/>
        <v xml:space="preserve">n/a </v>
      </c>
      <c r="W35" s="161" t="str">
        <f t="shared" si="26"/>
        <v xml:space="preserve">n/a </v>
      </c>
      <c r="X35" s="163" t="str">
        <f t="shared" si="27"/>
        <v xml:space="preserve">n/a </v>
      </c>
      <c r="Y35" s="161" t="str">
        <f t="shared" si="28"/>
        <v xml:space="preserve">n/a </v>
      </c>
      <c r="Z35" s="161" t="str">
        <f t="shared" si="29"/>
        <v xml:space="preserve">n/a </v>
      </c>
      <c r="AA35" s="164"/>
      <c r="AC35" s="165" t="str" cm="1">
        <f t="array" ref="AC35">IF($B35="","",_xll.SNL.Clients.Office.Excel.Functions.SPG($B35,"IQ_REV",AC$7,$F$2,"Options:Curr="&amp;$F$3&amp;", Mag=Millions, NA=--"))</f>
        <v/>
      </c>
      <c r="AD35" s="165" t="str" cm="1">
        <f t="array" ref="AD35">IF($B35="","",_xll.SNL.Clients.Office.Excel.Functions.SPG($B35,"SP_REV_EST",AD$7,$F$2,"Options:Curr="&amp;$F$3&amp;", Mag=Millions, NA=--"))</f>
        <v/>
      </c>
      <c r="AE35" s="165" t="str" cm="1">
        <f t="array" ref="AE35">IF($B35="","",_xll.SNL.Clients.Office.Excel.Functions.SPG($B35,"SP_REV_EST",AE$7,$F$2,"Options:Curr="&amp;$F$3&amp;", Mag=Millions, NA=--"))</f>
        <v/>
      </c>
      <c r="AF35" s="165" t="str" cm="1">
        <f t="array" ref="AF35">IF($B35="","",_xll.SNL.Clients.Office.Excel.Functions.SPG($B35,"SP_REV_EST",AF$7,$F$2,"Options:Curr="&amp;$F$3&amp;", Mag=Millions, NA=--"))</f>
        <v/>
      </c>
      <c r="AG35" s="166"/>
      <c r="AH35" s="165" t="str" cm="1">
        <f t="array" ref="AH35">IF($B35="","",_xll.SNL.Clients.Office.Excel.Functions.SPG($B35,"SP_EBITDA",AH$7,$F$2,"Options:Curr="&amp;$F$3&amp;", Mag=Millions, NA=--"))</f>
        <v/>
      </c>
      <c r="AI35" s="165" t="str" cm="1">
        <f t="array" ref="AI35">IF($B35="","",_xll.SNL.Clients.Office.Excel.Functions.SPG($B35,"SP_EBITDA_EST",AI$7,$F$2,"Options:Curr="&amp;$F$3&amp;", Mag=Millions, NA=--"))</f>
        <v/>
      </c>
      <c r="AJ35" s="165" t="str" cm="1">
        <f t="array" ref="AJ35">IF($B35="","",_xll.SNL.Clients.Office.Excel.Functions.SPG($B35,"SP_EBITDA_EST",AJ$7,$F$2,"Options:Curr="&amp;$F$3&amp;", Mag=Millions, NA=--"))</f>
        <v/>
      </c>
      <c r="AK35" s="165" t="str" cm="1">
        <f t="array" ref="AK35">IF($B35="","",_xll.SNL.Clients.Office.Excel.Functions.SPG($B35,"SP_EBITDA_EST",AK$7,$F$2,"Options:Curr="&amp;$F$3&amp;", Mag=Millions, NA=--"))</f>
        <v/>
      </c>
      <c r="AL35" s="167"/>
      <c r="AM35" s="168" t="str" cm="1">
        <f t="array" ref="AM35">IF($B35="","",_xll.SNL.Clients.Office.Excel.Functions.SPG($B35,"IQ_BASIC_EPS_BEFORE_EXTRA",AM$7,$F$2,"Options:Curr="&amp;$F$3&amp;", NA=--"))</f>
        <v/>
      </c>
      <c r="AN35" s="168" t="str" cm="1">
        <f t="array" ref="AN35">IF($B35="","",_xll.SNL.Clients.Office.Excel.Functions.SPG($B35,"SP_EPS_EST",AN$7,$F$2,"Options:Curr="&amp;$F$3&amp;", NA=--"))</f>
        <v/>
      </c>
      <c r="AO35" s="168" t="str" cm="1">
        <f t="array" ref="AO35">IF($B35="","",_xll.SNL.Clients.Office.Excel.Functions.SPG($B35,"SP_EPS_EST",AO$7,$F$2,"Options:Curr="&amp;$F$3&amp;", NA=--"))</f>
        <v/>
      </c>
      <c r="AP35" s="168" t="str" cm="1">
        <f t="array" ref="AP35">IF($B35="","",_xll.SNL.Clients.Office.Excel.Functions.SPG($B35,"SP_EPS_EST",AP$7,$F$2,"Options:Curr="&amp;$F$3&amp;", NA=--"))</f>
        <v/>
      </c>
      <c r="AQ35" s="167"/>
      <c r="AR35" s="168" t="str" cm="1">
        <f t="array" ref="AR35">IF($B35="","",_xll.SNL.Clients.Office.Excel.Functions.SPG($B35,"IQ_ROE",AR$7,$F$2,"Options:Curr="&amp;$F$3&amp;", NA=--"))</f>
        <v/>
      </c>
      <c r="AS35" s="167"/>
      <c r="AT35" s="168" t="str" cm="1">
        <f t="array" ref="AT35">IF($B35="","",_xll.SNL.Clients.Office.Excel.Functions.SPG($B35,"IQ_BVPS",AT$7,$F$2,"Options:Curr="&amp;$F$3&amp;", NA=--"))</f>
        <v/>
      </c>
      <c r="AU35" s="167"/>
      <c r="AV35" s="168" t="str" cm="1">
        <f t="array" ref="AV35">IF($B35="","",_xll.SNL.Clients.Office.Excel.Functions.SPG($B35,"IQ_TBVPS",AV$7,$F$2,"Options:Curr="&amp;$F$3&amp;", NA=--"))</f>
        <v/>
      </c>
      <c r="AW35" s="167"/>
      <c r="AX35" s="169" t="str" cm="1">
        <f t="array" ref="AX35">IF($B35="","",_xll.SNL.Clients.Office.Excel.Functions.SPG($B35,"SP_DIV_YIELD",WORKDAY($F$2+1,-1),"Options: NA=--"))</f>
        <v/>
      </c>
      <c r="AY35" s="165" t="str" cm="1">
        <f t="array" ref="AY35">IF($B35="","",_xll.SNL.Clients.Office.Excel.Functions.SPG($B35,"IQ_TOTAL_EQUITY","FQ0",$F$2,"Options:Curr="&amp;$F$3&amp;", Mag=Millions, NA=--"))</f>
        <v/>
      </c>
      <c r="AZ35" s="165" t="str" cm="1">
        <f t="array" ref="AZ35">IF($B35="","",_xll.SNL.Clients.Office.Excel.Functions.SPG($B35,"IQ_TOTAL_DEBT","FQ0",$F$2,"Options:Curr="&amp;$F$3&amp;", Mag=Millions, NA=--"))</f>
        <v/>
      </c>
      <c r="BA35" s="165" t="str" cm="1">
        <f t="array" ref="BA35">IF($B35="","",_xll.SNL.Clients.Office.Excel.Functions.SPG($B35,"IQ_CASH_ST_INVEST","FQ0",$F$2,"Options:Curr="&amp;$F$3&amp;", Mag=Millions, NA=--"))</f>
        <v/>
      </c>
      <c r="BB35" s="165" t="e">
        <f t="shared" si="30"/>
        <v>#VALUE!</v>
      </c>
      <c r="BC35" s="165" t="str" cm="1">
        <f t="array" ref="BC35">IF($B35="","",_xll.SNL.Clients.Office.Excel.Functions.SPG($B35,"IQ_TOTAL_EQUITY","FQ0",$F$2,"Options:Curr="&amp;$F$3&amp;", Mag=Millions, NA=--"))</f>
        <v/>
      </c>
      <c r="BD35" s="167"/>
      <c r="BE35" s="170" t="str">
        <f>IF($B35="","",IFERROR(_xll.SNL.Clients.Office.Excel.Functions.SPG($B35,"SP_GROSS_MARGIN",BE$7,$F$2,"Options: NA=--")/100,"--"))</f>
        <v/>
      </c>
      <c r="BF35" s="170" t="str">
        <f>IF($B35="","",IFERROR(_xll.SNL.Clients.Office.Excel.Functions.SPG($B35,"SP_GROSS_MARGIN_EST",BF$7,$F$2,"Options: NA=--")/100,"--"))</f>
        <v/>
      </c>
      <c r="BG35" s="170" t="str">
        <f>IF($B35="","",IFERROR(_xll.SNL.Clients.Office.Excel.Functions.SPG($B35,"SP_GROSS_MARGIN_EST",BG$7,$F$2,"Options: NA=--")/100,"--"))</f>
        <v/>
      </c>
      <c r="BH35" s="170" t="str">
        <f>IF($B35="","",IFERROR(_xll.SNL.Clients.Office.Excel.Functions.SPG($B35,"SP_GROSS_MARGIN_EST",BH$7,$F$2,"Options: NA=--")/100,"--"))</f>
        <v/>
      </c>
    </row>
    <row r="36" spans="2:60" s="135" customFormat="1" ht="3" customHeight="1" x14ac:dyDescent="0.4">
      <c r="B36" s="172"/>
      <c r="G36" s="173"/>
      <c r="H36" s="173"/>
      <c r="I36" s="159"/>
      <c r="J36" s="174"/>
      <c r="K36" s="175"/>
      <c r="L36" s="175"/>
      <c r="M36" s="161"/>
      <c r="N36" s="161"/>
      <c r="O36" s="161"/>
      <c r="P36" s="161"/>
      <c r="Q36" s="161"/>
      <c r="R36" s="176"/>
      <c r="S36" s="176"/>
      <c r="T36" s="176"/>
      <c r="U36" s="161"/>
      <c r="V36" s="161"/>
      <c r="W36" s="161"/>
      <c r="X36" s="161"/>
      <c r="Y36" s="161"/>
      <c r="Z36" s="161"/>
      <c r="AA36" s="176"/>
      <c r="AC36" s="191"/>
      <c r="AD36" s="158"/>
      <c r="AE36" s="158"/>
      <c r="AF36" s="158"/>
      <c r="AI36" s="192"/>
      <c r="AJ36" s="192"/>
      <c r="AK36" s="192"/>
      <c r="AM36" s="158"/>
      <c r="AN36" s="158"/>
      <c r="AO36" s="158"/>
      <c r="AP36" s="158"/>
      <c r="AX36" s="191"/>
      <c r="AY36" s="191"/>
      <c r="AZ36" s="191"/>
      <c r="BA36" s="191"/>
      <c r="BB36" s="191"/>
      <c r="BC36" s="191"/>
      <c r="BF36" s="193"/>
      <c r="BG36" s="193"/>
      <c r="BH36" s="193"/>
    </row>
    <row r="37" spans="2:60" s="135" customFormat="1" ht="14.5" customHeight="1" x14ac:dyDescent="0.4">
      <c r="B37" s="190"/>
      <c r="D37" s="180" t="s">
        <v>100</v>
      </c>
      <c r="E37" s="180"/>
      <c r="F37" s="180"/>
      <c r="G37" s="180"/>
      <c r="H37" s="180"/>
      <c r="I37" s="180"/>
      <c r="J37" s="182"/>
      <c r="K37" s="182"/>
      <c r="L37" s="183" t="str">
        <f>IFERROR(AVERAGE(L30:L35),"n/a ")</f>
        <v xml:space="preserve">n/a </v>
      </c>
      <c r="M37" s="183" t="str">
        <f>IFERROR(AVERAGE(M30:M35),"n/a ")</f>
        <v xml:space="preserve">n/a </v>
      </c>
      <c r="N37" s="184" t="str">
        <f>IFERROR(AVERAGE(N30:N35),"n/a ")</f>
        <v xml:space="preserve">n/a </v>
      </c>
      <c r="O37" s="184" t="str">
        <f t="shared" ref="O37:Z37" si="31">IFERROR(AVERAGE(O30:O35),"n/a ")</f>
        <v xml:space="preserve">n/a </v>
      </c>
      <c r="P37" s="184" t="str">
        <f t="shared" si="31"/>
        <v xml:space="preserve">n/a </v>
      </c>
      <c r="Q37" s="184" t="str">
        <f t="shared" si="31"/>
        <v xml:space="preserve">n/a </v>
      </c>
      <c r="R37" s="185" t="str">
        <f t="shared" si="31"/>
        <v xml:space="preserve">n/a </v>
      </c>
      <c r="S37" s="185" t="str">
        <f t="shared" si="31"/>
        <v xml:space="preserve">n/a </v>
      </c>
      <c r="T37" s="185"/>
      <c r="U37" s="184" t="str">
        <f t="shared" si="31"/>
        <v xml:space="preserve">n/a </v>
      </c>
      <c r="V37" s="184" t="str">
        <f t="shared" si="31"/>
        <v xml:space="preserve">n/a </v>
      </c>
      <c r="W37" s="184" t="str">
        <f t="shared" si="31"/>
        <v xml:space="preserve">n/a </v>
      </c>
      <c r="X37" s="186" t="str">
        <f t="shared" si="31"/>
        <v xml:space="preserve">n/a </v>
      </c>
      <c r="Y37" s="183" t="str">
        <f t="shared" si="31"/>
        <v xml:space="preserve">n/a </v>
      </c>
      <c r="Z37" s="183" t="str">
        <f t="shared" si="31"/>
        <v xml:space="preserve">n/a </v>
      </c>
      <c r="AA37" s="185"/>
      <c r="BF37" s="193"/>
      <c r="BG37" s="193"/>
      <c r="BH37" s="193"/>
    </row>
    <row r="38" spans="2:60" s="135" customFormat="1" ht="3" customHeight="1" x14ac:dyDescent="0.4">
      <c r="B38" s="190"/>
      <c r="D38" s="194"/>
      <c r="E38" s="194"/>
      <c r="F38" s="194"/>
      <c r="G38" s="194"/>
      <c r="H38" s="194"/>
      <c r="I38" s="194"/>
      <c r="J38" s="195"/>
      <c r="K38" s="195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BF38" s="193"/>
      <c r="BG38" s="193"/>
      <c r="BH38" s="193"/>
    </row>
    <row r="39" spans="2:60" s="197" customFormat="1" ht="14.5" customHeight="1" x14ac:dyDescent="0.4">
      <c r="B39" s="196"/>
      <c r="D39" s="198" t="s">
        <v>103</v>
      </c>
      <c r="E39" s="198"/>
      <c r="F39" s="198"/>
      <c r="G39" s="198"/>
      <c r="H39" s="198"/>
      <c r="I39" s="198"/>
      <c r="J39" s="198"/>
      <c r="K39" s="198"/>
      <c r="L39" s="199" t="str">
        <f>IFERROR(AVERAGE(L10:L15,L20:L25,L30:L35),"n/a ")</f>
        <v xml:space="preserve">n/a </v>
      </c>
      <c r="M39" s="199" t="str">
        <f t="shared" ref="M39:S39" si="32">IFERROR(AVERAGE(M10:M15,M20:M25,M30:M35),"n/a ")</f>
        <v xml:space="preserve">n/a </v>
      </c>
      <c r="N39" s="199" t="str">
        <f t="shared" si="32"/>
        <v xml:space="preserve">n/a </v>
      </c>
      <c r="O39" s="199" t="str">
        <f t="shared" si="32"/>
        <v xml:space="preserve">n/a </v>
      </c>
      <c r="P39" s="199" t="str">
        <f t="shared" si="32"/>
        <v xml:space="preserve">n/a </v>
      </c>
      <c r="Q39" s="199" t="str">
        <f t="shared" si="32"/>
        <v xml:space="preserve">n/a </v>
      </c>
      <c r="R39" s="200" t="str">
        <f t="shared" si="32"/>
        <v xml:space="preserve">n/a </v>
      </c>
      <c r="S39" s="200" t="str">
        <f t="shared" si="32"/>
        <v xml:space="preserve">n/a </v>
      </c>
      <c r="T39" s="200"/>
      <c r="U39" s="199" t="str">
        <f t="shared" ref="U39:Z39" si="33">IFERROR(AVERAGE(U10:U15,U20:U25,U30:U35),"n/a ")</f>
        <v xml:space="preserve">n/a </v>
      </c>
      <c r="V39" s="199" t="str">
        <f t="shared" si="33"/>
        <v xml:space="preserve">n/a </v>
      </c>
      <c r="W39" s="199" t="str">
        <f t="shared" si="33"/>
        <v xml:space="preserve">n/a </v>
      </c>
      <c r="X39" s="199" t="str">
        <f t="shared" si="33"/>
        <v xml:space="preserve">n/a </v>
      </c>
      <c r="Y39" s="199" t="str">
        <f t="shared" si="33"/>
        <v xml:space="preserve">n/a </v>
      </c>
      <c r="Z39" s="199" t="str">
        <f t="shared" si="33"/>
        <v xml:space="preserve">n/a </v>
      </c>
      <c r="AA39" s="201"/>
      <c r="BF39" s="202"/>
      <c r="BG39" s="202"/>
      <c r="BH39" s="202"/>
    </row>
    <row r="40" spans="2:60" s="197" customFormat="1" ht="14.5" hidden="1" customHeight="1" outlineLevel="1" x14ac:dyDescent="0.4">
      <c r="B40" s="196"/>
      <c r="D40" s="203" t="s">
        <v>104</v>
      </c>
      <c r="E40" s="203"/>
      <c r="F40" s="203"/>
      <c r="G40" s="203"/>
      <c r="H40" s="203"/>
      <c r="I40" s="203"/>
      <c r="J40" s="203"/>
      <c r="K40" s="203"/>
      <c r="L40" s="204">
        <f t="shared" ref="L40:S40" si="34">+IFERROR((SUM(L20:L25,L10:L15)-MAX(L10:L15,L20:L25)-MIN(L10:L15,L20:L25))/(COUNT(L20:L25,L10:L15)-2),"n/a ")</f>
        <v>0</v>
      </c>
      <c r="M40" s="204">
        <f t="shared" si="34"/>
        <v>0</v>
      </c>
      <c r="N40" s="204">
        <f t="shared" si="34"/>
        <v>0</v>
      </c>
      <c r="O40" s="204">
        <f t="shared" si="34"/>
        <v>0</v>
      </c>
      <c r="P40" s="204">
        <f t="shared" si="34"/>
        <v>0</v>
      </c>
      <c r="Q40" s="204">
        <f t="shared" si="34"/>
        <v>0</v>
      </c>
      <c r="R40" s="205">
        <f t="shared" si="34"/>
        <v>0</v>
      </c>
      <c r="S40" s="205">
        <f t="shared" si="34"/>
        <v>0</v>
      </c>
      <c r="T40" s="205"/>
      <c r="U40" s="204">
        <f t="shared" ref="U40:Z40" si="35">+IFERROR((SUM(U20:U25,U10:U15)-MAX(U10:U15,U20:U25)-MIN(U10:U15,U20:U25))/(COUNT(U20:U25,U10:U15)-2),"n/a ")</f>
        <v>0</v>
      </c>
      <c r="V40" s="204">
        <f t="shared" si="35"/>
        <v>0</v>
      </c>
      <c r="W40" s="204">
        <f t="shared" si="35"/>
        <v>0</v>
      </c>
      <c r="X40" s="204">
        <f t="shared" si="35"/>
        <v>0</v>
      </c>
      <c r="Y40" s="204">
        <f t="shared" si="35"/>
        <v>0</v>
      </c>
      <c r="Z40" s="204">
        <f t="shared" si="35"/>
        <v>0</v>
      </c>
      <c r="AA40" s="206"/>
      <c r="BF40" s="202"/>
      <c r="BG40" s="202"/>
      <c r="BH40" s="202"/>
    </row>
    <row r="41" spans="2:60" s="197" customFormat="1" ht="14.5" customHeight="1" collapsed="1" x14ac:dyDescent="0.4">
      <c r="B41" s="196"/>
      <c r="D41" s="207" t="s">
        <v>105</v>
      </c>
      <c r="E41" s="207"/>
      <c r="F41" s="207"/>
      <c r="G41" s="207"/>
      <c r="H41" s="207"/>
      <c r="I41" s="207"/>
      <c r="J41" s="207"/>
      <c r="K41" s="207"/>
      <c r="L41" s="208" t="str">
        <f>IFERROR(MEDIAN(L20:L25,L10:L15,L30:L35),"n/a ")</f>
        <v xml:space="preserve">n/a </v>
      </c>
      <c r="M41" s="208" t="str">
        <f t="shared" ref="M41:S41" si="36">IFERROR(MEDIAN(M20:M25,M10:M15,M30:M35),"n/a ")</f>
        <v xml:space="preserve">n/a </v>
      </c>
      <c r="N41" s="208" t="str">
        <f t="shared" si="36"/>
        <v xml:space="preserve">n/a </v>
      </c>
      <c r="O41" s="208" t="str">
        <f t="shared" si="36"/>
        <v xml:space="preserve">n/a </v>
      </c>
      <c r="P41" s="208" t="str">
        <f t="shared" si="36"/>
        <v xml:space="preserve">n/a </v>
      </c>
      <c r="Q41" s="208" t="str">
        <f t="shared" si="36"/>
        <v xml:space="preserve">n/a </v>
      </c>
      <c r="R41" s="209" t="str">
        <f t="shared" si="36"/>
        <v xml:space="preserve">n/a </v>
      </c>
      <c r="S41" s="209" t="str">
        <f t="shared" si="36"/>
        <v xml:space="preserve">n/a </v>
      </c>
      <c r="T41" s="209"/>
      <c r="U41" s="208" t="str">
        <f t="shared" ref="U41:Z41" si="37">IFERROR(MEDIAN(U20:U25,U10:U15,U30:U35),"n/a ")</f>
        <v xml:space="preserve">n/a </v>
      </c>
      <c r="V41" s="208" t="str">
        <f t="shared" si="37"/>
        <v xml:space="preserve">n/a </v>
      </c>
      <c r="W41" s="208" t="str">
        <f t="shared" si="37"/>
        <v xml:space="preserve">n/a </v>
      </c>
      <c r="X41" s="208" t="str">
        <f t="shared" si="37"/>
        <v xml:space="preserve">n/a </v>
      </c>
      <c r="Y41" s="208" t="str">
        <f t="shared" si="37"/>
        <v xml:space="preserve">n/a </v>
      </c>
      <c r="Z41" s="208" t="str">
        <f t="shared" si="37"/>
        <v xml:space="preserve">n/a </v>
      </c>
      <c r="AA41" s="210"/>
      <c r="BF41" s="202"/>
      <c r="BG41" s="202"/>
      <c r="BH41" s="202"/>
    </row>
    <row r="42" spans="2:60" s="135" customFormat="1" ht="3" customHeight="1" x14ac:dyDescent="0.4">
      <c r="B42" s="190"/>
      <c r="J42" s="188"/>
      <c r="K42" s="188"/>
      <c r="L42" s="188"/>
      <c r="BF42" s="193"/>
      <c r="BG42" s="193"/>
      <c r="BH42" s="193"/>
    </row>
    <row r="43" spans="2:60" ht="14.5" customHeight="1" x14ac:dyDescent="0.6">
      <c r="D43" s="211" t="s">
        <v>106</v>
      </c>
      <c r="E43" s="212"/>
      <c r="F43" s="213"/>
      <c r="G43" s="213"/>
      <c r="H43" s="213"/>
      <c r="I43" s="213"/>
      <c r="J43" s="213"/>
      <c r="K43" s="213"/>
      <c r="L43" s="213" t="e">
        <f>_xlfn.PERCENTILE.INC((L10:L15,L20:L25,L30:L35),0.25)</f>
        <v>#NUM!</v>
      </c>
      <c r="M43" s="213" t="e">
        <f>_xlfn.PERCENTILE.INC((M10:M15,M20:M25,M30:M35),0.25)</f>
        <v>#NUM!</v>
      </c>
      <c r="N43" s="213" t="e">
        <f>_xlfn.PERCENTILE.INC((N10:N15,N20:N25,N30:N35),0.25)</f>
        <v>#NUM!</v>
      </c>
      <c r="O43" s="213" t="e">
        <f>_xlfn.PERCENTILE.INC((O10:O15,O20:O25,O30:O35),0.25)</f>
        <v>#NUM!</v>
      </c>
      <c r="P43" s="213" t="e">
        <f>_xlfn.PERCENTILE.INC((P10:P15,P20:P25,P30:P35),0.25)</f>
        <v>#NUM!</v>
      </c>
      <c r="Q43" s="213" t="e">
        <f>_xlfn.PERCENTILE.INC((Q10:Q15,Q20:Q25,Q30:Q35),0.25)</f>
        <v>#NUM!</v>
      </c>
      <c r="R43" s="214" t="e">
        <f>_xlfn.PERCENTILE.INC((R10:R15,R20:R25,R30:R35),0.25)</f>
        <v>#NUM!</v>
      </c>
      <c r="S43" s="214" t="e">
        <f>_xlfn.PERCENTILE.INC((S10:S15,S20:S25,S30:S35),0.25)</f>
        <v>#NUM!</v>
      </c>
      <c r="T43" s="213"/>
      <c r="U43" s="213" t="e">
        <f>_xlfn.PERCENTILE.INC((U10:U15,U20:U25,U30:U35),0.25)</f>
        <v>#NUM!</v>
      </c>
      <c r="V43" s="213" t="e">
        <f>_xlfn.PERCENTILE.INC((V10:V15,V20:V25,V30:V35),0.25)</f>
        <v>#NUM!</v>
      </c>
      <c r="W43" s="213" t="e">
        <f>_xlfn.PERCENTILE.INC((W10:W15,W20:W25,W30:W35),0.25)</f>
        <v>#NUM!</v>
      </c>
      <c r="X43" s="214" t="e">
        <f>_xlfn.PERCENTILE.INC((X10:X15,X20:X25,X30:X35),0.25)</f>
        <v>#NUM!</v>
      </c>
      <c r="Y43" s="213" t="e">
        <f>_xlfn.PERCENTILE.INC((Y10:Y15,Y20:Y25,Y30:Y35),0.25)</f>
        <v>#NUM!</v>
      </c>
      <c r="Z43" s="213" t="e">
        <f>_xlfn.PERCENTILE.INC((Z10:Z15,Z20:Z25,Z30:Z35),0.25)</f>
        <v>#NUM!</v>
      </c>
      <c r="AA43" s="213"/>
    </row>
    <row r="44" spans="2:60" ht="14.5" customHeight="1" x14ac:dyDescent="0.6">
      <c r="D44" s="211" t="s">
        <v>107</v>
      </c>
      <c r="E44" s="212"/>
      <c r="F44" s="213"/>
      <c r="G44" s="213"/>
      <c r="H44" s="213"/>
      <c r="I44" s="213"/>
      <c r="J44" s="213"/>
      <c r="K44" s="213"/>
      <c r="L44" s="213" t="e">
        <f>_xlfn.PERCENTILE.INC((L10:L15,L20:L25,L30:L35),0.75)</f>
        <v>#NUM!</v>
      </c>
      <c r="M44" s="213" t="e">
        <f>_xlfn.PERCENTILE.INC((M10:M15,M20:M25,M30:M35),0.75)</f>
        <v>#NUM!</v>
      </c>
      <c r="N44" s="213" t="e">
        <f>_xlfn.PERCENTILE.INC((N10:N15,N20:N25,N30:N35),0.75)</f>
        <v>#NUM!</v>
      </c>
      <c r="O44" s="213" t="e">
        <f>_xlfn.PERCENTILE.INC((O10:O15,O20:O25,O30:O35),0.75)</f>
        <v>#NUM!</v>
      </c>
      <c r="P44" s="213" t="e">
        <f>_xlfn.PERCENTILE.INC((P10:P15,P20:P25,P30:P35),0.75)</f>
        <v>#NUM!</v>
      </c>
      <c r="Q44" s="213" t="e">
        <f>_xlfn.PERCENTILE.INC((Q10:Q15,Q20:Q25,Q30:Q35),0.75)</f>
        <v>#NUM!</v>
      </c>
      <c r="R44" s="214" t="e">
        <f>_xlfn.PERCENTILE.INC((R10:R15,R20:R25,R30:R35),0.75)</f>
        <v>#NUM!</v>
      </c>
      <c r="S44" s="214" t="e">
        <f>_xlfn.PERCENTILE.INC((S10:S15,S20:S25,S30:S35),0.75)</f>
        <v>#NUM!</v>
      </c>
      <c r="T44" s="213"/>
      <c r="U44" s="213" t="e">
        <f>_xlfn.PERCENTILE.INC((U10:U15,U20:U25,U30:U35),0.75)</f>
        <v>#NUM!</v>
      </c>
      <c r="V44" s="213" t="e">
        <f>_xlfn.PERCENTILE.INC((V10:V15,V20:V25,V30:V35),0.75)</f>
        <v>#NUM!</v>
      </c>
      <c r="W44" s="213" t="e">
        <f>_xlfn.PERCENTILE.INC((W10:W15,W20:W25,W30:W35),0.75)</f>
        <v>#NUM!</v>
      </c>
      <c r="X44" s="214" t="e">
        <f>_xlfn.PERCENTILE.INC((X10:X15,X20:X25,X30:X35),0.75)</f>
        <v>#NUM!</v>
      </c>
      <c r="Y44" s="213" t="e">
        <f>_xlfn.PERCENTILE.INC((Y10:Y15,Y20:Y25,Y30:Y35),0.75)</f>
        <v>#NUM!</v>
      </c>
      <c r="Z44" s="213" t="e">
        <f>_xlfn.PERCENTILE.INC((Z10:Z15,Z20:Z25,Z30:Z35),0.75)</f>
        <v>#NUM!</v>
      </c>
      <c r="AA44" s="213"/>
    </row>
  </sheetData>
  <conditionalFormatting sqref="B10:B15">
    <cfRule type="duplicateValues" dxfId="9" priority="7"/>
  </conditionalFormatting>
  <conditionalFormatting sqref="B20:B25">
    <cfRule type="duplicateValues" dxfId="8" priority="2"/>
  </conditionalFormatting>
  <conditionalFormatting sqref="B30:B35">
    <cfRule type="duplicateValues" dxfId="7" priority="1"/>
  </conditionalFormatting>
  <conditionalFormatting sqref="G10:G15 G20:G25">
    <cfRule type="expression" dxfId="6" priority="5">
      <formula>I10="EUR"</formula>
    </cfRule>
    <cfRule type="expression" dxfId="5" priority="6">
      <formula>I10="CAD"</formula>
    </cfRule>
  </conditionalFormatting>
  <conditionalFormatting sqref="G30:G35">
    <cfRule type="expression" dxfId="4" priority="3">
      <formula>I30="EUR"</formula>
    </cfRule>
    <cfRule type="expression" dxfId="3" priority="4">
      <formula>I30="CAD"</formula>
    </cfRule>
  </conditionalFormatting>
  <pageMargins left="0.7" right="0.7" top="0.75" bottom="0.75" header="0.3" footer="0.3"/>
  <pageSetup scale="2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BE2A-6457-41F9-937F-421D1F2DB56A}">
  <dimension ref="A2:CE214"/>
  <sheetViews>
    <sheetView showGridLines="0" zoomScaleNormal="100" workbookViewId="0"/>
  </sheetViews>
  <sheetFormatPr defaultColWidth="9.33203125" defaultRowHeight="14.4" x14ac:dyDescent="0.4"/>
  <cols>
    <col min="1" max="1" width="7.0546875" style="215" customWidth="1"/>
    <col min="2" max="2" width="19.71875" style="215" customWidth="1"/>
    <col min="3" max="5" width="10.21875" style="215" customWidth="1"/>
    <col min="6" max="6" width="11.44140625" style="215" customWidth="1"/>
    <col min="7" max="7" width="12.5" style="254" customWidth="1"/>
    <col min="8" max="9" width="11.27734375" style="254" customWidth="1"/>
    <col min="10" max="11" width="11.27734375" style="215" customWidth="1"/>
    <col min="12" max="24" width="9.33203125" style="215" customWidth="1"/>
    <col min="25" max="16384" width="9.33203125" style="215"/>
  </cols>
  <sheetData>
    <row r="2" spans="1:23" ht="18" customHeight="1" x14ac:dyDescent="0.4">
      <c r="B2" s="216" t="s">
        <v>108</v>
      </c>
      <c r="C2" s="217"/>
      <c r="D2" s="217"/>
      <c r="E2" s="217"/>
      <c r="F2" s="217"/>
      <c r="G2" s="218"/>
      <c r="H2" s="219"/>
      <c r="I2" s="219"/>
      <c r="K2" s="220"/>
      <c r="L2" s="221"/>
      <c r="M2" s="221"/>
      <c r="N2" s="221"/>
      <c r="O2" s="219"/>
      <c r="P2" s="219"/>
      <c r="Q2" s="222"/>
      <c r="R2" s="222"/>
      <c r="S2" s="222"/>
      <c r="T2" s="222"/>
      <c r="U2" s="222"/>
      <c r="V2" s="222"/>
      <c r="W2" s="222"/>
    </row>
    <row r="3" spans="1:23" ht="4" customHeight="1" x14ac:dyDescent="0.4">
      <c r="B3" s="223"/>
      <c r="C3" s="223"/>
      <c r="D3" s="223"/>
      <c r="E3" s="223"/>
      <c r="F3" s="224"/>
      <c r="G3" s="225"/>
      <c r="H3" s="225"/>
      <c r="I3" s="225"/>
      <c r="K3" s="223"/>
      <c r="L3" s="223"/>
      <c r="M3" s="223"/>
      <c r="N3" s="223"/>
      <c r="O3" s="224"/>
      <c r="P3" s="225"/>
    </row>
    <row r="4" spans="1:23" ht="21" customHeight="1" x14ac:dyDescent="0.4">
      <c r="B4" s="226" t="s">
        <v>109</v>
      </c>
      <c r="C4" s="226"/>
      <c r="D4" s="226"/>
      <c r="E4" s="226"/>
      <c r="F4" s="227" t="s">
        <v>110</v>
      </c>
      <c r="G4" s="228" t="s">
        <v>111</v>
      </c>
      <c r="H4" s="229"/>
      <c r="I4" s="230"/>
      <c r="K4" s="231"/>
      <c r="L4" s="232"/>
      <c r="M4" s="232"/>
      <c r="N4" s="232"/>
      <c r="O4" s="229"/>
      <c r="P4" s="230"/>
      <c r="R4" s="223"/>
      <c r="S4" s="223"/>
    </row>
    <row r="5" spans="1:23" ht="21" customHeight="1" x14ac:dyDescent="0.4">
      <c r="A5" s="233">
        <v>1</v>
      </c>
      <c r="B5" s="215">
        <f t="shared" ref="B5:B16" si="0">_xlfn.XLOOKUP(F5,$I$39:$I$178,$J$39:$J$178)</f>
        <v>0</v>
      </c>
      <c r="F5" s="234">
        <f t="shared" ref="F5:F16" si="1">LARGE($I$39:$I$65,A5)</f>
        <v>0</v>
      </c>
      <c r="G5" s="235" t="e">
        <f t="shared" ref="G5:G17" si="2">F5/$F$35</f>
        <v>#DIV/0!</v>
      </c>
      <c r="H5" s="236"/>
      <c r="I5" s="237"/>
      <c r="K5" s="231"/>
      <c r="O5" s="238"/>
      <c r="P5" s="237"/>
      <c r="S5" s="239"/>
      <c r="U5" s="240"/>
    </row>
    <row r="6" spans="1:23" ht="21" customHeight="1" x14ac:dyDescent="0.4">
      <c r="A6" s="233">
        <v>2</v>
      </c>
      <c r="B6" s="215">
        <f t="shared" si="0"/>
        <v>0</v>
      </c>
      <c r="F6" s="234">
        <f t="shared" si="1"/>
        <v>0</v>
      </c>
      <c r="G6" s="237" t="e">
        <f t="shared" si="2"/>
        <v>#DIV/0!</v>
      </c>
      <c r="H6" s="236"/>
      <c r="I6" s="237"/>
      <c r="K6" s="231"/>
      <c r="O6" s="238"/>
      <c r="P6" s="237"/>
      <c r="S6" s="239"/>
      <c r="U6" s="240"/>
    </row>
    <row r="7" spans="1:23" ht="21" customHeight="1" x14ac:dyDescent="0.4">
      <c r="A7" s="233">
        <v>3</v>
      </c>
      <c r="B7" s="215">
        <f t="shared" si="0"/>
        <v>0</v>
      </c>
      <c r="F7" s="234">
        <f t="shared" si="1"/>
        <v>0</v>
      </c>
      <c r="G7" s="237" t="e">
        <f t="shared" si="2"/>
        <v>#DIV/0!</v>
      </c>
      <c r="H7" s="236"/>
      <c r="I7" s="237"/>
      <c r="K7" s="241"/>
      <c r="O7" s="238"/>
      <c r="P7" s="237"/>
      <c r="S7" s="239"/>
      <c r="U7" s="240"/>
    </row>
    <row r="8" spans="1:23" ht="21" customHeight="1" x14ac:dyDescent="0.4">
      <c r="A8" s="233">
        <v>4</v>
      </c>
      <c r="B8" s="215">
        <f t="shared" si="0"/>
        <v>0</v>
      </c>
      <c r="F8" s="234">
        <f t="shared" si="1"/>
        <v>0</v>
      </c>
      <c r="G8" s="237" t="e">
        <f t="shared" si="2"/>
        <v>#DIV/0!</v>
      </c>
      <c r="H8" s="236"/>
      <c r="I8" s="237"/>
      <c r="K8" s="241"/>
      <c r="O8" s="238"/>
      <c r="P8" s="237"/>
      <c r="S8" s="239"/>
      <c r="U8" s="240"/>
    </row>
    <row r="9" spans="1:23" ht="21" customHeight="1" x14ac:dyDescent="0.4">
      <c r="A9" s="233">
        <v>5</v>
      </c>
      <c r="B9" s="215">
        <f t="shared" si="0"/>
        <v>0</v>
      </c>
      <c r="F9" s="234">
        <f t="shared" si="1"/>
        <v>0</v>
      </c>
      <c r="G9" s="237" t="e">
        <f t="shared" si="2"/>
        <v>#DIV/0!</v>
      </c>
      <c r="H9" s="236"/>
      <c r="I9" s="237"/>
      <c r="K9" s="241"/>
      <c r="O9" s="238"/>
      <c r="P9" s="237"/>
      <c r="S9" s="239"/>
      <c r="U9" s="240"/>
    </row>
    <row r="10" spans="1:23" ht="21" customHeight="1" x14ac:dyDescent="0.4">
      <c r="A10" s="233">
        <v>6</v>
      </c>
      <c r="B10" s="215">
        <f t="shared" si="0"/>
        <v>0</v>
      </c>
      <c r="F10" s="234">
        <f t="shared" si="1"/>
        <v>0</v>
      </c>
      <c r="G10" s="237" t="e">
        <f t="shared" si="2"/>
        <v>#DIV/0!</v>
      </c>
      <c r="H10" s="236"/>
      <c r="I10" s="237"/>
      <c r="K10" s="241"/>
      <c r="O10" s="238"/>
      <c r="P10" s="237"/>
      <c r="S10" s="239"/>
      <c r="U10" s="240"/>
    </row>
    <row r="11" spans="1:23" ht="21" customHeight="1" x14ac:dyDescent="0.4">
      <c r="A11" s="233">
        <v>7</v>
      </c>
      <c r="B11" s="215">
        <f t="shared" si="0"/>
        <v>0</v>
      </c>
      <c r="F11" s="234">
        <f t="shared" si="1"/>
        <v>0</v>
      </c>
      <c r="G11" s="237" t="e">
        <f t="shared" si="2"/>
        <v>#DIV/0!</v>
      </c>
      <c r="H11" s="236"/>
      <c r="I11" s="237"/>
      <c r="K11" s="241"/>
      <c r="O11" s="238"/>
      <c r="P11" s="237"/>
      <c r="S11" s="239"/>
      <c r="U11" s="240"/>
    </row>
    <row r="12" spans="1:23" ht="21" customHeight="1" x14ac:dyDescent="0.4">
      <c r="A12" s="233">
        <v>8</v>
      </c>
      <c r="B12" s="215">
        <f t="shared" si="0"/>
        <v>0</v>
      </c>
      <c r="F12" s="234">
        <f t="shared" si="1"/>
        <v>0</v>
      </c>
      <c r="G12" s="237" t="e">
        <f t="shared" si="2"/>
        <v>#DIV/0!</v>
      </c>
      <c r="H12" s="236"/>
      <c r="I12" s="237"/>
      <c r="K12" s="231"/>
      <c r="O12" s="238"/>
      <c r="P12" s="237"/>
      <c r="S12" s="239"/>
      <c r="U12" s="240"/>
    </row>
    <row r="13" spans="1:23" ht="21" customHeight="1" x14ac:dyDescent="0.4">
      <c r="A13" s="233">
        <v>9</v>
      </c>
      <c r="B13" s="215">
        <f t="shared" si="0"/>
        <v>0</v>
      </c>
      <c r="F13" s="234">
        <f t="shared" si="1"/>
        <v>0</v>
      </c>
      <c r="G13" s="237" t="e">
        <f t="shared" si="2"/>
        <v>#DIV/0!</v>
      </c>
      <c r="H13" s="236"/>
      <c r="I13" s="237"/>
      <c r="K13" s="231"/>
      <c r="O13" s="238"/>
      <c r="P13" s="237"/>
      <c r="S13" s="239"/>
      <c r="U13" s="240"/>
    </row>
    <row r="14" spans="1:23" ht="21" customHeight="1" x14ac:dyDescent="0.4">
      <c r="A14" s="233">
        <v>10</v>
      </c>
      <c r="B14" s="215">
        <f t="shared" si="0"/>
        <v>0</v>
      </c>
      <c r="F14" s="234">
        <f t="shared" si="1"/>
        <v>0</v>
      </c>
      <c r="G14" s="237" t="e">
        <f t="shared" si="2"/>
        <v>#DIV/0!</v>
      </c>
      <c r="H14" s="236"/>
      <c r="I14" s="237"/>
      <c r="K14" s="231"/>
      <c r="O14" s="238"/>
      <c r="P14" s="237"/>
      <c r="S14" s="239"/>
      <c r="U14" s="240"/>
    </row>
    <row r="15" spans="1:23" ht="21" customHeight="1" x14ac:dyDescent="0.4">
      <c r="A15" s="233">
        <v>11</v>
      </c>
      <c r="B15" s="215">
        <f t="shared" si="0"/>
        <v>0</v>
      </c>
      <c r="F15" s="234">
        <f t="shared" si="1"/>
        <v>0</v>
      </c>
      <c r="G15" s="237" t="e">
        <f t="shared" si="2"/>
        <v>#DIV/0!</v>
      </c>
      <c r="H15" s="236"/>
      <c r="I15" s="237"/>
      <c r="K15" s="231"/>
      <c r="O15" s="238"/>
      <c r="P15" s="237"/>
      <c r="S15" s="239"/>
      <c r="U15" s="240"/>
    </row>
    <row r="16" spans="1:23" ht="21" customHeight="1" x14ac:dyDescent="0.4">
      <c r="A16" s="233">
        <v>12</v>
      </c>
      <c r="B16" s="215">
        <f t="shared" si="0"/>
        <v>0</v>
      </c>
      <c r="F16" s="234">
        <f t="shared" si="1"/>
        <v>0</v>
      </c>
      <c r="G16" s="237" t="e">
        <f t="shared" si="2"/>
        <v>#DIV/0!</v>
      </c>
      <c r="H16" s="236"/>
      <c r="I16" s="237"/>
      <c r="K16" s="242"/>
      <c r="L16" s="223"/>
      <c r="M16" s="223"/>
      <c r="N16" s="223"/>
      <c r="O16" s="243"/>
      <c r="P16" s="244"/>
      <c r="Q16" s="245"/>
      <c r="S16" s="239"/>
      <c r="U16" s="240"/>
    </row>
    <row r="17" spans="1:23" ht="21" customHeight="1" x14ac:dyDescent="0.4">
      <c r="A17" s="233"/>
      <c r="B17" s="246" t="s">
        <v>112</v>
      </c>
      <c r="C17" s="246"/>
      <c r="D17" s="246"/>
      <c r="E17" s="246"/>
      <c r="F17" s="247">
        <f>SUM(F5:F16)</f>
        <v>0</v>
      </c>
      <c r="G17" s="248" t="e">
        <f t="shared" si="2"/>
        <v>#DIV/0!</v>
      </c>
      <c r="H17" s="236"/>
      <c r="I17" s="237"/>
      <c r="K17" s="242"/>
      <c r="L17" s="223"/>
      <c r="M17" s="223"/>
      <c r="N17" s="223"/>
      <c r="O17" s="243"/>
      <c r="P17" s="244"/>
      <c r="Q17" s="245"/>
      <c r="S17" s="239"/>
      <c r="U17" s="240"/>
    </row>
    <row r="18" spans="1:23" ht="21" customHeight="1" x14ac:dyDescent="0.4">
      <c r="B18" s="237"/>
      <c r="C18" s="237"/>
      <c r="D18" s="237"/>
      <c r="E18" s="237"/>
      <c r="F18" s="237"/>
      <c r="G18" s="237"/>
      <c r="H18" s="249"/>
      <c r="I18" s="237"/>
      <c r="K18" s="231"/>
      <c r="O18" s="238"/>
      <c r="P18" s="237"/>
      <c r="S18" s="239"/>
      <c r="U18" s="240"/>
    </row>
    <row r="19" spans="1:23" ht="21" customHeight="1" x14ac:dyDescent="0.4">
      <c r="B19" s="226" t="s">
        <v>113</v>
      </c>
      <c r="C19" s="226"/>
      <c r="D19" s="226"/>
      <c r="E19" s="226"/>
      <c r="F19" s="227" t="s">
        <v>110</v>
      </c>
      <c r="G19" s="228" t="s">
        <v>111</v>
      </c>
      <c r="H19" s="250"/>
      <c r="I19" s="244"/>
      <c r="K19" s="251"/>
      <c r="L19" s="232"/>
      <c r="M19" s="232"/>
      <c r="N19" s="232"/>
      <c r="O19" s="252"/>
      <c r="P19" s="253"/>
      <c r="S19" s="240"/>
      <c r="U19" s="240"/>
      <c r="W19" s="254"/>
    </row>
    <row r="20" spans="1:23" ht="21" customHeight="1" x14ac:dyDescent="0.4">
      <c r="A20" s="233">
        <v>1</v>
      </c>
      <c r="B20" s="215" t="e">
        <f t="shared" ref="B20:B31" si="3">_xlfn.XLOOKUP(F20,$I$39:$I$185,$J$39:$J$185)</f>
        <v>#N/A</v>
      </c>
      <c r="F20" s="234" t="e">
        <f t="shared" ref="F20:F31" si="4">LARGE($I$68:$I$185,A20)</f>
        <v>#N/A</v>
      </c>
      <c r="G20" s="235" t="e">
        <f t="shared" ref="G20:G33" si="5">F20/$F$35</f>
        <v>#N/A</v>
      </c>
      <c r="H20" s="250"/>
      <c r="I20" s="244"/>
      <c r="K20" s="251"/>
      <c r="L20" s="232"/>
      <c r="M20" s="232"/>
      <c r="N20" s="232"/>
      <c r="O20" s="252"/>
      <c r="P20" s="253"/>
      <c r="S20" s="240"/>
      <c r="U20" s="240"/>
      <c r="W20" s="254"/>
    </row>
    <row r="21" spans="1:23" ht="21" customHeight="1" x14ac:dyDescent="0.4">
      <c r="A21" s="233">
        <v>2</v>
      </c>
      <c r="B21" s="215" t="e">
        <f t="shared" si="3"/>
        <v>#N/A</v>
      </c>
      <c r="F21" s="234" t="e">
        <f t="shared" si="4"/>
        <v>#N/A</v>
      </c>
      <c r="G21" s="237" t="e">
        <f t="shared" si="5"/>
        <v>#N/A</v>
      </c>
      <c r="H21" s="250"/>
      <c r="I21" s="244"/>
      <c r="K21" s="251"/>
      <c r="L21" s="232"/>
      <c r="M21" s="232"/>
      <c r="N21" s="232"/>
      <c r="O21" s="252"/>
      <c r="P21" s="253"/>
      <c r="S21" s="240"/>
      <c r="U21" s="240"/>
      <c r="W21" s="254"/>
    </row>
    <row r="22" spans="1:23" ht="21" customHeight="1" x14ac:dyDescent="0.4">
      <c r="A22" s="233">
        <v>3</v>
      </c>
      <c r="B22" s="215" t="e">
        <f t="shared" si="3"/>
        <v>#N/A</v>
      </c>
      <c r="F22" s="234" t="e">
        <f t="shared" si="4"/>
        <v>#N/A</v>
      </c>
      <c r="G22" s="237" t="e">
        <f t="shared" si="5"/>
        <v>#N/A</v>
      </c>
      <c r="H22" s="250"/>
      <c r="I22" s="244"/>
      <c r="K22" s="251"/>
      <c r="L22" s="232"/>
      <c r="M22" s="232"/>
      <c r="N22" s="232"/>
      <c r="O22" s="252"/>
      <c r="P22" s="253"/>
      <c r="S22" s="240"/>
      <c r="U22" s="240"/>
      <c r="W22" s="254"/>
    </row>
    <row r="23" spans="1:23" ht="21" customHeight="1" x14ac:dyDescent="0.4">
      <c r="A23" s="233">
        <v>4</v>
      </c>
      <c r="B23" s="215" t="e">
        <f t="shared" si="3"/>
        <v>#N/A</v>
      </c>
      <c r="F23" s="234" t="e">
        <f t="shared" si="4"/>
        <v>#N/A</v>
      </c>
      <c r="G23" s="237" t="e">
        <f t="shared" si="5"/>
        <v>#N/A</v>
      </c>
      <c r="H23" s="250"/>
      <c r="I23" s="244"/>
      <c r="K23" s="251"/>
      <c r="L23" s="232"/>
      <c r="M23" s="232"/>
      <c r="N23" s="232"/>
      <c r="O23" s="252"/>
      <c r="P23" s="253"/>
      <c r="S23" s="240"/>
      <c r="U23" s="240"/>
      <c r="W23" s="254"/>
    </row>
    <row r="24" spans="1:23" ht="21" customHeight="1" x14ac:dyDescent="0.4">
      <c r="A24" s="233">
        <v>5</v>
      </c>
      <c r="B24" s="215" t="e">
        <f t="shared" si="3"/>
        <v>#N/A</v>
      </c>
      <c r="F24" s="234" t="e">
        <f t="shared" si="4"/>
        <v>#N/A</v>
      </c>
      <c r="G24" s="237" t="e">
        <f t="shared" si="5"/>
        <v>#N/A</v>
      </c>
      <c r="H24" s="250"/>
      <c r="I24" s="244"/>
      <c r="K24" s="251"/>
      <c r="L24" s="232"/>
      <c r="M24" s="232"/>
      <c r="N24" s="232"/>
      <c r="O24" s="252"/>
      <c r="P24" s="253"/>
      <c r="S24" s="240"/>
      <c r="U24" s="240"/>
      <c r="W24" s="254"/>
    </row>
    <row r="25" spans="1:23" ht="21" customHeight="1" x14ac:dyDescent="0.4">
      <c r="A25" s="233">
        <v>6</v>
      </c>
      <c r="B25" s="215" t="e">
        <f t="shared" si="3"/>
        <v>#N/A</v>
      </c>
      <c r="F25" s="234" t="e">
        <f t="shared" si="4"/>
        <v>#N/A</v>
      </c>
      <c r="G25" s="237" t="e">
        <f t="shared" si="5"/>
        <v>#N/A</v>
      </c>
      <c r="H25" s="250"/>
      <c r="I25" s="244"/>
      <c r="K25" s="251"/>
      <c r="L25" s="232"/>
      <c r="M25" s="232"/>
      <c r="N25" s="232"/>
      <c r="O25" s="252"/>
      <c r="P25" s="253"/>
      <c r="S25" s="240"/>
      <c r="U25" s="240"/>
      <c r="W25" s="254"/>
    </row>
    <row r="26" spans="1:23" ht="21" customHeight="1" x14ac:dyDescent="0.4">
      <c r="A26" s="233">
        <v>7</v>
      </c>
      <c r="B26" s="215" t="e">
        <f t="shared" si="3"/>
        <v>#N/A</v>
      </c>
      <c r="F26" s="234" t="e">
        <f t="shared" si="4"/>
        <v>#N/A</v>
      </c>
      <c r="G26" s="237" t="e">
        <f t="shared" si="5"/>
        <v>#N/A</v>
      </c>
      <c r="H26" s="250"/>
      <c r="I26" s="244"/>
      <c r="K26" s="251"/>
      <c r="L26" s="232"/>
      <c r="M26" s="232"/>
      <c r="N26" s="232"/>
      <c r="O26" s="252"/>
      <c r="P26" s="253"/>
      <c r="S26" s="240"/>
      <c r="U26" s="240"/>
      <c r="W26" s="254"/>
    </row>
    <row r="27" spans="1:23" ht="21" customHeight="1" x14ac:dyDescent="0.4">
      <c r="A27" s="233">
        <v>8</v>
      </c>
      <c r="B27" s="215" t="e">
        <f t="shared" si="3"/>
        <v>#N/A</v>
      </c>
      <c r="F27" s="234" t="e">
        <f t="shared" si="4"/>
        <v>#N/A</v>
      </c>
      <c r="G27" s="237" t="e">
        <f t="shared" si="5"/>
        <v>#N/A</v>
      </c>
      <c r="H27" s="250"/>
      <c r="I27" s="244"/>
      <c r="K27" s="251"/>
      <c r="L27" s="232"/>
      <c r="M27" s="232"/>
      <c r="N27" s="232"/>
      <c r="O27" s="252"/>
      <c r="P27" s="253"/>
      <c r="S27" s="240"/>
      <c r="U27" s="240"/>
      <c r="W27" s="254"/>
    </row>
    <row r="28" spans="1:23" ht="21" customHeight="1" x14ac:dyDescent="0.4">
      <c r="A28" s="233">
        <v>9</v>
      </c>
      <c r="B28" s="215" t="e">
        <f t="shared" si="3"/>
        <v>#N/A</v>
      </c>
      <c r="F28" s="234" t="e">
        <f t="shared" si="4"/>
        <v>#N/A</v>
      </c>
      <c r="G28" s="237" t="e">
        <f t="shared" si="5"/>
        <v>#N/A</v>
      </c>
      <c r="H28" s="250"/>
      <c r="I28" s="244"/>
      <c r="K28" s="251"/>
      <c r="L28" s="232"/>
      <c r="M28" s="232"/>
      <c r="N28" s="232"/>
      <c r="O28" s="252"/>
      <c r="P28" s="253"/>
      <c r="S28" s="240"/>
      <c r="U28" s="240"/>
      <c r="W28" s="254"/>
    </row>
    <row r="29" spans="1:23" ht="21" customHeight="1" x14ac:dyDescent="0.4">
      <c r="A29" s="233">
        <v>10</v>
      </c>
      <c r="B29" s="215" t="e">
        <f t="shared" si="3"/>
        <v>#N/A</v>
      </c>
      <c r="F29" s="234" t="e">
        <f t="shared" si="4"/>
        <v>#N/A</v>
      </c>
      <c r="G29" s="237" t="e">
        <f t="shared" si="5"/>
        <v>#N/A</v>
      </c>
      <c r="H29" s="250"/>
      <c r="I29" s="244"/>
      <c r="K29" s="251"/>
      <c r="L29" s="232"/>
      <c r="M29" s="232"/>
      <c r="N29" s="232"/>
      <c r="O29" s="252"/>
      <c r="P29" s="253"/>
      <c r="S29" s="240"/>
      <c r="U29" s="240"/>
      <c r="W29" s="254"/>
    </row>
    <row r="30" spans="1:23" ht="21" customHeight="1" x14ac:dyDescent="0.4">
      <c r="A30" s="233">
        <v>11</v>
      </c>
      <c r="B30" s="215" t="e">
        <f t="shared" si="3"/>
        <v>#N/A</v>
      </c>
      <c r="F30" s="234" t="e">
        <f t="shared" si="4"/>
        <v>#N/A</v>
      </c>
      <c r="G30" s="237" t="e">
        <f t="shared" si="5"/>
        <v>#N/A</v>
      </c>
      <c r="H30" s="250"/>
      <c r="I30" s="244"/>
      <c r="K30" s="251"/>
      <c r="L30" s="232"/>
      <c r="M30" s="232"/>
      <c r="N30" s="232"/>
      <c r="O30" s="252"/>
      <c r="P30" s="253"/>
      <c r="S30" s="240"/>
      <c r="U30" s="240"/>
      <c r="W30" s="254"/>
    </row>
    <row r="31" spans="1:23" ht="21" customHeight="1" x14ac:dyDescent="0.4">
      <c r="A31" s="233">
        <v>12</v>
      </c>
      <c r="B31" s="215" t="e">
        <f t="shared" si="3"/>
        <v>#N/A</v>
      </c>
      <c r="F31" s="234" t="e">
        <f t="shared" si="4"/>
        <v>#N/A</v>
      </c>
      <c r="G31" s="237" t="e">
        <f t="shared" si="5"/>
        <v>#N/A</v>
      </c>
      <c r="H31" s="250"/>
      <c r="I31" s="244"/>
      <c r="K31" s="251"/>
      <c r="L31" s="232"/>
      <c r="M31" s="232"/>
      <c r="N31" s="232"/>
      <c r="O31" s="252"/>
      <c r="P31" s="253"/>
      <c r="S31" s="240"/>
      <c r="U31" s="240"/>
      <c r="W31" s="254"/>
    </row>
    <row r="32" spans="1:23" ht="21" customHeight="1" x14ac:dyDescent="0.4">
      <c r="B32" s="246" t="s">
        <v>112</v>
      </c>
      <c r="C32" s="246"/>
      <c r="D32" s="246"/>
      <c r="E32" s="246"/>
      <c r="F32" s="247" t="e">
        <f>SUM(F20:F31)</f>
        <v>#N/A</v>
      </c>
      <c r="G32" s="248" t="e">
        <f t="shared" si="5"/>
        <v>#N/A</v>
      </c>
      <c r="H32" s="250"/>
      <c r="I32" s="244"/>
      <c r="K32" s="251"/>
      <c r="L32" s="232"/>
      <c r="M32" s="232"/>
      <c r="N32" s="232"/>
      <c r="O32" s="252"/>
      <c r="P32" s="253"/>
      <c r="S32" s="240"/>
      <c r="U32" s="240"/>
      <c r="W32" s="254"/>
    </row>
    <row r="33" spans="2:23" ht="21" customHeight="1" x14ac:dyDescent="0.4">
      <c r="B33" s="255" t="s">
        <v>114</v>
      </c>
      <c r="C33" s="237"/>
      <c r="D33" s="237"/>
      <c r="E33" s="237"/>
      <c r="F33" s="256" t="e">
        <f>+F35-F32-F17</f>
        <v>#N/A</v>
      </c>
      <c r="G33" s="237" t="e">
        <f t="shared" si="5"/>
        <v>#N/A</v>
      </c>
      <c r="H33" s="250"/>
      <c r="I33" s="244"/>
      <c r="K33" s="251"/>
      <c r="L33" s="232"/>
      <c r="M33" s="232"/>
      <c r="N33" s="232"/>
      <c r="O33" s="252"/>
      <c r="P33" s="253"/>
      <c r="S33" s="240"/>
      <c r="U33" s="240"/>
      <c r="W33" s="254"/>
    </row>
    <row r="34" spans="2:23" ht="3" customHeight="1" x14ac:dyDescent="0.4">
      <c r="B34" s="237"/>
      <c r="C34" s="237"/>
      <c r="D34" s="237"/>
      <c r="E34" s="237"/>
      <c r="F34" s="237"/>
      <c r="G34" s="237"/>
      <c r="H34" s="250"/>
      <c r="I34" s="244"/>
      <c r="K34" s="251"/>
      <c r="L34" s="232"/>
      <c r="M34" s="232"/>
      <c r="N34" s="232"/>
      <c r="O34" s="252"/>
      <c r="P34" s="253"/>
      <c r="S34" s="240"/>
      <c r="U34" s="240"/>
      <c r="W34" s="254"/>
    </row>
    <row r="35" spans="2:23" ht="21" customHeight="1" x14ac:dyDescent="0.4">
      <c r="B35" s="257" t="s">
        <v>63</v>
      </c>
      <c r="C35" s="257"/>
      <c r="D35" s="257"/>
      <c r="E35" s="257"/>
      <c r="F35" s="258"/>
      <c r="G35" s="259" t="e">
        <f>F35/$F$35</f>
        <v>#DIV/0!</v>
      </c>
      <c r="H35" s="260"/>
      <c r="I35" s="260"/>
      <c r="K35" s="231"/>
      <c r="W35" s="254"/>
    </row>
    <row r="36" spans="2:23" ht="21" customHeight="1" x14ac:dyDescent="0.4">
      <c r="F36" s="261"/>
      <c r="G36" s="260"/>
      <c r="H36" s="260"/>
      <c r="I36" s="260"/>
      <c r="K36" s="231"/>
      <c r="S36" s="239"/>
      <c r="U36" s="240"/>
    </row>
    <row r="37" spans="2:23" ht="21" customHeight="1" x14ac:dyDescent="0.4">
      <c r="F37" s="261"/>
      <c r="G37" s="260"/>
      <c r="H37" s="260"/>
      <c r="I37" s="215"/>
      <c r="K37" s="262"/>
      <c r="L37" s="262"/>
      <c r="M37" s="262"/>
      <c r="N37" s="262"/>
      <c r="O37" s="263"/>
      <c r="P37" s="260"/>
      <c r="S37" s="239"/>
      <c r="U37" s="240"/>
    </row>
    <row r="38" spans="2:23" ht="14.5" customHeight="1" x14ac:dyDescent="0.4">
      <c r="B38" s="264" t="s">
        <v>115</v>
      </c>
      <c r="C38" s="264"/>
      <c r="D38" s="264"/>
      <c r="E38" s="264"/>
      <c r="F38" s="264" t="s">
        <v>116</v>
      </c>
      <c r="G38" s="264" t="s">
        <v>43</v>
      </c>
      <c r="H38" s="265" t="s">
        <v>117</v>
      </c>
      <c r="I38" s="264" t="s">
        <v>118</v>
      </c>
      <c r="J38" s="264" t="s">
        <v>119</v>
      </c>
      <c r="K38" s="264"/>
      <c r="L38" s="264"/>
      <c r="M38" s="264"/>
      <c r="N38" s="264"/>
      <c r="O38" s="266"/>
      <c r="S38" s="239"/>
      <c r="U38" s="240"/>
    </row>
    <row r="39" spans="2:23" ht="14.5" customHeight="1" x14ac:dyDescent="0.4">
      <c r="F39" s="240"/>
      <c r="G39" s="267"/>
      <c r="H39" s="268">
        <v>1</v>
      </c>
      <c r="I39" s="269">
        <f t="shared" ref="I39:I65" si="6">H39*F39</f>
        <v>0</v>
      </c>
      <c r="O39" s="261"/>
      <c r="S39" s="239"/>
      <c r="U39" s="240"/>
    </row>
    <row r="40" spans="2:23" ht="14.5" customHeight="1" x14ac:dyDescent="0.4">
      <c r="F40" s="240"/>
      <c r="G40" s="267"/>
      <c r="H40" s="268">
        <v>1</v>
      </c>
      <c r="I40" s="269">
        <f t="shared" si="6"/>
        <v>0</v>
      </c>
      <c r="O40" s="261"/>
    </row>
    <row r="41" spans="2:23" ht="14.5" customHeight="1" x14ac:dyDescent="0.4">
      <c r="F41" s="270"/>
      <c r="G41" s="267"/>
      <c r="H41" s="268">
        <v>1</v>
      </c>
      <c r="I41" s="269">
        <f t="shared" si="6"/>
        <v>0</v>
      </c>
      <c r="O41" s="261"/>
    </row>
    <row r="42" spans="2:23" ht="14.5" customHeight="1" x14ac:dyDescent="0.4">
      <c r="F42" s="270"/>
      <c r="G42" s="267"/>
      <c r="H42" s="268">
        <v>1</v>
      </c>
      <c r="I42" s="269">
        <f t="shared" si="6"/>
        <v>0</v>
      </c>
      <c r="O42" s="261"/>
    </row>
    <row r="43" spans="2:23" ht="14.5" customHeight="1" x14ac:dyDescent="0.4">
      <c r="F43" s="270"/>
      <c r="G43" s="267"/>
      <c r="H43" s="268">
        <v>1</v>
      </c>
      <c r="I43" s="269">
        <f t="shared" si="6"/>
        <v>0</v>
      </c>
      <c r="O43" s="261"/>
    </row>
    <row r="44" spans="2:23" ht="14.5" customHeight="1" x14ac:dyDescent="0.4">
      <c r="F44" s="240"/>
      <c r="G44" s="267"/>
      <c r="H44" s="268">
        <v>1</v>
      </c>
      <c r="I44" s="269">
        <f t="shared" si="6"/>
        <v>0</v>
      </c>
      <c r="O44" s="261"/>
      <c r="U44" s="261"/>
    </row>
    <row r="45" spans="2:23" ht="14.5" customHeight="1" x14ac:dyDescent="0.4">
      <c r="F45" s="240"/>
      <c r="G45" s="267"/>
      <c r="H45" s="268">
        <v>1</v>
      </c>
      <c r="I45" s="269">
        <f t="shared" si="6"/>
        <v>0</v>
      </c>
      <c r="O45" s="261"/>
    </row>
    <row r="46" spans="2:23" ht="14.5" customHeight="1" x14ac:dyDescent="0.4">
      <c r="F46" s="240"/>
      <c r="G46" s="267"/>
      <c r="H46" s="268">
        <v>1</v>
      </c>
      <c r="I46" s="269">
        <f t="shared" si="6"/>
        <v>0</v>
      </c>
      <c r="O46" s="261"/>
    </row>
    <row r="47" spans="2:23" ht="14.5" customHeight="1" x14ac:dyDescent="0.4">
      <c r="F47" s="270"/>
      <c r="G47" s="267"/>
      <c r="H47" s="268">
        <v>1</v>
      </c>
      <c r="I47" s="269">
        <f t="shared" si="6"/>
        <v>0</v>
      </c>
      <c r="O47" s="261"/>
    </row>
    <row r="48" spans="2:23" ht="14.5" customHeight="1" x14ac:dyDescent="0.4">
      <c r="F48" s="270"/>
      <c r="G48" s="267"/>
      <c r="H48" s="268">
        <v>1</v>
      </c>
      <c r="I48" s="269">
        <f t="shared" si="6"/>
        <v>0</v>
      </c>
      <c r="O48" s="261"/>
    </row>
    <row r="49" spans="6:15" ht="14.5" customHeight="1" x14ac:dyDescent="0.4">
      <c r="F49" s="240"/>
      <c r="G49" s="267"/>
      <c r="H49" s="268">
        <v>1</v>
      </c>
      <c r="I49" s="269">
        <f t="shared" si="6"/>
        <v>0</v>
      </c>
      <c r="O49" s="261"/>
    </row>
    <row r="50" spans="6:15" ht="14.5" customHeight="1" x14ac:dyDescent="0.4">
      <c r="F50" s="240"/>
      <c r="G50" s="267"/>
      <c r="H50" s="268">
        <v>1</v>
      </c>
      <c r="I50" s="269">
        <f t="shared" si="6"/>
        <v>0</v>
      </c>
      <c r="O50" s="261"/>
    </row>
    <row r="51" spans="6:15" ht="14.5" customHeight="1" x14ac:dyDescent="0.4">
      <c r="F51" s="240"/>
      <c r="G51" s="267"/>
      <c r="H51" s="268">
        <v>1</v>
      </c>
      <c r="I51" s="269">
        <f t="shared" si="6"/>
        <v>0</v>
      </c>
      <c r="O51" s="261"/>
    </row>
    <row r="52" spans="6:15" ht="14.5" customHeight="1" x14ac:dyDescent="0.4">
      <c r="F52" s="240"/>
      <c r="G52" s="267"/>
      <c r="H52" s="268">
        <v>1</v>
      </c>
      <c r="I52" s="269">
        <f t="shared" si="6"/>
        <v>0</v>
      </c>
      <c r="O52" s="261"/>
    </row>
    <row r="53" spans="6:15" ht="14.5" customHeight="1" x14ac:dyDescent="0.4">
      <c r="F53" s="240"/>
      <c r="G53" s="267"/>
      <c r="H53" s="268">
        <v>1</v>
      </c>
      <c r="I53" s="269">
        <f t="shared" si="6"/>
        <v>0</v>
      </c>
      <c r="O53" s="261"/>
    </row>
    <row r="54" spans="6:15" ht="14.5" customHeight="1" x14ac:dyDescent="0.4">
      <c r="F54" s="240"/>
      <c r="G54" s="267"/>
      <c r="H54" s="268">
        <v>1</v>
      </c>
      <c r="I54" s="269">
        <f t="shared" si="6"/>
        <v>0</v>
      </c>
      <c r="O54" s="261"/>
    </row>
    <row r="55" spans="6:15" ht="14.5" customHeight="1" x14ac:dyDescent="0.4">
      <c r="F55" s="240"/>
      <c r="G55" s="267"/>
      <c r="H55" s="268">
        <v>1</v>
      </c>
      <c r="I55" s="269">
        <f t="shared" si="6"/>
        <v>0</v>
      </c>
      <c r="O55" s="261"/>
    </row>
    <row r="56" spans="6:15" ht="14.5" customHeight="1" x14ac:dyDescent="0.4">
      <c r="F56" s="240"/>
      <c r="G56" s="267"/>
      <c r="H56" s="268">
        <v>1</v>
      </c>
      <c r="I56" s="269">
        <f t="shared" si="6"/>
        <v>0</v>
      </c>
      <c r="O56" s="261"/>
    </row>
    <row r="57" spans="6:15" ht="14.5" customHeight="1" x14ac:dyDescent="0.4">
      <c r="F57" s="240"/>
      <c r="G57" s="267"/>
      <c r="H57" s="268">
        <v>1</v>
      </c>
      <c r="I57" s="269">
        <f t="shared" si="6"/>
        <v>0</v>
      </c>
      <c r="O57" s="261"/>
    </row>
    <row r="58" spans="6:15" ht="14.5" customHeight="1" x14ac:dyDescent="0.4">
      <c r="F58" s="240"/>
      <c r="G58" s="267"/>
      <c r="H58" s="271">
        <v>1</v>
      </c>
      <c r="I58" s="269">
        <f t="shared" si="6"/>
        <v>0</v>
      </c>
      <c r="O58" s="261"/>
    </row>
    <row r="59" spans="6:15" ht="14.5" customHeight="1" x14ac:dyDescent="0.4">
      <c r="F59" s="240"/>
      <c r="G59" s="267"/>
      <c r="H59" s="271">
        <v>1</v>
      </c>
      <c r="I59" s="269">
        <f t="shared" si="6"/>
        <v>0</v>
      </c>
      <c r="O59" s="261"/>
    </row>
    <row r="60" spans="6:15" ht="14.5" customHeight="1" x14ac:dyDescent="0.4">
      <c r="F60" s="240"/>
      <c r="G60" s="267"/>
      <c r="H60" s="271">
        <v>1</v>
      </c>
      <c r="I60" s="269">
        <f t="shared" si="6"/>
        <v>0</v>
      </c>
      <c r="O60" s="261"/>
    </row>
    <row r="61" spans="6:15" ht="14.5" customHeight="1" x14ac:dyDescent="0.4">
      <c r="F61" s="240"/>
      <c r="G61" s="267"/>
      <c r="H61" s="271">
        <v>1</v>
      </c>
      <c r="I61" s="269">
        <f t="shared" si="6"/>
        <v>0</v>
      </c>
      <c r="O61" s="261"/>
    </row>
    <row r="62" spans="6:15" ht="14.5" customHeight="1" x14ac:dyDescent="0.4">
      <c r="F62" s="240"/>
      <c r="G62" s="267"/>
      <c r="H62" s="271">
        <v>1</v>
      </c>
      <c r="I62" s="269">
        <f t="shared" si="6"/>
        <v>0</v>
      </c>
      <c r="O62" s="261"/>
    </row>
    <row r="63" spans="6:15" ht="14.5" customHeight="1" x14ac:dyDescent="0.4">
      <c r="F63" s="240"/>
      <c r="G63" s="267"/>
      <c r="H63" s="271">
        <v>1</v>
      </c>
      <c r="I63" s="269">
        <f t="shared" si="6"/>
        <v>0</v>
      </c>
      <c r="O63" s="261"/>
    </row>
    <row r="64" spans="6:15" ht="14.5" customHeight="1" x14ac:dyDescent="0.4">
      <c r="F64" s="240"/>
      <c r="G64" s="267"/>
      <c r="H64" s="271">
        <v>1</v>
      </c>
      <c r="I64" s="269">
        <f t="shared" si="6"/>
        <v>0</v>
      </c>
      <c r="O64" s="261"/>
    </row>
    <row r="65" spans="2:83" ht="14.5" customHeight="1" x14ac:dyDescent="0.4">
      <c r="F65" s="240"/>
      <c r="G65" s="267"/>
      <c r="H65" s="271">
        <v>1</v>
      </c>
      <c r="I65" s="269">
        <f t="shared" si="6"/>
        <v>0</v>
      </c>
      <c r="O65" s="261"/>
    </row>
    <row r="66" spans="2:83" ht="14.5" customHeight="1" x14ac:dyDescent="0.4">
      <c r="F66" s="240"/>
      <c r="G66" s="267"/>
      <c r="H66" s="215"/>
      <c r="I66" s="269"/>
      <c r="O66" s="261"/>
    </row>
    <row r="67" spans="2:83" ht="14.5" customHeight="1" x14ac:dyDescent="0.4">
      <c r="B67" s="272" t="s">
        <v>120</v>
      </c>
      <c r="C67" s="272"/>
      <c r="D67" s="272"/>
      <c r="E67" s="272"/>
      <c r="F67" s="272" t="s">
        <v>116</v>
      </c>
      <c r="G67" s="272" t="s">
        <v>43</v>
      </c>
      <c r="H67" s="273" t="s">
        <v>117</v>
      </c>
      <c r="I67" s="272" t="s">
        <v>118</v>
      </c>
      <c r="J67" s="272" t="s">
        <v>119</v>
      </c>
      <c r="K67" s="274"/>
      <c r="L67" s="274"/>
      <c r="M67" s="274"/>
      <c r="N67" s="274"/>
      <c r="O67" s="261"/>
    </row>
    <row r="68" spans="2:83" ht="14.5" customHeight="1" x14ac:dyDescent="0.4">
      <c r="B68" s="275">
        <f>'Bloomberg Output'!C14</f>
        <v>0</v>
      </c>
      <c r="C68" s="275"/>
      <c r="D68" s="275"/>
      <c r="E68" s="275"/>
      <c r="F68" s="276" t="e">
        <f>+_xlfn.XLOOKUP($B68,'Bloomberg Output'!$C$14:$C$131,'Bloomberg Output'!$L$14:$L$131)</f>
        <v>#N/A</v>
      </c>
      <c r="G68" s="276" t="e">
        <f>+_xlfn.XLOOKUP($B68,'Bloomberg Output'!$C$14:$C$131,'Bloomberg Output'!$N$14:$N$131)</f>
        <v>#N/A</v>
      </c>
      <c r="H68" s="277">
        <v>1</v>
      </c>
      <c r="I68" s="278" t="e">
        <f t="shared" ref="I68:I131" si="7">H68*F68</f>
        <v>#N/A</v>
      </c>
      <c r="J68" s="279"/>
      <c r="K68" s="280"/>
      <c r="L68" s="280"/>
      <c r="M68" s="280"/>
      <c r="N68" s="280"/>
      <c r="O68" s="269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  <c r="AB68" s="280"/>
      <c r="AC68" s="280"/>
      <c r="AD68" s="280"/>
      <c r="AE68" s="280"/>
      <c r="AF68" s="280"/>
      <c r="AG68" s="280"/>
      <c r="AH68" s="280"/>
      <c r="AI68" s="280"/>
      <c r="AJ68" s="280"/>
      <c r="AK68" s="280"/>
      <c r="AL68" s="280"/>
      <c r="AM68" s="280"/>
      <c r="AN68" s="280"/>
      <c r="AO68" s="280"/>
      <c r="AP68" s="280"/>
      <c r="AQ68" s="280"/>
      <c r="AR68" s="280"/>
      <c r="AS68" s="280"/>
      <c r="AT68" s="280"/>
      <c r="AU68" s="280"/>
      <c r="AV68" s="280"/>
      <c r="AW68" s="280"/>
      <c r="AX68" s="280"/>
      <c r="AY68" s="280"/>
      <c r="AZ68" s="280"/>
      <c r="BA68" s="280"/>
      <c r="BB68" s="280"/>
      <c r="BC68" s="280"/>
      <c r="BD68" s="280"/>
      <c r="BE68" s="280"/>
      <c r="BF68" s="280"/>
      <c r="BG68" s="280"/>
      <c r="BH68" s="280"/>
      <c r="BI68" s="280"/>
      <c r="BJ68" s="280"/>
      <c r="BK68" s="280"/>
      <c r="BL68" s="280"/>
      <c r="BM68" s="280"/>
      <c r="BN68" s="280"/>
      <c r="BO68" s="280"/>
      <c r="BP68" s="280"/>
      <c r="BQ68" s="280"/>
      <c r="BR68" s="280"/>
      <c r="BS68" s="280"/>
      <c r="BT68" s="280"/>
      <c r="BU68" s="280"/>
      <c r="BV68" s="280"/>
      <c r="BW68" s="280"/>
      <c r="BX68" s="280"/>
      <c r="BY68" s="280"/>
      <c r="BZ68" s="280"/>
      <c r="CA68" s="280"/>
      <c r="CB68" s="280"/>
      <c r="CC68" s="280"/>
      <c r="CD68" s="280"/>
      <c r="CE68" s="280"/>
    </row>
    <row r="69" spans="2:83" ht="14.5" customHeight="1" x14ac:dyDescent="0.4">
      <c r="B69" s="275">
        <f>'Bloomberg Output'!C15</f>
        <v>0</v>
      </c>
      <c r="C69" s="275"/>
      <c r="D69" s="275"/>
      <c r="E69" s="275"/>
      <c r="F69" s="276" t="e">
        <f>+_xlfn.XLOOKUP($B69,'Bloomberg Output'!$C$14:$C$131,'Bloomberg Output'!$L$14:$L$131)</f>
        <v>#N/A</v>
      </c>
      <c r="G69" s="276" t="e">
        <f>+_xlfn.XLOOKUP($B69,'Bloomberg Output'!$C$14:$C$131,'Bloomberg Output'!$N$14:$N$131)</f>
        <v>#N/A</v>
      </c>
      <c r="H69" s="281">
        <v>1</v>
      </c>
      <c r="I69" s="269" t="e">
        <f t="shared" si="7"/>
        <v>#N/A</v>
      </c>
      <c r="J69" s="279"/>
    </row>
    <row r="70" spans="2:83" ht="14.5" customHeight="1" x14ac:dyDescent="0.4">
      <c r="B70" s="275">
        <f>'Bloomberg Output'!C16</f>
        <v>0</v>
      </c>
      <c r="C70" s="275"/>
      <c r="D70" s="275"/>
      <c r="E70" s="275"/>
      <c r="F70" s="276" t="e">
        <f>+_xlfn.XLOOKUP($B70,'Bloomberg Output'!$C$14:$C$131,'Bloomberg Output'!$L$14:$L$131)</f>
        <v>#N/A</v>
      </c>
      <c r="G70" s="276" t="e">
        <f>+_xlfn.XLOOKUP($B70,'Bloomberg Output'!$C$14:$C$131,'Bloomberg Output'!$N$14:$N$131)</f>
        <v>#N/A</v>
      </c>
      <c r="H70" s="282">
        <v>1</v>
      </c>
      <c r="I70" s="269" t="e">
        <f t="shared" si="7"/>
        <v>#N/A</v>
      </c>
      <c r="J70" s="279"/>
    </row>
    <row r="71" spans="2:83" ht="14.5" customHeight="1" x14ac:dyDescent="0.4">
      <c r="B71" s="275">
        <f>'Bloomberg Output'!C17</f>
        <v>0</v>
      </c>
      <c r="C71" s="275"/>
      <c r="D71" s="275"/>
      <c r="E71" s="275"/>
      <c r="F71" s="276" t="e">
        <f>+_xlfn.XLOOKUP($B71,'Bloomberg Output'!$C$14:$C$131,'Bloomberg Output'!$L$14:$L$131)</f>
        <v>#N/A</v>
      </c>
      <c r="G71" s="276" t="e">
        <f>+_xlfn.XLOOKUP($B71,'Bloomberg Output'!$C$14:$C$131,'Bloomberg Output'!$N$14:$N$131)</f>
        <v>#N/A</v>
      </c>
      <c r="H71" s="282">
        <v>1</v>
      </c>
      <c r="I71" s="269" t="e">
        <f t="shared" si="7"/>
        <v>#N/A</v>
      </c>
      <c r="J71" s="279"/>
    </row>
    <row r="72" spans="2:83" ht="14.5" customHeight="1" x14ac:dyDescent="0.4">
      <c r="B72" s="275">
        <f>'Bloomberg Output'!C18</f>
        <v>0</v>
      </c>
      <c r="C72" s="275"/>
      <c r="D72" s="275"/>
      <c r="E72" s="275"/>
      <c r="F72" s="276" t="e">
        <f>+_xlfn.XLOOKUP($B72,'Bloomberg Output'!$C$14:$C$131,'Bloomberg Output'!$L$14:$L$131)</f>
        <v>#N/A</v>
      </c>
      <c r="G72" s="276" t="e">
        <f>+_xlfn.XLOOKUP($B72,'Bloomberg Output'!$C$14:$C$131,'Bloomberg Output'!$N$14:$N$131)</f>
        <v>#N/A</v>
      </c>
      <c r="H72" s="282">
        <v>1</v>
      </c>
      <c r="I72" s="269" t="e">
        <f t="shared" si="7"/>
        <v>#N/A</v>
      </c>
      <c r="J72" s="279"/>
    </row>
    <row r="73" spans="2:83" ht="14.5" customHeight="1" x14ac:dyDescent="0.4">
      <c r="B73" s="275">
        <f>'Bloomberg Output'!C19</f>
        <v>0</v>
      </c>
      <c r="C73" s="275"/>
      <c r="D73" s="275"/>
      <c r="E73" s="275"/>
      <c r="F73" s="276" t="e">
        <f>+_xlfn.XLOOKUP($B73,'Bloomberg Output'!$C$14:$C$131,'Bloomberg Output'!$L$14:$L$131)</f>
        <v>#N/A</v>
      </c>
      <c r="G73" s="276" t="e">
        <f>+_xlfn.XLOOKUP($B73,'Bloomberg Output'!$C$14:$C$131,'Bloomberg Output'!$N$14:$N$131)</f>
        <v>#N/A</v>
      </c>
      <c r="H73" s="282">
        <v>1</v>
      </c>
      <c r="I73" s="269" t="e">
        <f t="shared" si="7"/>
        <v>#N/A</v>
      </c>
      <c r="J73" s="279"/>
    </row>
    <row r="74" spans="2:83" ht="14.5" customHeight="1" x14ac:dyDescent="0.4">
      <c r="B74" s="275">
        <f>'Bloomberg Output'!C20</f>
        <v>0</v>
      </c>
      <c r="C74" s="275"/>
      <c r="D74" s="275"/>
      <c r="E74" s="275"/>
      <c r="F74" s="276" t="e">
        <f>+_xlfn.XLOOKUP($B74,'Bloomberg Output'!$C$14:$C$131,'Bloomberg Output'!$L$14:$L$131)</f>
        <v>#N/A</v>
      </c>
      <c r="G74" s="276" t="e">
        <f>+_xlfn.XLOOKUP($B74,'Bloomberg Output'!$C$14:$C$131,'Bloomberg Output'!$N$14:$N$131)</f>
        <v>#N/A</v>
      </c>
      <c r="H74" s="282">
        <v>1</v>
      </c>
      <c r="I74" s="269" t="e">
        <f t="shared" si="7"/>
        <v>#N/A</v>
      </c>
      <c r="J74" s="279"/>
    </row>
    <row r="75" spans="2:83" ht="14.5" customHeight="1" x14ac:dyDescent="0.4">
      <c r="B75" s="275">
        <f>'Bloomberg Output'!C21</f>
        <v>0</v>
      </c>
      <c r="C75" s="275"/>
      <c r="D75" s="275"/>
      <c r="E75" s="275"/>
      <c r="F75" s="276" t="e">
        <f>+_xlfn.XLOOKUP($B75,'Bloomberg Output'!$C$14:$C$131,'Bloomberg Output'!$L$14:$L$131)</f>
        <v>#N/A</v>
      </c>
      <c r="G75" s="276" t="e">
        <f>+_xlfn.XLOOKUP($B75,'Bloomberg Output'!$C$14:$C$131,'Bloomberg Output'!$N$14:$N$131)</f>
        <v>#N/A</v>
      </c>
      <c r="H75" s="282">
        <v>1</v>
      </c>
      <c r="I75" s="269" t="e">
        <f t="shared" si="7"/>
        <v>#N/A</v>
      </c>
      <c r="J75" s="279"/>
    </row>
    <row r="76" spans="2:83" ht="14.5" customHeight="1" x14ac:dyDescent="0.4">
      <c r="B76" s="275">
        <f>'Bloomberg Output'!C22</f>
        <v>0</v>
      </c>
      <c r="C76" s="275"/>
      <c r="D76" s="275"/>
      <c r="E76" s="275"/>
      <c r="F76" s="276" t="e">
        <f>+_xlfn.XLOOKUP($B76,'Bloomberg Output'!$C$14:$C$131,'Bloomberg Output'!$L$14:$L$131)</f>
        <v>#N/A</v>
      </c>
      <c r="G76" s="276" t="e">
        <f>+_xlfn.XLOOKUP($B76,'Bloomberg Output'!$C$14:$C$131,'Bloomberg Output'!$N$14:$N$131)</f>
        <v>#N/A</v>
      </c>
      <c r="H76" s="282">
        <v>1</v>
      </c>
      <c r="I76" s="269" t="e">
        <f t="shared" si="7"/>
        <v>#N/A</v>
      </c>
      <c r="J76" s="279"/>
    </row>
    <row r="77" spans="2:83" ht="14.5" customHeight="1" x14ac:dyDescent="0.4">
      <c r="B77" s="275">
        <f>'Bloomberg Output'!C23</f>
        <v>0</v>
      </c>
      <c r="C77" s="275"/>
      <c r="D77" s="275"/>
      <c r="E77" s="275"/>
      <c r="F77" s="276" t="e">
        <f>+_xlfn.XLOOKUP($B77,'Bloomberg Output'!$C$14:$C$131,'Bloomberg Output'!$L$14:$L$131)</f>
        <v>#N/A</v>
      </c>
      <c r="G77" s="276" t="e">
        <f>+_xlfn.XLOOKUP($B77,'Bloomberg Output'!$C$14:$C$131,'Bloomberg Output'!$N$14:$N$131)</f>
        <v>#N/A</v>
      </c>
      <c r="H77" s="282">
        <v>1</v>
      </c>
      <c r="I77" s="269" t="e">
        <f t="shared" si="7"/>
        <v>#N/A</v>
      </c>
      <c r="J77" s="279"/>
    </row>
    <row r="78" spans="2:83" ht="14.5" customHeight="1" x14ac:dyDescent="0.4">
      <c r="B78" s="275">
        <f>'Bloomberg Output'!C24</f>
        <v>0</v>
      </c>
      <c r="C78" s="275"/>
      <c r="D78" s="275"/>
      <c r="E78" s="275"/>
      <c r="F78" s="276" t="e">
        <f>+_xlfn.XLOOKUP($B78,'Bloomberg Output'!$C$14:$C$131,'Bloomberg Output'!$L$14:$L$131)</f>
        <v>#N/A</v>
      </c>
      <c r="G78" s="276" t="e">
        <f>+_xlfn.XLOOKUP($B78,'Bloomberg Output'!$C$14:$C$131,'Bloomberg Output'!$N$14:$N$131)</f>
        <v>#N/A</v>
      </c>
      <c r="H78" s="282">
        <v>1</v>
      </c>
      <c r="I78" s="269" t="e">
        <f t="shared" si="7"/>
        <v>#N/A</v>
      </c>
      <c r="J78" s="279"/>
    </row>
    <row r="79" spans="2:83" ht="14.5" customHeight="1" x14ac:dyDescent="0.4">
      <c r="B79" s="275">
        <f>'Bloomberg Output'!C25</f>
        <v>0</v>
      </c>
      <c r="C79" s="275"/>
      <c r="D79" s="275"/>
      <c r="E79" s="275"/>
      <c r="F79" s="276" t="e">
        <f>+_xlfn.XLOOKUP($B79,'Bloomberg Output'!$C$14:$C$131,'Bloomberg Output'!$L$14:$L$131)</f>
        <v>#N/A</v>
      </c>
      <c r="G79" s="276" t="e">
        <f>+_xlfn.XLOOKUP($B79,'Bloomberg Output'!$C$14:$C$131,'Bloomberg Output'!$N$14:$N$131)</f>
        <v>#N/A</v>
      </c>
      <c r="H79" s="282">
        <v>1</v>
      </c>
      <c r="I79" s="269" t="e">
        <f t="shared" si="7"/>
        <v>#N/A</v>
      </c>
      <c r="J79" s="279"/>
    </row>
    <row r="80" spans="2:83" ht="14.5" customHeight="1" x14ac:dyDescent="0.4">
      <c r="B80" s="275">
        <f>'Bloomberg Output'!C26</f>
        <v>0</v>
      </c>
      <c r="C80" s="275"/>
      <c r="D80" s="275"/>
      <c r="E80" s="275"/>
      <c r="F80" s="276" t="e">
        <f>+_xlfn.XLOOKUP($B80,'Bloomberg Output'!$C$14:$C$131,'Bloomberg Output'!$L$14:$L$131)</f>
        <v>#N/A</v>
      </c>
      <c r="G80" s="276" t="e">
        <f>+_xlfn.XLOOKUP($B80,'Bloomberg Output'!$C$14:$C$131,'Bloomberg Output'!$N$14:$N$131)</f>
        <v>#N/A</v>
      </c>
      <c r="H80" s="282">
        <v>1</v>
      </c>
      <c r="I80" s="269" t="e">
        <f t="shared" si="7"/>
        <v>#N/A</v>
      </c>
      <c r="J80" s="279"/>
    </row>
    <row r="81" spans="2:10" ht="14.5" customHeight="1" x14ac:dyDescent="0.4">
      <c r="B81" s="275">
        <f>'Bloomberg Output'!C27</f>
        <v>0</v>
      </c>
      <c r="C81" s="275"/>
      <c r="D81" s="275"/>
      <c r="E81" s="275"/>
      <c r="F81" s="276" t="e">
        <f>+_xlfn.XLOOKUP($B81,'Bloomberg Output'!$C$14:$C$131,'Bloomberg Output'!$L$14:$L$131)</f>
        <v>#N/A</v>
      </c>
      <c r="G81" s="276" t="e">
        <f>+_xlfn.XLOOKUP($B81,'Bloomberg Output'!$C$14:$C$131,'Bloomberg Output'!$N$14:$N$131)</f>
        <v>#N/A</v>
      </c>
      <c r="H81" s="282">
        <v>1</v>
      </c>
      <c r="I81" s="269" t="e">
        <f t="shared" si="7"/>
        <v>#N/A</v>
      </c>
      <c r="J81" s="279"/>
    </row>
    <row r="82" spans="2:10" ht="14.5" customHeight="1" x14ac:dyDescent="0.4">
      <c r="B82" s="275">
        <f>'Bloomberg Output'!C28</f>
        <v>0</v>
      </c>
      <c r="C82" s="275"/>
      <c r="D82" s="275"/>
      <c r="E82" s="275"/>
      <c r="F82" s="276" t="e">
        <f>+_xlfn.XLOOKUP($B82,'Bloomberg Output'!$C$14:$C$131,'Bloomberg Output'!$L$14:$L$131)</f>
        <v>#N/A</v>
      </c>
      <c r="G82" s="276" t="e">
        <f>+_xlfn.XLOOKUP($B82,'Bloomberg Output'!$C$14:$C$131,'Bloomberg Output'!$N$14:$N$131)</f>
        <v>#N/A</v>
      </c>
      <c r="H82" s="282">
        <v>1</v>
      </c>
      <c r="I82" s="269" t="e">
        <f t="shared" si="7"/>
        <v>#N/A</v>
      </c>
      <c r="J82" s="279"/>
    </row>
    <row r="83" spans="2:10" ht="14.5" customHeight="1" x14ac:dyDescent="0.4">
      <c r="B83" s="275">
        <f>'Bloomberg Output'!C29</f>
        <v>0</v>
      </c>
      <c r="C83" s="275"/>
      <c r="D83" s="275"/>
      <c r="E83" s="275"/>
      <c r="F83" s="276" t="e">
        <f>+_xlfn.XLOOKUP($B83,'Bloomberg Output'!$C$14:$C$131,'Bloomberg Output'!$L$14:$L$131)</f>
        <v>#N/A</v>
      </c>
      <c r="G83" s="276" t="e">
        <f>+_xlfn.XLOOKUP($B83,'Bloomberg Output'!$C$14:$C$131,'Bloomberg Output'!$N$14:$N$131)</f>
        <v>#N/A</v>
      </c>
      <c r="H83" s="282">
        <v>1</v>
      </c>
      <c r="I83" s="269" t="e">
        <f t="shared" si="7"/>
        <v>#N/A</v>
      </c>
      <c r="J83" s="279"/>
    </row>
    <row r="84" spans="2:10" ht="14.5" customHeight="1" x14ac:dyDescent="0.4">
      <c r="B84" s="275">
        <f>'Bloomberg Output'!C30</f>
        <v>0</v>
      </c>
      <c r="C84" s="275"/>
      <c r="D84" s="275"/>
      <c r="E84" s="275"/>
      <c r="F84" s="276" t="e">
        <f>+_xlfn.XLOOKUP($B84,'Bloomberg Output'!$C$14:$C$131,'Bloomberg Output'!$L$14:$L$131)</f>
        <v>#N/A</v>
      </c>
      <c r="G84" s="276" t="e">
        <f>+_xlfn.XLOOKUP($B84,'Bloomberg Output'!$C$14:$C$131,'Bloomberg Output'!$N$14:$N$131)</f>
        <v>#N/A</v>
      </c>
      <c r="H84" s="282">
        <v>1</v>
      </c>
      <c r="I84" s="269" t="e">
        <f t="shared" si="7"/>
        <v>#N/A</v>
      </c>
      <c r="J84" s="279"/>
    </row>
    <row r="85" spans="2:10" ht="14.5" customHeight="1" x14ac:dyDescent="0.4">
      <c r="B85" s="275">
        <f>'Bloomberg Output'!C31</f>
        <v>0</v>
      </c>
      <c r="C85" s="275"/>
      <c r="D85" s="275"/>
      <c r="E85" s="275"/>
      <c r="F85" s="276" t="e">
        <f>+_xlfn.XLOOKUP($B85,'Bloomberg Output'!$C$14:$C$131,'Bloomberg Output'!$L$14:$L$131)</f>
        <v>#N/A</v>
      </c>
      <c r="G85" s="276" t="e">
        <f>+_xlfn.XLOOKUP($B85,'Bloomberg Output'!$C$14:$C$131,'Bloomberg Output'!$N$14:$N$131)</f>
        <v>#N/A</v>
      </c>
      <c r="H85" s="282">
        <v>1</v>
      </c>
      <c r="I85" s="269" t="e">
        <f t="shared" si="7"/>
        <v>#N/A</v>
      </c>
      <c r="J85" s="279"/>
    </row>
    <row r="86" spans="2:10" ht="14.5" customHeight="1" x14ac:dyDescent="0.4">
      <c r="B86" s="275">
        <f>'Bloomberg Output'!C32</f>
        <v>0</v>
      </c>
      <c r="C86" s="275"/>
      <c r="D86" s="275"/>
      <c r="E86" s="275"/>
      <c r="F86" s="276" t="e">
        <f>+_xlfn.XLOOKUP($B86,'Bloomberg Output'!$C$14:$C$131,'Bloomberg Output'!$L$14:$L$131)</f>
        <v>#N/A</v>
      </c>
      <c r="G86" s="276" t="e">
        <f>+_xlfn.XLOOKUP($B86,'Bloomberg Output'!$C$14:$C$131,'Bloomberg Output'!$N$14:$N$131)</f>
        <v>#N/A</v>
      </c>
      <c r="H86" s="282">
        <v>1</v>
      </c>
      <c r="I86" s="269" t="e">
        <f t="shared" si="7"/>
        <v>#N/A</v>
      </c>
      <c r="J86" s="279"/>
    </row>
    <row r="87" spans="2:10" ht="14.5" customHeight="1" x14ac:dyDescent="0.4">
      <c r="B87" s="275">
        <f>'Bloomberg Output'!C33</f>
        <v>0</v>
      </c>
      <c r="C87" s="275"/>
      <c r="D87" s="275"/>
      <c r="E87" s="275"/>
      <c r="F87" s="276" t="e">
        <f>+_xlfn.XLOOKUP($B87,'Bloomberg Output'!$C$14:$C$131,'Bloomberg Output'!$L$14:$L$131)</f>
        <v>#N/A</v>
      </c>
      <c r="G87" s="276" t="e">
        <f>+_xlfn.XLOOKUP($B87,'Bloomberg Output'!$C$14:$C$131,'Bloomberg Output'!$N$14:$N$131)</f>
        <v>#N/A</v>
      </c>
      <c r="H87" s="282">
        <v>1</v>
      </c>
      <c r="I87" s="269" t="e">
        <f t="shared" si="7"/>
        <v>#N/A</v>
      </c>
      <c r="J87" s="279"/>
    </row>
    <row r="88" spans="2:10" ht="14.5" customHeight="1" x14ac:dyDescent="0.4">
      <c r="B88" s="275">
        <f>'Bloomberg Output'!C34</f>
        <v>0</v>
      </c>
      <c r="C88" s="275"/>
      <c r="D88" s="275"/>
      <c r="E88" s="275"/>
      <c r="F88" s="276" t="e">
        <f>+_xlfn.XLOOKUP($B88,'Bloomberg Output'!$C$14:$C$131,'Bloomberg Output'!$L$14:$L$131)</f>
        <v>#N/A</v>
      </c>
      <c r="G88" s="276" t="e">
        <f>+_xlfn.XLOOKUP($B88,'Bloomberg Output'!$C$14:$C$131,'Bloomberg Output'!$N$14:$N$131)</f>
        <v>#N/A</v>
      </c>
      <c r="H88" s="282">
        <v>1</v>
      </c>
      <c r="I88" s="269" t="e">
        <f t="shared" si="7"/>
        <v>#N/A</v>
      </c>
      <c r="J88" s="279"/>
    </row>
    <row r="89" spans="2:10" ht="14.5" customHeight="1" x14ac:dyDescent="0.4">
      <c r="B89" s="275">
        <f>'Bloomberg Output'!C35</f>
        <v>0</v>
      </c>
      <c r="C89" s="275"/>
      <c r="D89" s="275"/>
      <c r="E89" s="275"/>
      <c r="F89" s="276" t="e">
        <f>+_xlfn.XLOOKUP($B89,'Bloomberg Output'!$C$14:$C$131,'Bloomberg Output'!$L$14:$L$131)</f>
        <v>#N/A</v>
      </c>
      <c r="G89" s="276" t="e">
        <f>+_xlfn.XLOOKUP($B89,'Bloomberg Output'!$C$14:$C$131,'Bloomberg Output'!$N$14:$N$131)</f>
        <v>#N/A</v>
      </c>
      <c r="H89" s="282">
        <v>1</v>
      </c>
      <c r="I89" s="269" t="e">
        <f t="shared" si="7"/>
        <v>#N/A</v>
      </c>
      <c r="J89" s="279"/>
    </row>
    <row r="90" spans="2:10" ht="14.5" customHeight="1" x14ac:dyDescent="0.4">
      <c r="B90" s="275">
        <f>'Bloomberg Output'!C36</f>
        <v>0</v>
      </c>
      <c r="C90" s="275"/>
      <c r="D90" s="275"/>
      <c r="E90" s="275"/>
      <c r="F90" s="276" t="e">
        <f>+_xlfn.XLOOKUP($B90,'Bloomberg Output'!$C$14:$C$131,'Bloomberg Output'!$L$14:$L$131)</f>
        <v>#N/A</v>
      </c>
      <c r="G90" s="276" t="e">
        <f>+_xlfn.XLOOKUP($B90,'Bloomberg Output'!$C$14:$C$131,'Bloomberg Output'!$N$14:$N$131)</f>
        <v>#N/A</v>
      </c>
      <c r="H90" s="282">
        <v>1</v>
      </c>
      <c r="I90" s="269" t="e">
        <f t="shared" si="7"/>
        <v>#N/A</v>
      </c>
      <c r="J90" s="279"/>
    </row>
    <row r="91" spans="2:10" ht="14.5" customHeight="1" x14ac:dyDescent="0.4">
      <c r="B91" s="275">
        <f>'Bloomberg Output'!C37</f>
        <v>0</v>
      </c>
      <c r="C91" s="275"/>
      <c r="D91" s="275"/>
      <c r="E91" s="275"/>
      <c r="F91" s="276" t="e">
        <f>+_xlfn.XLOOKUP($B91,'Bloomberg Output'!$C$14:$C$131,'Bloomberg Output'!$L$14:$L$131)</f>
        <v>#N/A</v>
      </c>
      <c r="G91" s="276" t="e">
        <f>+_xlfn.XLOOKUP($B91,'Bloomberg Output'!$C$14:$C$131,'Bloomberg Output'!$N$14:$N$131)</f>
        <v>#N/A</v>
      </c>
      <c r="H91" s="282">
        <v>1</v>
      </c>
      <c r="I91" s="269" t="e">
        <f t="shared" si="7"/>
        <v>#N/A</v>
      </c>
      <c r="J91" s="279"/>
    </row>
    <row r="92" spans="2:10" ht="14.5" customHeight="1" x14ac:dyDescent="0.4">
      <c r="B92" s="275">
        <f>'Bloomberg Output'!C38</f>
        <v>0</v>
      </c>
      <c r="C92" s="275"/>
      <c r="D92" s="275"/>
      <c r="E92" s="275"/>
      <c r="F92" s="276" t="e">
        <f>+_xlfn.XLOOKUP($B92,'Bloomberg Output'!$C$14:$C$131,'Bloomberg Output'!$L$14:$L$131)</f>
        <v>#N/A</v>
      </c>
      <c r="G92" s="276" t="e">
        <f>+_xlfn.XLOOKUP($B92,'Bloomberg Output'!$C$14:$C$131,'Bloomberg Output'!$N$14:$N$131)</f>
        <v>#N/A</v>
      </c>
      <c r="H92" s="282">
        <v>1</v>
      </c>
      <c r="I92" s="269" t="e">
        <f t="shared" si="7"/>
        <v>#N/A</v>
      </c>
      <c r="J92" s="279"/>
    </row>
    <row r="93" spans="2:10" ht="14.5" customHeight="1" x14ac:dyDescent="0.4">
      <c r="B93" s="275">
        <f>'Bloomberg Output'!C39</f>
        <v>0</v>
      </c>
      <c r="C93" s="275"/>
      <c r="D93" s="275"/>
      <c r="E93" s="275"/>
      <c r="F93" s="276" t="e">
        <f>+_xlfn.XLOOKUP($B93,'Bloomberg Output'!$C$14:$C$131,'Bloomberg Output'!$L$14:$L$131)</f>
        <v>#N/A</v>
      </c>
      <c r="G93" s="276" t="e">
        <f>+_xlfn.XLOOKUP($B93,'Bloomberg Output'!$C$14:$C$131,'Bloomberg Output'!$N$14:$N$131)</f>
        <v>#N/A</v>
      </c>
      <c r="H93" s="282">
        <v>1</v>
      </c>
      <c r="I93" s="269" t="e">
        <f t="shared" si="7"/>
        <v>#N/A</v>
      </c>
      <c r="J93" s="279"/>
    </row>
    <row r="94" spans="2:10" ht="14.5" customHeight="1" x14ac:dyDescent="0.4">
      <c r="B94" s="275">
        <f>'Bloomberg Output'!C40</f>
        <v>0</v>
      </c>
      <c r="C94" s="275"/>
      <c r="D94" s="275"/>
      <c r="E94" s="275"/>
      <c r="F94" s="276" t="e">
        <f>+_xlfn.XLOOKUP($B94,'Bloomberg Output'!$C$14:$C$131,'Bloomberg Output'!$L$14:$L$131)</f>
        <v>#N/A</v>
      </c>
      <c r="G94" s="276" t="e">
        <f>+_xlfn.XLOOKUP($B94,'Bloomberg Output'!$C$14:$C$131,'Bloomberg Output'!$N$14:$N$131)</f>
        <v>#N/A</v>
      </c>
      <c r="H94" s="282">
        <v>1</v>
      </c>
      <c r="I94" s="269" t="e">
        <f t="shared" si="7"/>
        <v>#N/A</v>
      </c>
      <c r="J94" s="279"/>
    </row>
    <row r="95" spans="2:10" ht="14.5" customHeight="1" x14ac:dyDescent="0.4">
      <c r="B95" s="275">
        <f>'Bloomberg Output'!C41</f>
        <v>0</v>
      </c>
      <c r="C95" s="275"/>
      <c r="D95" s="275"/>
      <c r="E95" s="275"/>
      <c r="F95" s="276" t="e">
        <f>+_xlfn.XLOOKUP($B95,'Bloomberg Output'!$C$14:$C$131,'Bloomberg Output'!$L$14:$L$131)</f>
        <v>#N/A</v>
      </c>
      <c r="G95" s="276" t="e">
        <f>+_xlfn.XLOOKUP($B95,'Bloomberg Output'!$C$14:$C$131,'Bloomberg Output'!$N$14:$N$131)</f>
        <v>#N/A</v>
      </c>
      <c r="H95" s="282">
        <v>1</v>
      </c>
      <c r="I95" s="269" t="e">
        <f t="shared" si="7"/>
        <v>#N/A</v>
      </c>
      <c r="J95" s="279"/>
    </row>
    <row r="96" spans="2:10" ht="14.5" customHeight="1" x14ac:dyDescent="0.4">
      <c r="B96" s="275">
        <f>'Bloomberg Output'!C42</f>
        <v>0</v>
      </c>
      <c r="C96" s="275"/>
      <c r="D96" s="275"/>
      <c r="E96" s="275"/>
      <c r="F96" s="276" t="e">
        <f>+_xlfn.XLOOKUP($B96,'Bloomberg Output'!$C$14:$C$131,'Bloomberg Output'!$L$14:$L$131)</f>
        <v>#N/A</v>
      </c>
      <c r="G96" s="276" t="e">
        <f>+_xlfn.XLOOKUP($B96,'Bloomberg Output'!$C$14:$C$131,'Bloomberg Output'!$N$14:$N$131)</f>
        <v>#N/A</v>
      </c>
      <c r="H96" s="282">
        <v>1</v>
      </c>
      <c r="I96" s="269" t="e">
        <f t="shared" si="7"/>
        <v>#N/A</v>
      </c>
      <c r="J96" s="279"/>
    </row>
    <row r="97" spans="2:10" ht="14.5" customHeight="1" x14ac:dyDescent="0.4">
      <c r="B97" s="275">
        <f>'Bloomberg Output'!C43</f>
        <v>0</v>
      </c>
      <c r="C97" s="275"/>
      <c r="D97" s="275"/>
      <c r="E97" s="275"/>
      <c r="F97" s="276" t="e">
        <f>+_xlfn.XLOOKUP($B97,'Bloomberg Output'!$C$14:$C$131,'Bloomberg Output'!$L$14:$L$131)</f>
        <v>#N/A</v>
      </c>
      <c r="G97" s="276" t="e">
        <f>+_xlfn.XLOOKUP($B97,'Bloomberg Output'!$C$14:$C$131,'Bloomberg Output'!$N$14:$N$131)</f>
        <v>#N/A</v>
      </c>
      <c r="H97" s="282">
        <v>1</v>
      </c>
      <c r="I97" s="269" t="e">
        <f t="shared" si="7"/>
        <v>#N/A</v>
      </c>
      <c r="J97" s="279"/>
    </row>
    <row r="98" spans="2:10" ht="14.5" customHeight="1" x14ac:dyDescent="0.4">
      <c r="B98" s="275">
        <f>'Bloomberg Output'!C44</f>
        <v>0</v>
      </c>
      <c r="C98" s="275"/>
      <c r="D98" s="275"/>
      <c r="E98" s="275"/>
      <c r="F98" s="276" t="e">
        <f>+_xlfn.XLOOKUP($B98,'Bloomberg Output'!$C$14:$C$131,'Bloomberg Output'!$L$14:$L$131)</f>
        <v>#N/A</v>
      </c>
      <c r="G98" s="276" t="e">
        <f>+_xlfn.XLOOKUP($B98,'Bloomberg Output'!$C$14:$C$131,'Bloomberg Output'!$N$14:$N$131)</f>
        <v>#N/A</v>
      </c>
      <c r="H98" s="282">
        <v>1</v>
      </c>
      <c r="I98" s="269" t="e">
        <f t="shared" si="7"/>
        <v>#N/A</v>
      </c>
      <c r="J98" s="279"/>
    </row>
    <row r="99" spans="2:10" ht="14.5" customHeight="1" x14ac:dyDescent="0.4">
      <c r="B99" s="275">
        <f>'Bloomberg Output'!C45</f>
        <v>0</v>
      </c>
      <c r="C99" s="275"/>
      <c r="D99" s="275"/>
      <c r="E99" s="275"/>
      <c r="F99" s="276" t="e">
        <f>+_xlfn.XLOOKUP($B99,'Bloomberg Output'!$C$14:$C$131,'Bloomberg Output'!$L$14:$L$131)</f>
        <v>#N/A</v>
      </c>
      <c r="G99" s="276" t="e">
        <f>+_xlfn.XLOOKUP($B99,'Bloomberg Output'!$C$14:$C$131,'Bloomberg Output'!$N$14:$N$131)</f>
        <v>#N/A</v>
      </c>
      <c r="H99" s="282">
        <v>1</v>
      </c>
      <c r="I99" s="269" t="e">
        <f t="shared" si="7"/>
        <v>#N/A</v>
      </c>
      <c r="J99" s="279"/>
    </row>
    <row r="100" spans="2:10" ht="14.5" customHeight="1" x14ac:dyDescent="0.4">
      <c r="B100" s="275">
        <f>'Bloomberg Output'!C46</f>
        <v>0</v>
      </c>
      <c r="C100" s="275"/>
      <c r="D100" s="275"/>
      <c r="E100" s="275"/>
      <c r="F100" s="276" t="e">
        <f>+_xlfn.XLOOKUP($B100,'Bloomberg Output'!$C$14:$C$131,'Bloomberg Output'!$L$14:$L$131)</f>
        <v>#N/A</v>
      </c>
      <c r="G100" s="276" t="e">
        <f>+_xlfn.XLOOKUP($B100,'Bloomberg Output'!$C$14:$C$131,'Bloomberg Output'!$N$14:$N$131)</f>
        <v>#N/A</v>
      </c>
      <c r="H100" s="282">
        <v>1</v>
      </c>
      <c r="I100" s="269" t="e">
        <f t="shared" si="7"/>
        <v>#N/A</v>
      </c>
      <c r="J100" s="279"/>
    </row>
    <row r="101" spans="2:10" ht="14.5" customHeight="1" x14ac:dyDescent="0.4">
      <c r="B101" s="275">
        <f>'Bloomberg Output'!C47</f>
        <v>0</v>
      </c>
      <c r="C101" s="275"/>
      <c r="D101" s="275"/>
      <c r="E101" s="275"/>
      <c r="F101" s="276" t="e">
        <f>+_xlfn.XLOOKUP($B101,'Bloomberg Output'!$C$14:$C$131,'Bloomberg Output'!$L$14:$L$131)</f>
        <v>#N/A</v>
      </c>
      <c r="G101" s="276" t="e">
        <f>+_xlfn.XLOOKUP($B101,'Bloomberg Output'!$C$14:$C$131,'Bloomberg Output'!$N$14:$N$131)</f>
        <v>#N/A</v>
      </c>
      <c r="H101" s="282">
        <v>1</v>
      </c>
      <c r="I101" s="269" t="e">
        <f t="shared" si="7"/>
        <v>#N/A</v>
      </c>
      <c r="J101" s="279"/>
    </row>
    <row r="102" spans="2:10" ht="14.5" customHeight="1" x14ac:dyDescent="0.4">
      <c r="B102" s="275">
        <f>'Bloomberg Output'!C48</f>
        <v>0</v>
      </c>
      <c r="C102" s="275"/>
      <c r="D102" s="275"/>
      <c r="E102" s="275"/>
      <c r="F102" s="276" t="e">
        <f>+_xlfn.XLOOKUP($B102,'Bloomberg Output'!$C$14:$C$131,'Bloomberg Output'!$L$14:$L$131)</f>
        <v>#N/A</v>
      </c>
      <c r="G102" s="276" t="e">
        <f>+_xlfn.XLOOKUP($B102,'Bloomberg Output'!$C$14:$C$131,'Bloomberg Output'!$N$14:$N$131)</f>
        <v>#N/A</v>
      </c>
      <c r="H102" s="282">
        <v>1</v>
      </c>
      <c r="I102" s="269" t="e">
        <f t="shared" si="7"/>
        <v>#N/A</v>
      </c>
      <c r="J102" s="279"/>
    </row>
    <row r="103" spans="2:10" ht="14.5" customHeight="1" x14ac:dyDescent="0.4">
      <c r="B103" s="275">
        <f>'Bloomberg Output'!C49</f>
        <v>0</v>
      </c>
      <c r="C103" s="275"/>
      <c r="D103" s="275"/>
      <c r="E103" s="275"/>
      <c r="F103" s="276" t="e">
        <f>+_xlfn.XLOOKUP($B103,'Bloomberg Output'!$C$14:$C$131,'Bloomberg Output'!$L$14:$L$131)</f>
        <v>#N/A</v>
      </c>
      <c r="G103" s="276" t="e">
        <f>+_xlfn.XLOOKUP($B103,'Bloomberg Output'!$C$14:$C$131,'Bloomberg Output'!$N$14:$N$131)</f>
        <v>#N/A</v>
      </c>
      <c r="H103" s="282">
        <v>1</v>
      </c>
      <c r="I103" s="269" t="e">
        <f t="shared" si="7"/>
        <v>#N/A</v>
      </c>
      <c r="J103" s="279"/>
    </row>
    <row r="104" spans="2:10" ht="14.5" customHeight="1" x14ac:dyDescent="0.4">
      <c r="B104" s="275">
        <f>'Bloomberg Output'!C50</f>
        <v>0</v>
      </c>
      <c r="C104" s="275"/>
      <c r="D104" s="275"/>
      <c r="E104" s="275"/>
      <c r="F104" s="276" t="e">
        <f>+_xlfn.XLOOKUP($B104,'Bloomberg Output'!$C$14:$C$131,'Bloomberg Output'!$L$14:$L$131)</f>
        <v>#N/A</v>
      </c>
      <c r="G104" s="276" t="e">
        <f>+_xlfn.XLOOKUP($B104,'Bloomberg Output'!$C$14:$C$131,'Bloomberg Output'!$N$14:$N$131)</f>
        <v>#N/A</v>
      </c>
      <c r="H104" s="282">
        <v>1</v>
      </c>
      <c r="I104" s="269" t="e">
        <f t="shared" si="7"/>
        <v>#N/A</v>
      </c>
      <c r="J104" s="279"/>
    </row>
    <row r="105" spans="2:10" ht="14.5" customHeight="1" x14ac:dyDescent="0.4">
      <c r="B105" s="275">
        <f>'Bloomberg Output'!C51</f>
        <v>0</v>
      </c>
      <c r="C105" s="275"/>
      <c r="D105" s="275"/>
      <c r="E105" s="275"/>
      <c r="F105" s="276" t="e">
        <f>+_xlfn.XLOOKUP($B105,'Bloomberg Output'!$C$14:$C$131,'Bloomberg Output'!$L$14:$L$131)</f>
        <v>#N/A</v>
      </c>
      <c r="G105" s="276" t="e">
        <f>+_xlfn.XLOOKUP($B105,'Bloomberg Output'!$C$14:$C$131,'Bloomberg Output'!$N$14:$N$131)</f>
        <v>#N/A</v>
      </c>
      <c r="H105" s="282">
        <v>1</v>
      </c>
      <c r="I105" s="269" t="e">
        <f t="shared" si="7"/>
        <v>#N/A</v>
      </c>
      <c r="J105" s="279"/>
    </row>
    <row r="106" spans="2:10" ht="14.5" customHeight="1" x14ac:dyDescent="0.4">
      <c r="B106" s="275">
        <f>'Bloomberg Output'!C52</f>
        <v>0</v>
      </c>
      <c r="C106" s="275"/>
      <c r="D106" s="275"/>
      <c r="E106" s="275"/>
      <c r="F106" s="276" t="e">
        <f>+_xlfn.XLOOKUP($B106,'Bloomberg Output'!$C$14:$C$131,'Bloomberg Output'!$L$14:$L$131)</f>
        <v>#N/A</v>
      </c>
      <c r="G106" s="276" t="e">
        <f>+_xlfn.XLOOKUP($B106,'Bloomberg Output'!$C$14:$C$131,'Bloomberg Output'!$N$14:$N$131)</f>
        <v>#N/A</v>
      </c>
      <c r="H106" s="282">
        <v>1</v>
      </c>
      <c r="I106" s="269" t="e">
        <f t="shared" si="7"/>
        <v>#N/A</v>
      </c>
      <c r="J106" s="279"/>
    </row>
    <row r="107" spans="2:10" ht="14.5" customHeight="1" x14ac:dyDescent="0.4">
      <c r="B107" s="275">
        <f>'Bloomberg Output'!C53</f>
        <v>0</v>
      </c>
      <c r="C107" s="275"/>
      <c r="D107" s="275"/>
      <c r="E107" s="275"/>
      <c r="F107" s="276" t="e">
        <f>+_xlfn.XLOOKUP($B107,'Bloomberg Output'!$C$14:$C$131,'Bloomberg Output'!$L$14:$L$131)</f>
        <v>#N/A</v>
      </c>
      <c r="G107" s="276" t="e">
        <f>+_xlfn.XLOOKUP($B107,'Bloomberg Output'!$C$14:$C$131,'Bloomberg Output'!$N$14:$N$131)</f>
        <v>#N/A</v>
      </c>
      <c r="H107" s="282">
        <v>1</v>
      </c>
      <c r="I107" s="269" t="e">
        <f t="shared" si="7"/>
        <v>#N/A</v>
      </c>
      <c r="J107" s="279"/>
    </row>
    <row r="108" spans="2:10" ht="14.5" customHeight="1" x14ac:dyDescent="0.4">
      <c r="B108" s="275">
        <f>'Bloomberg Output'!C54</f>
        <v>0</v>
      </c>
      <c r="C108" s="275"/>
      <c r="D108" s="275"/>
      <c r="E108" s="275"/>
      <c r="F108" s="276" t="e">
        <f>+_xlfn.XLOOKUP($B108,'Bloomberg Output'!$C$14:$C$131,'Bloomberg Output'!$L$14:$L$131)</f>
        <v>#N/A</v>
      </c>
      <c r="G108" s="276" t="e">
        <f>+_xlfn.XLOOKUP($B108,'Bloomberg Output'!$C$14:$C$131,'Bloomberg Output'!$N$14:$N$131)</f>
        <v>#N/A</v>
      </c>
      <c r="H108" s="282">
        <v>1</v>
      </c>
      <c r="I108" s="269" t="e">
        <f t="shared" si="7"/>
        <v>#N/A</v>
      </c>
      <c r="J108" s="279"/>
    </row>
    <row r="109" spans="2:10" ht="14.5" customHeight="1" x14ac:dyDescent="0.4">
      <c r="B109" s="275">
        <f>'Bloomberg Output'!C55</f>
        <v>0</v>
      </c>
      <c r="C109" s="275"/>
      <c r="D109" s="275"/>
      <c r="E109" s="275"/>
      <c r="F109" s="276" t="e">
        <f>+_xlfn.XLOOKUP($B109,'Bloomberg Output'!$C$14:$C$131,'Bloomberg Output'!$L$14:$L$131)</f>
        <v>#N/A</v>
      </c>
      <c r="G109" s="276" t="e">
        <f>+_xlfn.XLOOKUP($B109,'Bloomberg Output'!$C$14:$C$131,'Bloomberg Output'!$N$14:$N$131)</f>
        <v>#N/A</v>
      </c>
      <c r="H109" s="282">
        <v>1</v>
      </c>
      <c r="I109" s="269" t="e">
        <f t="shared" si="7"/>
        <v>#N/A</v>
      </c>
      <c r="J109" s="279"/>
    </row>
    <row r="110" spans="2:10" ht="14.5" customHeight="1" x14ac:dyDescent="0.4">
      <c r="B110" s="275">
        <f>'Bloomberg Output'!C56</f>
        <v>0</v>
      </c>
      <c r="C110" s="275"/>
      <c r="D110" s="275"/>
      <c r="E110" s="275"/>
      <c r="F110" s="276" t="e">
        <f>+_xlfn.XLOOKUP($B110,'Bloomberg Output'!$C$14:$C$131,'Bloomberg Output'!$L$14:$L$131)</f>
        <v>#N/A</v>
      </c>
      <c r="G110" s="276" t="e">
        <f>+_xlfn.XLOOKUP($B110,'Bloomberg Output'!$C$14:$C$131,'Bloomberg Output'!$N$14:$N$131)</f>
        <v>#N/A</v>
      </c>
      <c r="H110" s="282">
        <v>1</v>
      </c>
      <c r="I110" s="269" t="e">
        <f t="shared" si="7"/>
        <v>#N/A</v>
      </c>
      <c r="J110" s="279"/>
    </row>
    <row r="111" spans="2:10" ht="14.5" customHeight="1" x14ac:dyDescent="0.4">
      <c r="B111" s="275">
        <f>'Bloomberg Output'!C57</f>
        <v>0</v>
      </c>
      <c r="C111" s="275"/>
      <c r="D111" s="275"/>
      <c r="E111" s="275"/>
      <c r="F111" s="276" t="e">
        <f>+_xlfn.XLOOKUP($B111,'Bloomberg Output'!$C$14:$C$131,'Bloomberg Output'!$L$14:$L$131)</f>
        <v>#N/A</v>
      </c>
      <c r="G111" s="276" t="e">
        <f>+_xlfn.XLOOKUP($B111,'Bloomberg Output'!$C$14:$C$131,'Bloomberg Output'!$N$14:$N$131)</f>
        <v>#N/A</v>
      </c>
      <c r="H111" s="282">
        <v>1</v>
      </c>
      <c r="I111" s="269" t="e">
        <f t="shared" si="7"/>
        <v>#N/A</v>
      </c>
      <c r="J111" s="279"/>
    </row>
    <row r="112" spans="2:10" ht="14.5" customHeight="1" x14ac:dyDescent="0.4">
      <c r="B112" s="275">
        <f>'Bloomberg Output'!C58</f>
        <v>0</v>
      </c>
      <c r="C112" s="275"/>
      <c r="D112" s="275"/>
      <c r="E112" s="275"/>
      <c r="F112" s="276" t="e">
        <f>+_xlfn.XLOOKUP($B112,'Bloomberg Output'!$C$14:$C$131,'Bloomberg Output'!$L$14:$L$131)</f>
        <v>#N/A</v>
      </c>
      <c r="G112" s="276" t="e">
        <f>+_xlfn.XLOOKUP($B112,'Bloomberg Output'!$C$14:$C$131,'Bloomberg Output'!$N$14:$N$131)</f>
        <v>#N/A</v>
      </c>
      <c r="H112" s="282">
        <v>1</v>
      </c>
      <c r="I112" s="269" t="e">
        <f t="shared" si="7"/>
        <v>#N/A</v>
      </c>
      <c r="J112" s="279"/>
    </row>
    <row r="113" spans="2:10" ht="14.5" customHeight="1" x14ac:dyDescent="0.4">
      <c r="B113" s="275">
        <f>'Bloomberg Output'!C59</f>
        <v>0</v>
      </c>
      <c r="C113" s="275"/>
      <c r="D113" s="275"/>
      <c r="E113" s="275"/>
      <c r="F113" s="276" t="e">
        <f>+_xlfn.XLOOKUP($B113,'Bloomberg Output'!$C$14:$C$131,'Bloomberg Output'!$L$14:$L$131)</f>
        <v>#N/A</v>
      </c>
      <c r="G113" s="276" t="e">
        <f>+_xlfn.XLOOKUP($B113,'Bloomberg Output'!$C$14:$C$131,'Bloomberg Output'!$N$14:$N$131)</f>
        <v>#N/A</v>
      </c>
      <c r="H113" s="282">
        <v>1</v>
      </c>
      <c r="I113" s="269" t="e">
        <f t="shared" si="7"/>
        <v>#N/A</v>
      </c>
      <c r="J113" s="279"/>
    </row>
    <row r="114" spans="2:10" ht="14.5" customHeight="1" x14ac:dyDescent="0.4">
      <c r="B114" s="275">
        <f>'Bloomberg Output'!C60</f>
        <v>0</v>
      </c>
      <c r="C114" s="275"/>
      <c r="D114" s="275"/>
      <c r="E114" s="275"/>
      <c r="F114" s="276" t="e">
        <f>+_xlfn.XLOOKUP($B114,'Bloomberg Output'!$C$14:$C$131,'Bloomberg Output'!$L$14:$L$131)</f>
        <v>#N/A</v>
      </c>
      <c r="G114" s="276" t="e">
        <f>+_xlfn.XLOOKUP($B114,'Bloomberg Output'!$C$14:$C$131,'Bloomberg Output'!$N$14:$N$131)</f>
        <v>#N/A</v>
      </c>
      <c r="H114" s="282">
        <v>1</v>
      </c>
      <c r="I114" s="269" t="e">
        <f t="shared" si="7"/>
        <v>#N/A</v>
      </c>
      <c r="J114" s="279"/>
    </row>
    <row r="115" spans="2:10" ht="14.5" customHeight="1" x14ac:dyDescent="0.4">
      <c r="B115" s="275">
        <f>'Bloomberg Output'!C61</f>
        <v>0</v>
      </c>
      <c r="C115" s="275"/>
      <c r="D115" s="275"/>
      <c r="E115" s="275"/>
      <c r="F115" s="276" t="e">
        <f>+_xlfn.XLOOKUP($B115,'Bloomberg Output'!$C$14:$C$131,'Bloomberg Output'!$L$14:$L$131)</f>
        <v>#N/A</v>
      </c>
      <c r="G115" s="276" t="e">
        <f>+_xlfn.XLOOKUP($B115,'Bloomberg Output'!$C$14:$C$131,'Bloomberg Output'!$N$14:$N$131)</f>
        <v>#N/A</v>
      </c>
      <c r="H115" s="282">
        <v>1</v>
      </c>
      <c r="I115" s="269" t="e">
        <f t="shared" si="7"/>
        <v>#N/A</v>
      </c>
      <c r="J115" s="279"/>
    </row>
    <row r="116" spans="2:10" ht="14.5" customHeight="1" x14ac:dyDescent="0.4">
      <c r="B116" s="275">
        <f>'Bloomberg Output'!C62</f>
        <v>0</v>
      </c>
      <c r="C116" s="275"/>
      <c r="D116" s="275"/>
      <c r="E116" s="275"/>
      <c r="F116" s="276" t="e">
        <f>+_xlfn.XLOOKUP($B116,'Bloomberg Output'!$C$14:$C$131,'Bloomberg Output'!$L$14:$L$131)</f>
        <v>#N/A</v>
      </c>
      <c r="G116" s="276" t="e">
        <f>+_xlfn.XLOOKUP($B116,'Bloomberg Output'!$C$14:$C$131,'Bloomberg Output'!$N$14:$N$131)</f>
        <v>#N/A</v>
      </c>
      <c r="H116" s="282">
        <v>1</v>
      </c>
      <c r="I116" s="269" t="e">
        <f t="shared" si="7"/>
        <v>#N/A</v>
      </c>
      <c r="J116" s="279"/>
    </row>
    <row r="117" spans="2:10" ht="14.5" customHeight="1" x14ac:dyDescent="0.4">
      <c r="B117" s="275">
        <f>'Bloomberg Output'!C63</f>
        <v>0</v>
      </c>
      <c r="C117" s="275"/>
      <c r="D117" s="275"/>
      <c r="E117" s="275"/>
      <c r="F117" s="276" t="e">
        <f>+_xlfn.XLOOKUP($B117,'Bloomberg Output'!$C$14:$C$131,'Bloomberg Output'!$L$14:$L$131)</f>
        <v>#N/A</v>
      </c>
      <c r="G117" s="276" t="e">
        <f>+_xlfn.XLOOKUP($B117,'Bloomberg Output'!$C$14:$C$131,'Bloomberg Output'!$N$14:$N$131)</f>
        <v>#N/A</v>
      </c>
      <c r="H117" s="282">
        <v>1</v>
      </c>
      <c r="I117" s="269" t="e">
        <f t="shared" si="7"/>
        <v>#N/A</v>
      </c>
      <c r="J117" s="279"/>
    </row>
    <row r="118" spans="2:10" ht="14.5" customHeight="1" x14ac:dyDescent="0.4">
      <c r="B118" s="275">
        <f>'Bloomberg Output'!C64</f>
        <v>0</v>
      </c>
      <c r="C118" s="275"/>
      <c r="D118" s="275"/>
      <c r="E118" s="275"/>
      <c r="F118" s="276" t="e">
        <f>+_xlfn.XLOOKUP($B118,'Bloomberg Output'!$C$14:$C$131,'Bloomberg Output'!$L$14:$L$131)</f>
        <v>#N/A</v>
      </c>
      <c r="G118" s="276" t="e">
        <f>+_xlfn.XLOOKUP($B118,'Bloomberg Output'!$C$14:$C$131,'Bloomberg Output'!$N$14:$N$131)</f>
        <v>#N/A</v>
      </c>
      <c r="H118" s="282">
        <v>1</v>
      </c>
      <c r="I118" s="269" t="e">
        <f t="shared" si="7"/>
        <v>#N/A</v>
      </c>
      <c r="J118" s="279"/>
    </row>
    <row r="119" spans="2:10" ht="14.5" customHeight="1" x14ac:dyDescent="0.4">
      <c r="B119" s="275">
        <f>'Bloomberg Output'!C65</f>
        <v>0</v>
      </c>
      <c r="C119" s="275"/>
      <c r="D119" s="275"/>
      <c r="E119" s="275"/>
      <c r="F119" s="276" t="e">
        <f>+_xlfn.XLOOKUP($B119,'Bloomberg Output'!$C$14:$C$131,'Bloomberg Output'!$L$14:$L$131)</f>
        <v>#N/A</v>
      </c>
      <c r="G119" s="276" t="e">
        <f>+_xlfn.XLOOKUP($B119,'Bloomberg Output'!$C$14:$C$131,'Bloomberg Output'!$N$14:$N$131)</f>
        <v>#N/A</v>
      </c>
      <c r="H119" s="282">
        <v>1</v>
      </c>
      <c r="I119" s="269" t="e">
        <f t="shared" si="7"/>
        <v>#N/A</v>
      </c>
      <c r="J119" s="279"/>
    </row>
    <row r="120" spans="2:10" ht="14.5" customHeight="1" x14ac:dyDescent="0.4">
      <c r="B120" s="275">
        <f>'Bloomberg Output'!C66</f>
        <v>0</v>
      </c>
      <c r="C120" s="275"/>
      <c r="D120" s="275"/>
      <c r="E120" s="275"/>
      <c r="F120" s="276" t="e">
        <f>+_xlfn.XLOOKUP($B120,'Bloomberg Output'!$C$14:$C$131,'Bloomberg Output'!$L$14:$L$131)</f>
        <v>#N/A</v>
      </c>
      <c r="G120" s="276" t="e">
        <f>+_xlfn.XLOOKUP($B120,'Bloomberg Output'!$C$14:$C$131,'Bloomberg Output'!$N$14:$N$131)</f>
        <v>#N/A</v>
      </c>
      <c r="H120" s="282">
        <v>1</v>
      </c>
      <c r="I120" s="269" t="e">
        <f t="shared" si="7"/>
        <v>#N/A</v>
      </c>
      <c r="J120" s="279"/>
    </row>
    <row r="121" spans="2:10" ht="14.5" customHeight="1" x14ac:dyDescent="0.4">
      <c r="B121" s="275">
        <f>'Bloomberg Output'!C67</f>
        <v>0</v>
      </c>
      <c r="C121" s="275"/>
      <c r="D121" s="275"/>
      <c r="E121" s="275"/>
      <c r="F121" s="276" t="e">
        <f>+_xlfn.XLOOKUP($B121,'Bloomberg Output'!$C$14:$C$131,'Bloomberg Output'!$L$14:$L$131)</f>
        <v>#N/A</v>
      </c>
      <c r="G121" s="276" t="e">
        <f>+_xlfn.XLOOKUP($B121,'Bloomberg Output'!$C$14:$C$131,'Bloomberg Output'!$N$14:$N$131)</f>
        <v>#N/A</v>
      </c>
      <c r="H121" s="282">
        <v>1</v>
      </c>
      <c r="I121" s="269" t="e">
        <f t="shared" si="7"/>
        <v>#N/A</v>
      </c>
      <c r="J121" s="279"/>
    </row>
    <row r="122" spans="2:10" ht="14.5" customHeight="1" x14ac:dyDescent="0.4">
      <c r="B122" s="275">
        <f>'Bloomberg Output'!C68</f>
        <v>0</v>
      </c>
      <c r="C122" s="275"/>
      <c r="D122" s="275"/>
      <c r="E122" s="275"/>
      <c r="F122" s="276" t="e">
        <f>+_xlfn.XLOOKUP($B122,'Bloomberg Output'!$C$14:$C$131,'Bloomberg Output'!$L$14:$L$131)</f>
        <v>#N/A</v>
      </c>
      <c r="G122" s="276" t="e">
        <f>+_xlfn.XLOOKUP($B122,'Bloomberg Output'!$C$14:$C$131,'Bloomberg Output'!$N$14:$N$131)</f>
        <v>#N/A</v>
      </c>
      <c r="H122" s="282">
        <v>1</v>
      </c>
      <c r="I122" s="269" t="e">
        <f t="shared" si="7"/>
        <v>#N/A</v>
      </c>
      <c r="J122" s="279"/>
    </row>
    <row r="123" spans="2:10" ht="14.5" customHeight="1" x14ac:dyDescent="0.4">
      <c r="B123" s="275">
        <f>'Bloomberg Output'!C69</f>
        <v>0</v>
      </c>
      <c r="C123" s="275"/>
      <c r="D123" s="275"/>
      <c r="E123" s="275"/>
      <c r="F123" s="276" t="e">
        <f>+_xlfn.XLOOKUP($B123,'Bloomberg Output'!$C$14:$C$131,'Bloomberg Output'!$L$14:$L$131)</f>
        <v>#N/A</v>
      </c>
      <c r="G123" s="276" t="e">
        <f>+_xlfn.XLOOKUP($B123,'Bloomberg Output'!$C$14:$C$131,'Bloomberg Output'!$N$14:$N$131)</f>
        <v>#N/A</v>
      </c>
      <c r="H123" s="282">
        <v>1</v>
      </c>
      <c r="I123" s="269" t="e">
        <f t="shared" si="7"/>
        <v>#N/A</v>
      </c>
      <c r="J123" s="279"/>
    </row>
    <row r="124" spans="2:10" ht="14.5" customHeight="1" x14ac:dyDescent="0.4">
      <c r="B124" s="275">
        <f>'Bloomberg Output'!C70</f>
        <v>0</v>
      </c>
      <c r="C124" s="275"/>
      <c r="D124" s="275"/>
      <c r="E124" s="275"/>
      <c r="F124" s="276" t="e">
        <f>+_xlfn.XLOOKUP($B124,'Bloomberg Output'!$C$14:$C$131,'Bloomberg Output'!$L$14:$L$131)</f>
        <v>#N/A</v>
      </c>
      <c r="G124" s="276" t="e">
        <f>+_xlfn.XLOOKUP($B124,'Bloomberg Output'!$C$14:$C$131,'Bloomberg Output'!$N$14:$N$131)</f>
        <v>#N/A</v>
      </c>
      <c r="H124" s="282">
        <v>1</v>
      </c>
      <c r="I124" s="269" t="e">
        <f t="shared" si="7"/>
        <v>#N/A</v>
      </c>
      <c r="J124" s="279"/>
    </row>
    <row r="125" spans="2:10" ht="14.5" customHeight="1" x14ac:dyDescent="0.4">
      <c r="B125" s="275">
        <f>'Bloomberg Output'!C71</f>
        <v>0</v>
      </c>
      <c r="C125" s="275"/>
      <c r="D125" s="275"/>
      <c r="E125" s="275"/>
      <c r="F125" s="276" t="e">
        <f>+_xlfn.XLOOKUP($B125,'Bloomberg Output'!$C$14:$C$131,'Bloomberg Output'!$L$14:$L$131)</f>
        <v>#N/A</v>
      </c>
      <c r="G125" s="276" t="e">
        <f>+_xlfn.XLOOKUP($B125,'Bloomberg Output'!$C$14:$C$131,'Bloomberg Output'!$N$14:$N$131)</f>
        <v>#N/A</v>
      </c>
      <c r="H125" s="282">
        <v>1</v>
      </c>
      <c r="I125" s="269" t="e">
        <f t="shared" si="7"/>
        <v>#N/A</v>
      </c>
      <c r="J125" s="279"/>
    </row>
    <row r="126" spans="2:10" ht="14.5" customHeight="1" x14ac:dyDescent="0.4">
      <c r="B126" s="275">
        <f>'Bloomberg Output'!C72</f>
        <v>0</v>
      </c>
      <c r="C126" s="275"/>
      <c r="D126" s="275"/>
      <c r="E126" s="275"/>
      <c r="F126" s="276" t="e">
        <f>+_xlfn.XLOOKUP($B126,'Bloomberg Output'!$C$14:$C$131,'Bloomberg Output'!$L$14:$L$131)</f>
        <v>#N/A</v>
      </c>
      <c r="G126" s="276" t="e">
        <f>+_xlfn.XLOOKUP($B126,'Bloomberg Output'!$C$14:$C$131,'Bloomberg Output'!$N$14:$N$131)</f>
        <v>#N/A</v>
      </c>
      <c r="H126" s="282">
        <v>1</v>
      </c>
      <c r="I126" s="269" t="e">
        <f t="shared" si="7"/>
        <v>#N/A</v>
      </c>
      <c r="J126" s="279"/>
    </row>
    <row r="127" spans="2:10" ht="14.5" customHeight="1" x14ac:dyDescent="0.4">
      <c r="B127" s="275">
        <f>'Bloomberg Output'!C73</f>
        <v>0</v>
      </c>
      <c r="C127" s="275"/>
      <c r="D127" s="275"/>
      <c r="E127" s="275"/>
      <c r="F127" s="276" t="e">
        <f>+_xlfn.XLOOKUP($B127,'Bloomberg Output'!$C$14:$C$131,'Bloomberg Output'!$L$14:$L$131)</f>
        <v>#N/A</v>
      </c>
      <c r="G127" s="276" t="e">
        <f>+_xlfn.XLOOKUP($B127,'Bloomberg Output'!$C$14:$C$131,'Bloomberg Output'!$N$14:$N$131)</f>
        <v>#N/A</v>
      </c>
      <c r="H127" s="282">
        <v>1</v>
      </c>
      <c r="I127" s="269" t="e">
        <f t="shared" si="7"/>
        <v>#N/A</v>
      </c>
      <c r="J127" s="279"/>
    </row>
    <row r="128" spans="2:10" ht="14.5" customHeight="1" x14ac:dyDescent="0.4">
      <c r="B128" s="275">
        <f>'Bloomberg Output'!C74</f>
        <v>0</v>
      </c>
      <c r="C128" s="275"/>
      <c r="D128" s="275"/>
      <c r="E128" s="275"/>
      <c r="F128" s="276" t="e">
        <f>+_xlfn.XLOOKUP($B128,'Bloomberg Output'!$C$14:$C$131,'Bloomberg Output'!$L$14:$L$131)</f>
        <v>#N/A</v>
      </c>
      <c r="G128" s="276" t="e">
        <f>+_xlfn.XLOOKUP($B128,'Bloomberg Output'!$C$14:$C$131,'Bloomberg Output'!$N$14:$N$131)</f>
        <v>#N/A</v>
      </c>
      <c r="H128" s="282">
        <v>1</v>
      </c>
      <c r="I128" s="269" t="e">
        <f t="shared" si="7"/>
        <v>#N/A</v>
      </c>
      <c r="J128" s="279"/>
    </row>
    <row r="129" spans="2:10" ht="14.5" customHeight="1" x14ac:dyDescent="0.4">
      <c r="B129" s="275">
        <f>'Bloomberg Output'!C75</f>
        <v>0</v>
      </c>
      <c r="C129" s="275"/>
      <c r="D129" s="275"/>
      <c r="E129" s="275"/>
      <c r="F129" s="276" t="e">
        <f>+_xlfn.XLOOKUP($B129,'Bloomberg Output'!$C$14:$C$131,'Bloomberg Output'!$L$14:$L$131)</f>
        <v>#N/A</v>
      </c>
      <c r="G129" s="276" t="e">
        <f>+_xlfn.XLOOKUP($B129,'Bloomberg Output'!$C$14:$C$131,'Bloomberg Output'!$N$14:$N$131)</f>
        <v>#N/A</v>
      </c>
      <c r="H129" s="282">
        <v>1</v>
      </c>
      <c r="I129" s="269" t="e">
        <f t="shared" si="7"/>
        <v>#N/A</v>
      </c>
      <c r="J129" s="279"/>
    </row>
    <row r="130" spans="2:10" ht="14.5" customHeight="1" x14ac:dyDescent="0.4">
      <c r="B130" s="275">
        <f>'Bloomberg Output'!C76</f>
        <v>0</v>
      </c>
      <c r="C130" s="275"/>
      <c r="D130" s="275"/>
      <c r="E130" s="275"/>
      <c r="F130" s="276" t="e">
        <f>+_xlfn.XLOOKUP($B130,'Bloomberg Output'!$C$14:$C$131,'Bloomberg Output'!$L$14:$L$131)</f>
        <v>#N/A</v>
      </c>
      <c r="G130" s="276" t="e">
        <f>+_xlfn.XLOOKUP($B130,'Bloomberg Output'!$C$14:$C$131,'Bloomberg Output'!$N$14:$N$131)</f>
        <v>#N/A</v>
      </c>
      <c r="H130" s="282">
        <v>1</v>
      </c>
      <c r="I130" s="269" t="e">
        <f t="shared" si="7"/>
        <v>#N/A</v>
      </c>
      <c r="J130" s="279"/>
    </row>
    <row r="131" spans="2:10" ht="14.5" customHeight="1" x14ac:dyDescent="0.4">
      <c r="B131" s="275">
        <f>'Bloomberg Output'!C77</f>
        <v>0</v>
      </c>
      <c r="C131" s="275"/>
      <c r="D131" s="275"/>
      <c r="E131" s="275"/>
      <c r="F131" s="276" t="e">
        <f>+_xlfn.XLOOKUP($B131,'Bloomberg Output'!$C$14:$C$131,'Bloomberg Output'!$L$14:$L$131)</f>
        <v>#N/A</v>
      </c>
      <c r="G131" s="276" t="e">
        <f>+_xlfn.XLOOKUP($B131,'Bloomberg Output'!$C$14:$C$131,'Bloomberg Output'!$N$14:$N$131)</f>
        <v>#N/A</v>
      </c>
      <c r="H131" s="282">
        <v>1</v>
      </c>
      <c r="I131" s="269" t="e">
        <f t="shared" si="7"/>
        <v>#N/A</v>
      </c>
      <c r="J131" s="279"/>
    </row>
    <row r="132" spans="2:10" ht="14.5" customHeight="1" x14ac:dyDescent="0.4">
      <c r="B132" s="275">
        <f>'Bloomberg Output'!C78</f>
        <v>0</v>
      </c>
      <c r="C132" s="275"/>
      <c r="D132" s="275"/>
      <c r="E132" s="275"/>
      <c r="F132" s="276" t="e">
        <f>+_xlfn.XLOOKUP($B132,'Bloomberg Output'!$C$14:$C$131,'Bloomberg Output'!$L$14:$L$131)</f>
        <v>#N/A</v>
      </c>
      <c r="G132" s="276" t="e">
        <f>+_xlfn.XLOOKUP($B132,'Bloomberg Output'!$C$14:$C$131,'Bloomberg Output'!$N$14:$N$131)</f>
        <v>#N/A</v>
      </c>
      <c r="H132" s="282">
        <v>1</v>
      </c>
      <c r="I132" s="269" t="e">
        <f t="shared" ref="I132:I185" si="8">H132*F132</f>
        <v>#N/A</v>
      </c>
      <c r="J132" s="279"/>
    </row>
    <row r="133" spans="2:10" ht="14.5" customHeight="1" x14ac:dyDescent="0.4">
      <c r="B133" s="275">
        <f>'Bloomberg Output'!C79</f>
        <v>0</v>
      </c>
      <c r="C133" s="275"/>
      <c r="D133" s="275"/>
      <c r="E133" s="275"/>
      <c r="F133" s="276" t="e">
        <f>+_xlfn.XLOOKUP($B133,'Bloomberg Output'!$C$14:$C$131,'Bloomberg Output'!$L$14:$L$131)</f>
        <v>#N/A</v>
      </c>
      <c r="G133" s="276" t="e">
        <f>+_xlfn.XLOOKUP($B133,'Bloomberg Output'!$C$14:$C$131,'Bloomberg Output'!$N$14:$N$131)</f>
        <v>#N/A</v>
      </c>
      <c r="H133" s="282">
        <v>1</v>
      </c>
      <c r="I133" s="269" t="e">
        <f t="shared" si="8"/>
        <v>#N/A</v>
      </c>
      <c r="J133" s="279"/>
    </row>
    <row r="134" spans="2:10" ht="14.5" customHeight="1" x14ac:dyDescent="0.4">
      <c r="B134" s="275">
        <f>'Bloomberg Output'!C80</f>
        <v>0</v>
      </c>
      <c r="C134" s="275"/>
      <c r="D134" s="275"/>
      <c r="E134" s="275"/>
      <c r="F134" s="276" t="e">
        <f>+_xlfn.XLOOKUP($B134,'Bloomberg Output'!$C$14:$C$131,'Bloomberg Output'!$L$14:$L$131)</f>
        <v>#N/A</v>
      </c>
      <c r="G134" s="276" t="e">
        <f>+_xlfn.XLOOKUP($B134,'Bloomberg Output'!$C$14:$C$131,'Bloomberg Output'!$N$14:$N$131)</f>
        <v>#N/A</v>
      </c>
      <c r="H134" s="282">
        <v>1</v>
      </c>
      <c r="I134" s="269" t="e">
        <f t="shared" si="8"/>
        <v>#N/A</v>
      </c>
      <c r="J134" s="279"/>
    </row>
    <row r="135" spans="2:10" ht="14.5" customHeight="1" x14ac:dyDescent="0.4">
      <c r="B135" s="275">
        <f>'Bloomberg Output'!C81</f>
        <v>0</v>
      </c>
      <c r="C135" s="275"/>
      <c r="D135" s="275"/>
      <c r="E135" s="275"/>
      <c r="F135" s="276" t="e">
        <f>+_xlfn.XLOOKUP($B135,'Bloomberg Output'!$C$14:$C$131,'Bloomberg Output'!$L$14:$L$131)</f>
        <v>#N/A</v>
      </c>
      <c r="G135" s="276" t="e">
        <f>+_xlfn.XLOOKUP($B135,'Bloomberg Output'!$C$14:$C$131,'Bloomberg Output'!$N$14:$N$131)</f>
        <v>#N/A</v>
      </c>
      <c r="H135" s="282">
        <v>1</v>
      </c>
      <c r="I135" s="269" t="e">
        <f t="shared" si="8"/>
        <v>#N/A</v>
      </c>
      <c r="J135" s="279"/>
    </row>
    <row r="136" spans="2:10" ht="14.5" customHeight="1" x14ac:dyDescent="0.4">
      <c r="B136" s="275">
        <f>'Bloomberg Output'!C82</f>
        <v>0</v>
      </c>
      <c r="C136" s="275"/>
      <c r="D136" s="275"/>
      <c r="E136" s="275"/>
      <c r="F136" s="276" t="e">
        <f>+_xlfn.XLOOKUP($B136,'Bloomberg Output'!$C$14:$C$131,'Bloomberg Output'!$L$14:$L$131)</f>
        <v>#N/A</v>
      </c>
      <c r="G136" s="276" t="e">
        <f>+_xlfn.XLOOKUP($B136,'Bloomberg Output'!$C$14:$C$131,'Bloomberg Output'!$N$14:$N$131)</f>
        <v>#N/A</v>
      </c>
      <c r="H136" s="282">
        <v>1</v>
      </c>
      <c r="I136" s="269" t="e">
        <f t="shared" si="8"/>
        <v>#N/A</v>
      </c>
      <c r="J136" s="279"/>
    </row>
    <row r="137" spans="2:10" ht="14.5" customHeight="1" x14ac:dyDescent="0.4">
      <c r="B137" s="275">
        <f>'Bloomberg Output'!C83</f>
        <v>0</v>
      </c>
      <c r="C137" s="275"/>
      <c r="D137" s="275"/>
      <c r="E137" s="275"/>
      <c r="F137" s="276" t="e">
        <f>+_xlfn.XLOOKUP($B137,'Bloomberg Output'!$C$14:$C$131,'Bloomberg Output'!$L$14:$L$131)</f>
        <v>#N/A</v>
      </c>
      <c r="G137" s="276" t="e">
        <f>+_xlfn.XLOOKUP($B137,'Bloomberg Output'!$C$14:$C$131,'Bloomberg Output'!$N$14:$N$131)</f>
        <v>#N/A</v>
      </c>
      <c r="H137" s="282">
        <v>1</v>
      </c>
      <c r="I137" s="269" t="e">
        <f t="shared" si="8"/>
        <v>#N/A</v>
      </c>
      <c r="J137" s="279"/>
    </row>
    <row r="138" spans="2:10" ht="14.5" customHeight="1" x14ac:dyDescent="0.4">
      <c r="B138" s="275">
        <f>'Bloomberg Output'!C84</f>
        <v>0</v>
      </c>
      <c r="C138" s="275"/>
      <c r="D138" s="275"/>
      <c r="E138" s="275"/>
      <c r="F138" s="276" t="e">
        <f>+_xlfn.XLOOKUP($B138,'Bloomberg Output'!$C$14:$C$131,'Bloomberg Output'!$L$14:$L$131)</f>
        <v>#N/A</v>
      </c>
      <c r="G138" s="276" t="e">
        <f>+_xlfn.XLOOKUP($B138,'Bloomberg Output'!$C$14:$C$131,'Bloomberg Output'!$N$14:$N$131)</f>
        <v>#N/A</v>
      </c>
      <c r="H138" s="282">
        <v>1</v>
      </c>
      <c r="I138" s="269" t="e">
        <f t="shared" si="8"/>
        <v>#N/A</v>
      </c>
      <c r="J138" s="279"/>
    </row>
    <row r="139" spans="2:10" ht="14.5" customHeight="1" x14ac:dyDescent="0.4">
      <c r="B139" s="275">
        <f>'Bloomberg Output'!C85</f>
        <v>0</v>
      </c>
      <c r="C139" s="275"/>
      <c r="D139" s="275"/>
      <c r="E139" s="275"/>
      <c r="F139" s="276" t="e">
        <f>+_xlfn.XLOOKUP($B139,'Bloomberg Output'!$C$14:$C$131,'Bloomberg Output'!$L$14:$L$131)</f>
        <v>#N/A</v>
      </c>
      <c r="G139" s="276" t="e">
        <f>+_xlfn.XLOOKUP($B139,'Bloomberg Output'!$C$14:$C$131,'Bloomberg Output'!$N$14:$N$131)</f>
        <v>#N/A</v>
      </c>
      <c r="H139" s="282">
        <v>1</v>
      </c>
      <c r="I139" s="269" t="e">
        <f t="shared" si="8"/>
        <v>#N/A</v>
      </c>
      <c r="J139" s="279"/>
    </row>
    <row r="140" spans="2:10" ht="14.5" customHeight="1" x14ac:dyDescent="0.4">
      <c r="B140" s="275">
        <f>'Bloomberg Output'!C86</f>
        <v>0</v>
      </c>
      <c r="C140" s="275"/>
      <c r="D140" s="275"/>
      <c r="E140" s="275"/>
      <c r="F140" s="276" t="e">
        <f>+_xlfn.XLOOKUP($B140,'Bloomberg Output'!$C$14:$C$131,'Bloomberg Output'!$L$14:$L$131)</f>
        <v>#N/A</v>
      </c>
      <c r="G140" s="276" t="e">
        <f>+_xlfn.XLOOKUP($B140,'Bloomberg Output'!$C$14:$C$131,'Bloomberg Output'!$N$14:$N$131)</f>
        <v>#N/A</v>
      </c>
      <c r="H140" s="282">
        <v>1</v>
      </c>
      <c r="I140" s="269" t="e">
        <f t="shared" si="8"/>
        <v>#N/A</v>
      </c>
      <c r="J140" s="279"/>
    </row>
    <row r="141" spans="2:10" ht="14.5" customHeight="1" x14ac:dyDescent="0.4">
      <c r="B141" s="275">
        <f>'Bloomberg Output'!C87</f>
        <v>0</v>
      </c>
      <c r="C141" s="275"/>
      <c r="D141" s="275"/>
      <c r="E141" s="275"/>
      <c r="F141" s="276" t="e">
        <f>+_xlfn.XLOOKUP($B141,'Bloomberg Output'!$C$14:$C$131,'Bloomberg Output'!$L$14:$L$131)</f>
        <v>#N/A</v>
      </c>
      <c r="G141" s="276" t="e">
        <f>+_xlfn.XLOOKUP($B141,'Bloomberg Output'!$C$14:$C$131,'Bloomberg Output'!$N$14:$N$131)</f>
        <v>#N/A</v>
      </c>
      <c r="H141" s="282">
        <v>1</v>
      </c>
      <c r="I141" s="269" t="e">
        <f t="shared" si="8"/>
        <v>#N/A</v>
      </c>
      <c r="J141" s="279"/>
    </row>
    <row r="142" spans="2:10" ht="14.5" customHeight="1" x14ac:dyDescent="0.4">
      <c r="B142" s="275">
        <f>'Bloomberg Output'!C88</f>
        <v>0</v>
      </c>
      <c r="C142" s="275"/>
      <c r="D142" s="275"/>
      <c r="E142" s="275"/>
      <c r="F142" s="276" t="e">
        <f>+_xlfn.XLOOKUP($B142,'Bloomberg Output'!$C$14:$C$131,'Bloomberg Output'!$L$14:$L$131)</f>
        <v>#N/A</v>
      </c>
      <c r="G142" s="276" t="e">
        <f>+_xlfn.XLOOKUP($B142,'Bloomberg Output'!$C$14:$C$131,'Bloomberg Output'!$N$14:$N$131)</f>
        <v>#N/A</v>
      </c>
      <c r="H142" s="282">
        <v>1</v>
      </c>
      <c r="I142" s="269" t="e">
        <f t="shared" si="8"/>
        <v>#N/A</v>
      </c>
      <c r="J142" s="279"/>
    </row>
    <row r="143" spans="2:10" ht="14.5" customHeight="1" x14ac:dyDescent="0.4">
      <c r="B143" s="275">
        <f>'Bloomberg Output'!C89</f>
        <v>0</v>
      </c>
      <c r="C143" s="275"/>
      <c r="D143" s="275"/>
      <c r="E143" s="275"/>
      <c r="F143" s="276" t="e">
        <f>+_xlfn.XLOOKUP($B143,'Bloomberg Output'!$C$14:$C$131,'Bloomberg Output'!$L$14:$L$131)</f>
        <v>#N/A</v>
      </c>
      <c r="G143" s="276" t="e">
        <f>+_xlfn.XLOOKUP($B143,'Bloomberg Output'!$C$14:$C$131,'Bloomberg Output'!$N$14:$N$131)</f>
        <v>#N/A</v>
      </c>
      <c r="H143" s="282">
        <v>1</v>
      </c>
      <c r="I143" s="269" t="e">
        <f t="shared" si="8"/>
        <v>#N/A</v>
      </c>
      <c r="J143" s="279"/>
    </row>
    <row r="144" spans="2:10" ht="14.5" customHeight="1" x14ac:dyDescent="0.4">
      <c r="B144" s="275">
        <f>'Bloomberg Output'!C90</f>
        <v>0</v>
      </c>
      <c r="C144" s="275"/>
      <c r="D144" s="275"/>
      <c r="E144" s="275"/>
      <c r="F144" s="276" t="e">
        <f>+_xlfn.XLOOKUP($B144,'Bloomberg Output'!$C$14:$C$131,'Bloomberg Output'!$L$14:$L$131)</f>
        <v>#N/A</v>
      </c>
      <c r="G144" s="276" t="e">
        <f>+_xlfn.XLOOKUP($B144,'Bloomberg Output'!$C$14:$C$131,'Bloomberg Output'!$N$14:$N$131)</f>
        <v>#N/A</v>
      </c>
      <c r="H144" s="282">
        <v>1</v>
      </c>
      <c r="I144" s="269" t="e">
        <f t="shared" si="8"/>
        <v>#N/A</v>
      </c>
      <c r="J144" s="279"/>
    </row>
    <row r="145" spans="2:10" ht="14.5" customHeight="1" x14ac:dyDescent="0.4">
      <c r="B145" s="275">
        <f>'Bloomberg Output'!C91</f>
        <v>0</v>
      </c>
      <c r="C145" s="275"/>
      <c r="D145" s="275"/>
      <c r="E145" s="275"/>
      <c r="F145" s="276" t="e">
        <f>+_xlfn.XLOOKUP($B145,'Bloomberg Output'!$C$14:$C$131,'Bloomberg Output'!$L$14:$L$131)</f>
        <v>#N/A</v>
      </c>
      <c r="G145" s="276" t="e">
        <f>+_xlfn.XLOOKUP($B145,'Bloomberg Output'!$C$14:$C$131,'Bloomberg Output'!$N$14:$N$131)</f>
        <v>#N/A</v>
      </c>
      <c r="H145" s="282">
        <v>1</v>
      </c>
      <c r="I145" s="269" t="e">
        <f t="shared" si="8"/>
        <v>#N/A</v>
      </c>
      <c r="J145" s="279"/>
    </row>
    <row r="146" spans="2:10" ht="14.5" customHeight="1" x14ac:dyDescent="0.4">
      <c r="B146" s="275">
        <f>'Bloomberg Output'!C92</f>
        <v>0</v>
      </c>
      <c r="C146" s="275"/>
      <c r="D146" s="275"/>
      <c r="E146" s="275"/>
      <c r="F146" s="276" t="e">
        <f>+_xlfn.XLOOKUP($B146,'Bloomberg Output'!$C$14:$C$131,'Bloomberg Output'!$L$14:$L$131)</f>
        <v>#N/A</v>
      </c>
      <c r="G146" s="276" t="e">
        <f>+_xlfn.XLOOKUP($B146,'Bloomberg Output'!$C$14:$C$131,'Bloomberg Output'!$N$14:$N$131)</f>
        <v>#N/A</v>
      </c>
      <c r="H146" s="282">
        <v>1</v>
      </c>
      <c r="I146" s="269" t="e">
        <f t="shared" si="8"/>
        <v>#N/A</v>
      </c>
      <c r="J146" s="279"/>
    </row>
    <row r="147" spans="2:10" ht="14.5" customHeight="1" x14ac:dyDescent="0.4">
      <c r="B147" s="275">
        <f>'Bloomberg Output'!C93</f>
        <v>0</v>
      </c>
      <c r="C147" s="275"/>
      <c r="D147" s="275"/>
      <c r="E147" s="275"/>
      <c r="F147" s="276" t="e">
        <f>+_xlfn.XLOOKUP($B147,'Bloomberg Output'!$C$14:$C$131,'Bloomberg Output'!$L$14:$L$131)</f>
        <v>#N/A</v>
      </c>
      <c r="G147" s="276" t="e">
        <f>+_xlfn.XLOOKUP($B147,'Bloomberg Output'!$C$14:$C$131,'Bloomberg Output'!$N$14:$N$131)</f>
        <v>#N/A</v>
      </c>
      <c r="H147" s="282">
        <v>1</v>
      </c>
      <c r="I147" s="269" t="e">
        <f t="shared" si="8"/>
        <v>#N/A</v>
      </c>
      <c r="J147" s="279"/>
    </row>
    <row r="148" spans="2:10" ht="14.5" customHeight="1" x14ac:dyDescent="0.4">
      <c r="B148" s="275">
        <f>'Bloomberg Output'!C94</f>
        <v>0</v>
      </c>
      <c r="C148" s="275"/>
      <c r="D148" s="275"/>
      <c r="E148" s="275"/>
      <c r="F148" s="276" t="e">
        <f>+_xlfn.XLOOKUP($B148,'Bloomberg Output'!$C$14:$C$131,'Bloomberg Output'!$L$14:$L$131)</f>
        <v>#N/A</v>
      </c>
      <c r="G148" s="276" t="e">
        <f>+_xlfn.XLOOKUP($B148,'Bloomberg Output'!$C$14:$C$131,'Bloomberg Output'!$N$14:$N$131)</f>
        <v>#N/A</v>
      </c>
      <c r="H148" s="282">
        <v>1</v>
      </c>
      <c r="I148" s="269" t="e">
        <f t="shared" si="8"/>
        <v>#N/A</v>
      </c>
      <c r="J148" s="279"/>
    </row>
    <row r="149" spans="2:10" ht="14.5" customHeight="1" x14ac:dyDescent="0.4">
      <c r="B149" s="275">
        <f>'Bloomberg Output'!C95</f>
        <v>0</v>
      </c>
      <c r="C149" s="275"/>
      <c r="D149" s="275"/>
      <c r="E149" s="275"/>
      <c r="F149" s="276" t="e">
        <f>+_xlfn.XLOOKUP($B149,'Bloomberg Output'!$C$14:$C$131,'Bloomberg Output'!$L$14:$L$131)</f>
        <v>#N/A</v>
      </c>
      <c r="G149" s="276" t="e">
        <f>+_xlfn.XLOOKUP($B149,'Bloomberg Output'!$C$14:$C$131,'Bloomberg Output'!$N$14:$N$131)</f>
        <v>#N/A</v>
      </c>
      <c r="H149" s="282">
        <v>1</v>
      </c>
      <c r="I149" s="269" t="e">
        <f t="shared" si="8"/>
        <v>#N/A</v>
      </c>
      <c r="J149" s="279"/>
    </row>
    <row r="150" spans="2:10" ht="14.5" customHeight="1" x14ac:dyDescent="0.4">
      <c r="B150" s="275">
        <f>'Bloomberg Output'!C96</f>
        <v>0</v>
      </c>
      <c r="C150" s="275"/>
      <c r="D150" s="275"/>
      <c r="E150" s="275"/>
      <c r="F150" s="276" t="e">
        <f>+_xlfn.XLOOKUP($B150,'Bloomberg Output'!$C$14:$C$131,'Bloomberg Output'!$L$14:$L$131)</f>
        <v>#N/A</v>
      </c>
      <c r="G150" s="276" t="e">
        <f>+_xlfn.XLOOKUP($B150,'Bloomberg Output'!$C$14:$C$131,'Bloomberg Output'!$N$14:$N$131)</f>
        <v>#N/A</v>
      </c>
      <c r="H150" s="268">
        <v>1</v>
      </c>
      <c r="I150" s="269" t="e">
        <f t="shared" si="8"/>
        <v>#N/A</v>
      </c>
      <c r="J150" s="279"/>
    </row>
    <row r="151" spans="2:10" ht="14.5" customHeight="1" x14ac:dyDescent="0.4">
      <c r="B151" s="275">
        <f>'Bloomberg Output'!C97</f>
        <v>0</v>
      </c>
      <c r="C151" s="275"/>
      <c r="D151" s="275"/>
      <c r="E151" s="275"/>
      <c r="F151" s="276" t="e">
        <f>+_xlfn.XLOOKUP($B151,'Bloomberg Output'!$C$14:$C$131,'Bloomberg Output'!$L$14:$L$131)</f>
        <v>#N/A</v>
      </c>
      <c r="G151" s="276" t="e">
        <f>+_xlfn.XLOOKUP($B151,'Bloomberg Output'!$C$14:$C$131,'Bloomberg Output'!$N$14:$N$131)</f>
        <v>#N/A</v>
      </c>
      <c r="H151" s="268">
        <v>1</v>
      </c>
      <c r="I151" s="269" t="e">
        <f t="shared" si="8"/>
        <v>#N/A</v>
      </c>
      <c r="J151" s="279"/>
    </row>
    <row r="152" spans="2:10" ht="14.5" customHeight="1" x14ac:dyDescent="0.4">
      <c r="B152" s="275">
        <f>'Bloomberg Output'!C98</f>
        <v>0</v>
      </c>
      <c r="C152" s="275"/>
      <c r="D152" s="275"/>
      <c r="E152" s="275"/>
      <c r="F152" s="276" t="e">
        <f>+_xlfn.XLOOKUP($B152,'Bloomberg Output'!$C$14:$C$131,'Bloomberg Output'!$L$14:$L$131)</f>
        <v>#N/A</v>
      </c>
      <c r="G152" s="276" t="e">
        <f>+_xlfn.XLOOKUP($B152,'Bloomberg Output'!$C$14:$C$131,'Bloomberg Output'!$N$14:$N$131)</f>
        <v>#N/A</v>
      </c>
      <c r="H152" s="268">
        <v>1</v>
      </c>
      <c r="I152" s="269" t="e">
        <f t="shared" si="8"/>
        <v>#N/A</v>
      </c>
      <c r="J152" s="279"/>
    </row>
    <row r="153" spans="2:10" ht="14.5" customHeight="1" x14ac:dyDescent="0.4">
      <c r="B153" s="275">
        <f>'Bloomberg Output'!C99</f>
        <v>0</v>
      </c>
      <c r="C153" s="275"/>
      <c r="D153" s="275"/>
      <c r="E153" s="275"/>
      <c r="F153" s="276" t="e">
        <f>+_xlfn.XLOOKUP($B153,'Bloomberg Output'!$C$14:$C$131,'Bloomberg Output'!$L$14:$L$131)</f>
        <v>#N/A</v>
      </c>
      <c r="G153" s="276" t="e">
        <f>+_xlfn.XLOOKUP($B153,'Bloomberg Output'!$C$14:$C$131,'Bloomberg Output'!$N$14:$N$131)</f>
        <v>#N/A</v>
      </c>
      <c r="H153" s="268">
        <v>1</v>
      </c>
      <c r="I153" s="269" t="e">
        <f t="shared" si="8"/>
        <v>#N/A</v>
      </c>
      <c r="J153" s="279"/>
    </row>
    <row r="154" spans="2:10" ht="14.5" customHeight="1" x14ac:dyDescent="0.4">
      <c r="B154" s="275">
        <f>'Bloomberg Output'!C100</f>
        <v>0</v>
      </c>
      <c r="C154" s="275"/>
      <c r="D154" s="275"/>
      <c r="E154" s="275"/>
      <c r="F154" s="276" t="e">
        <f>+_xlfn.XLOOKUP($B154,'Bloomberg Output'!$C$14:$C$131,'Bloomberg Output'!$L$14:$L$131)</f>
        <v>#N/A</v>
      </c>
      <c r="G154" s="276" t="e">
        <f>+_xlfn.XLOOKUP($B154,'Bloomberg Output'!$C$14:$C$131,'Bloomberg Output'!$N$14:$N$131)</f>
        <v>#N/A</v>
      </c>
      <c r="H154" s="268">
        <v>1</v>
      </c>
      <c r="I154" s="269" t="e">
        <f t="shared" si="8"/>
        <v>#N/A</v>
      </c>
      <c r="J154" s="279"/>
    </row>
    <row r="155" spans="2:10" ht="14.5" customHeight="1" x14ac:dyDescent="0.4">
      <c r="B155" s="275">
        <f>'Bloomberg Output'!C101</f>
        <v>0</v>
      </c>
      <c r="C155" s="275"/>
      <c r="D155" s="275"/>
      <c r="E155" s="275"/>
      <c r="F155" s="276" t="e">
        <f>+_xlfn.XLOOKUP($B155,'Bloomberg Output'!$C$14:$C$131,'Bloomberg Output'!$L$14:$L$131)</f>
        <v>#N/A</v>
      </c>
      <c r="G155" s="276" t="e">
        <f>+_xlfn.XLOOKUP($B155,'Bloomberg Output'!$C$14:$C$131,'Bloomberg Output'!$N$14:$N$131)</f>
        <v>#N/A</v>
      </c>
      <c r="H155" s="268">
        <v>1</v>
      </c>
      <c r="I155" s="269" t="e">
        <f t="shared" si="8"/>
        <v>#N/A</v>
      </c>
      <c r="J155" s="279"/>
    </row>
    <row r="156" spans="2:10" ht="14.5" customHeight="1" x14ac:dyDescent="0.4">
      <c r="B156" s="275">
        <f>'Bloomberg Output'!C102</f>
        <v>0</v>
      </c>
      <c r="C156" s="275"/>
      <c r="D156" s="275"/>
      <c r="E156" s="275"/>
      <c r="F156" s="276" t="e">
        <f>+_xlfn.XLOOKUP($B156,'Bloomberg Output'!$C$14:$C$131,'Bloomberg Output'!$L$14:$L$131)</f>
        <v>#N/A</v>
      </c>
      <c r="G156" s="276" t="e">
        <f>+_xlfn.XLOOKUP($B156,'Bloomberg Output'!$C$14:$C$131,'Bloomberg Output'!$N$14:$N$131)</f>
        <v>#N/A</v>
      </c>
      <c r="H156" s="268">
        <v>1</v>
      </c>
      <c r="I156" s="269" t="e">
        <f t="shared" si="8"/>
        <v>#N/A</v>
      </c>
      <c r="J156" s="279"/>
    </row>
    <row r="157" spans="2:10" ht="14.5" customHeight="1" x14ac:dyDescent="0.4">
      <c r="B157" s="275">
        <f>'Bloomberg Output'!C103</f>
        <v>0</v>
      </c>
      <c r="C157" s="275"/>
      <c r="D157" s="275"/>
      <c r="E157" s="275"/>
      <c r="F157" s="276" t="e">
        <f>+_xlfn.XLOOKUP($B157,'Bloomberg Output'!$C$14:$C$131,'Bloomberg Output'!$L$14:$L$131)</f>
        <v>#N/A</v>
      </c>
      <c r="G157" s="276" t="e">
        <f>+_xlfn.XLOOKUP($B157,'Bloomberg Output'!$C$14:$C$131,'Bloomberg Output'!$N$14:$N$131)</f>
        <v>#N/A</v>
      </c>
      <c r="H157" s="268">
        <v>1</v>
      </c>
      <c r="I157" s="269" t="e">
        <f t="shared" si="8"/>
        <v>#N/A</v>
      </c>
      <c r="J157" s="279"/>
    </row>
    <row r="158" spans="2:10" ht="14.5" customHeight="1" x14ac:dyDescent="0.4">
      <c r="B158" s="275">
        <f>'Bloomberg Output'!C104</f>
        <v>0</v>
      </c>
      <c r="C158" s="275"/>
      <c r="D158" s="275"/>
      <c r="E158" s="275"/>
      <c r="F158" s="276" t="e">
        <f>+_xlfn.XLOOKUP($B158,'Bloomberg Output'!$C$14:$C$131,'Bloomberg Output'!$L$14:$L$131)</f>
        <v>#N/A</v>
      </c>
      <c r="G158" s="276" t="e">
        <f>+_xlfn.XLOOKUP($B158,'Bloomberg Output'!$C$14:$C$131,'Bloomberg Output'!$N$14:$N$131)</f>
        <v>#N/A</v>
      </c>
      <c r="H158" s="268">
        <v>1</v>
      </c>
      <c r="I158" s="269" t="e">
        <f t="shared" si="8"/>
        <v>#N/A</v>
      </c>
      <c r="J158" s="279"/>
    </row>
    <row r="159" spans="2:10" ht="14.5" customHeight="1" x14ac:dyDescent="0.4">
      <c r="B159" s="275">
        <f>'Bloomberg Output'!C105</f>
        <v>0</v>
      </c>
      <c r="C159" s="275"/>
      <c r="D159" s="275"/>
      <c r="E159" s="275"/>
      <c r="F159" s="276" t="e">
        <f>+_xlfn.XLOOKUP($B159,'Bloomberg Output'!$C$14:$C$131,'Bloomberg Output'!$L$14:$L$131)</f>
        <v>#N/A</v>
      </c>
      <c r="G159" s="276" t="e">
        <f>+_xlfn.XLOOKUP($B159,'Bloomberg Output'!$C$14:$C$131,'Bloomberg Output'!$N$14:$N$131)</f>
        <v>#N/A</v>
      </c>
      <c r="H159" s="268">
        <v>1</v>
      </c>
      <c r="I159" s="269" t="e">
        <f t="shared" si="8"/>
        <v>#N/A</v>
      </c>
      <c r="J159" s="279"/>
    </row>
    <row r="160" spans="2:10" ht="14.5" customHeight="1" x14ac:dyDescent="0.4">
      <c r="B160" s="275">
        <f>'Bloomberg Output'!C106</f>
        <v>0</v>
      </c>
      <c r="C160" s="275"/>
      <c r="D160" s="275"/>
      <c r="E160" s="275"/>
      <c r="F160" s="276" t="e">
        <f>+_xlfn.XLOOKUP($B160,'Bloomberg Output'!$C$14:$C$131,'Bloomberg Output'!$L$14:$L$131)</f>
        <v>#N/A</v>
      </c>
      <c r="G160" s="276" t="e">
        <f>+_xlfn.XLOOKUP($B160,'Bloomberg Output'!$C$14:$C$131,'Bloomberg Output'!$N$14:$N$131)</f>
        <v>#N/A</v>
      </c>
      <c r="H160" s="268">
        <v>1</v>
      </c>
      <c r="I160" s="269" t="e">
        <f t="shared" si="8"/>
        <v>#N/A</v>
      </c>
      <c r="J160" s="279"/>
    </row>
    <row r="161" spans="2:10" ht="14.5" customHeight="1" x14ac:dyDescent="0.4">
      <c r="B161" s="275">
        <f>'Bloomberg Output'!C107</f>
        <v>0</v>
      </c>
      <c r="C161" s="275"/>
      <c r="D161" s="275"/>
      <c r="E161" s="275"/>
      <c r="F161" s="276" t="e">
        <f>+_xlfn.XLOOKUP($B161,'Bloomberg Output'!$C$14:$C$131,'Bloomberg Output'!$L$14:$L$131)</f>
        <v>#N/A</v>
      </c>
      <c r="G161" s="276" t="e">
        <f>+_xlfn.XLOOKUP($B161,'Bloomberg Output'!$C$14:$C$131,'Bloomberg Output'!$N$14:$N$131)</f>
        <v>#N/A</v>
      </c>
      <c r="H161" s="268">
        <v>1</v>
      </c>
      <c r="I161" s="269" t="e">
        <f t="shared" si="8"/>
        <v>#N/A</v>
      </c>
      <c r="J161" s="279"/>
    </row>
    <row r="162" spans="2:10" ht="14.5" customHeight="1" x14ac:dyDescent="0.4">
      <c r="B162" s="275">
        <f>'Bloomberg Output'!C108</f>
        <v>0</v>
      </c>
      <c r="C162" s="275"/>
      <c r="D162" s="275"/>
      <c r="E162" s="275"/>
      <c r="F162" s="276" t="e">
        <f>+_xlfn.XLOOKUP($B162,'Bloomberg Output'!$C$14:$C$131,'Bloomberg Output'!$L$14:$L$131)</f>
        <v>#N/A</v>
      </c>
      <c r="G162" s="276" t="e">
        <f>+_xlfn.XLOOKUP($B162,'Bloomberg Output'!$C$14:$C$131,'Bloomberg Output'!$N$14:$N$131)</f>
        <v>#N/A</v>
      </c>
      <c r="H162" s="268">
        <v>1</v>
      </c>
      <c r="I162" s="269" t="e">
        <f t="shared" si="8"/>
        <v>#N/A</v>
      </c>
      <c r="J162" s="279"/>
    </row>
    <row r="163" spans="2:10" ht="14.5" customHeight="1" x14ac:dyDescent="0.4">
      <c r="B163" s="275">
        <f>'Bloomberg Output'!C109</f>
        <v>0</v>
      </c>
      <c r="C163" s="275"/>
      <c r="D163" s="275"/>
      <c r="E163" s="275"/>
      <c r="F163" s="276" t="e">
        <f>+_xlfn.XLOOKUP($B163,'Bloomberg Output'!$C$14:$C$131,'Bloomberg Output'!$L$14:$L$131)</f>
        <v>#N/A</v>
      </c>
      <c r="G163" s="276" t="e">
        <f>+_xlfn.XLOOKUP($B163,'Bloomberg Output'!$C$14:$C$131,'Bloomberg Output'!$N$14:$N$131)</f>
        <v>#N/A</v>
      </c>
      <c r="H163" s="268">
        <v>1</v>
      </c>
      <c r="I163" s="269" t="e">
        <f t="shared" si="8"/>
        <v>#N/A</v>
      </c>
      <c r="J163" s="279"/>
    </row>
    <row r="164" spans="2:10" ht="14.5" customHeight="1" x14ac:dyDescent="0.4">
      <c r="B164" s="275">
        <f>'Bloomberg Output'!C110</f>
        <v>0</v>
      </c>
      <c r="C164" s="275"/>
      <c r="D164" s="275"/>
      <c r="E164" s="275"/>
      <c r="F164" s="276" t="e">
        <f>+_xlfn.XLOOKUP($B164,'Bloomberg Output'!$C$14:$C$131,'Bloomberg Output'!$L$14:$L$131)</f>
        <v>#N/A</v>
      </c>
      <c r="G164" s="276" t="e">
        <f>+_xlfn.XLOOKUP($B164,'Bloomberg Output'!$C$14:$C$131,'Bloomberg Output'!$N$14:$N$131)</f>
        <v>#N/A</v>
      </c>
      <c r="H164" s="268">
        <v>1</v>
      </c>
      <c r="I164" s="269" t="e">
        <f t="shared" si="8"/>
        <v>#N/A</v>
      </c>
      <c r="J164" s="279"/>
    </row>
    <row r="165" spans="2:10" ht="14.5" customHeight="1" x14ac:dyDescent="0.4">
      <c r="B165" s="275">
        <f>'Bloomberg Output'!C111</f>
        <v>0</v>
      </c>
      <c r="C165" s="275"/>
      <c r="D165" s="275"/>
      <c r="E165" s="275"/>
      <c r="F165" s="276" t="e">
        <f>+_xlfn.XLOOKUP($B165,'Bloomberg Output'!$C$14:$C$131,'Bloomberg Output'!$L$14:$L$131)</f>
        <v>#N/A</v>
      </c>
      <c r="G165" s="276" t="e">
        <f>+_xlfn.XLOOKUP($B165,'Bloomberg Output'!$C$14:$C$131,'Bloomberg Output'!$N$14:$N$131)</f>
        <v>#N/A</v>
      </c>
      <c r="H165" s="268">
        <v>1</v>
      </c>
      <c r="I165" s="269" t="e">
        <f t="shared" si="8"/>
        <v>#N/A</v>
      </c>
      <c r="J165" s="279"/>
    </row>
    <row r="166" spans="2:10" ht="14.5" customHeight="1" x14ac:dyDescent="0.4">
      <c r="B166" s="275">
        <f>'Bloomberg Output'!C112</f>
        <v>0</v>
      </c>
      <c r="C166" s="275"/>
      <c r="D166" s="275"/>
      <c r="E166" s="275"/>
      <c r="F166" s="276" t="e">
        <f>+_xlfn.XLOOKUP($B166,'Bloomberg Output'!$C$14:$C$131,'Bloomberg Output'!$L$14:$L$131)</f>
        <v>#N/A</v>
      </c>
      <c r="G166" s="276" t="e">
        <f>+_xlfn.XLOOKUP($B166,'Bloomberg Output'!$C$14:$C$131,'Bloomberg Output'!$N$14:$N$131)</f>
        <v>#N/A</v>
      </c>
      <c r="H166" s="268">
        <v>1</v>
      </c>
      <c r="I166" s="269" t="e">
        <f t="shared" si="8"/>
        <v>#N/A</v>
      </c>
      <c r="J166" s="279"/>
    </row>
    <row r="167" spans="2:10" ht="14.5" customHeight="1" x14ac:dyDescent="0.4">
      <c r="B167" s="275">
        <f>'Bloomberg Output'!C113</f>
        <v>0</v>
      </c>
      <c r="C167" s="275"/>
      <c r="D167" s="275"/>
      <c r="E167" s="275"/>
      <c r="F167" s="276" t="e">
        <f>+_xlfn.XLOOKUP($B167,'Bloomberg Output'!$C$14:$C$131,'Bloomberg Output'!$L$14:$L$131)</f>
        <v>#N/A</v>
      </c>
      <c r="G167" s="276" t="e">
        <f>+_xlfn.XLOOKUP($B167,'Bloomberg Output'!$C$14:$C$131,'Bloomberg Output'!$N$14:$N$131)</f>
        <v>#N/A</v>
      </c>
      <c r="H167" s="268">
        <v>1</v>
      </c>
      <c r="I167" s="269" t="e">
        <f t="shared" si="8"/>
        <v>#N/A</v>
      </c>
      <c r="J167" s="279"/>
    </row>
    <row r="168" spans="2:10" ht="14.5" customHeight="1" x14ac:dyDescent="0.4">
      <c r="B168" s="275">
        <f>'Bloomberg Output'!C114</f>
        <v>0</v>
      </c>
      <c r="C168" s="275"/>
      <c r="D168" s="275"/>
      <c r="E168" s="275"/>
      <c r="F168" s="276" t="e">
        <f>+_xlfn.XLOOKUP($B168,'Bloomberg Output'!$C$14:$C$131,'Bloomberg Output'!$L$14:$L$131)</f>
        <v>#N/A</v>
      </c>
      <c r="G168" s="276" t="e">
        <f>+_xlfn.XLOOKUP($B168,'Bloomberg Output'!$C$14:$C$131,'Bloomberg Output'!$N$14:$N$131)</f>
        <v>#N/A</v>
      </c>
      <c r="H168" s="268">
        <v>1</v>
      </c>
      <c r="I168" s="269" t="e">
        <f t="shared" si="8"/>
        <v>#N/A</v>
      </c>
      <c r="J168" s="279"/>
    </row>
    <row r="169" spans="2:10" ht="14.5" customHeight="1" x14ac:dyDescent="0.4">
      <c r="B169" s="275">
        <f>'Bloomberg Output'!C115</f>
        <v>0</v>
      </c>
      <c r="C169" s="275"/>
      <c r="D169" s="275"/>
      <c r="E169" s="275"/>
      <c r="F169" s="276" t="e">
        <f>+_xlfn.XLOOKUP($B169,'Bloomberg Output'!$C$14:$C$131,'Bloomberg Output'!$L$14:$L$131)</f>
        <v>#N/A</v>
      </c>
      <c r="G169" s="276" t="e">
        <f>+_xlfn.XLOOKUP($B169,'Bloomberg Output'!$C$14:$C$131,'Bloomberg Output'!$N$14:$N$131)</f>
        <v>#N/A</v>
      </c>
      <c r="H169" s="268">
        <v>1</v>
      </c>
      <c r="I169" s="269" t="e">
        <f t="shared" si="8"/>
        <v>#N/A</v>
      </c>
      <c r="J169" s="279"/>
    </row>
    <row r="170" spans="2:10" ht="14.5" customHeight="1" x14ac:dyDescent="0.4">
      <c r="B170" s="275">
        <f>'Bloomberg Output'!C116</f>
        <v>0</v>
      </c>
      <c r="C170" s="275"/>
      <c r="D170" s="275"/>
      <c r="E170" s="275"/>
      <c r="F170" s="276" t="e">
        <f>+_xlfn.XLOOKUP($B170,'Bloomberg Output'!$C$14:$C$131,'Bloomberg Output'!$L$14:$L$131)</f>
        <v>#N/A</v>
      </c>
      <c r="G170" s="276" t="e">
        <f>+_xlfn.XLOOKUP($B170,'Bloomberg Output'!$C$14:$C$131,'Bloomberg Output'!$N$14:$N$131)</f>
        <v>#N/A</v>
      </c>
      <c r="H170" s="268">
        <v>1</v>
      </c>
      <c r="I170" s="269" t="e">
        <f t="shared" si="8"/>
        <v>#N/A</v>
      </c>
      <c r="J170" s="279"/>
    </row>
    <row r="171" spans="2:10" ht="14.5" customHeight="1" x14ac:dyDescent="0.4">
      <c r="B171" s="275">
        <f>'Bloomberg Output'!C117</f>
        <v>0</v>
      </c>
      <c r="C171" s="275"/>
      <c r="D171" s="275"/>
      <c r="E171" s="275"/>
      <c r="F171" s="276" t="e">
        <f>+_xlfn.XLOOKUP($B171,'Bloomberg Output'!$C$14:$C$131,'Bloomberg Output'!$L$14:$L$131)</f>
        <v>#N/A</v>
      </c>
      <c r="G171" s="276" t="e">
        <f>+_xlfn.XLOOKUP($B171,'Bloomberg Output'!$C$14:$C$131,'Bloomberg Output'!$N$14:$N$131)</f>
        <v>#N/A</v>
      </c>
      <c r="H171" s="268">
        <v>1</v>
      </c>
      <c r="I171" s="269" t="e">
        <f t="shared" si="8"/>
        <v>#N/A</v>
      </c>
      <c r="J171" s="279"/>
    </row>
    <row r="172" spans="2:10" ht="14.5" customHeight="1" x14ac:dyDescent="0.4">
      <c r="B172" s="275">
        <f>'Bloomberg Output'!C118</f>
        <v>0</v>
      </c>
      <c r="C172" s="275"/>
      <c r="D172" s="275"/>
      <c r="E172" s="275"/>
      <c r="F172" s="276" t="e">
        <f>+_xlfn.XLOOKUP($B172,'Bloomberg Output'!$C$14:$C$131,'Bloomberg Output'!$L$14:$L$131)</f>
        <v>#N/A</v>
      </c>
      <c r="G172" s="276" t="e">
        <f>+_xlfn.XLOOKUP($B172,'Bloomberg Output'!$C$14:$C$131,'Bloomberg Output'!$N$14:$N$131)</f>
        <v>#N/A</v>
      </c>
      <c r="H172" s="268">
        <v>1</v>
      </c>
      <c r="I172" s="269" t="e">
        <f t="shared" si="8"/>
        <v>#N/A</v>
      </c>
      <c r="J172" s="279"/>
    </row>
    <row r="173" spans="2:10" ht="14.5" customHeight="1" x14ac:dyDescent="0.4">
      <c r="B173" s="275">
        <f>'Bloomberg Output'!C119</f>
        <v>0</v>
      </c>
      <c r="C173" s="275"/>
      <c r="D173" s="275"/>
      <c r="E173" s="275"/>
      <c r="F173" s="276" t="e">
        <f>+_xlfn.XLOOKUP($B173,'Bloomberg Output'!$C$14:$C$131,'Bloomberg Output'!$L$14:$L$131)</f>
        <v>#N/A</v>
      </c>
      <c r="G173" s="276" t="e">
        <f>+_xlfn.XLOOKUP($B173,'Bloomberg Output'!$C$14:$C$131,'Bloomberg Output'!$N$14:$N$131)</f>
        <v>#N/A</v>
      </c>
      <c r="H173" s="268">
        <v>1</v>
      </c>
      <c r="I173" s="269" t="e">
        <f t="shared" si="8"/>
        <v>#N/A</v>
      </c>
      <c r="J173" s="279"/>
    </row>
    <row r="174" spans="2:10" ht="14.5" customHeight="1" x14ac:dyDescent="0.4">
      <c r="B174" s="275">
        <f>'Bloomberg Output'!C120</f>
        <v>0</v>
      </c>
      <c r="C174" s="275"/>
      <c r="D174" s="275"/>
      <c r="E174" s="275"/>
      <c r="F174" s="276" t="e">
        <f>+_xlfn.XLOOKUP($B174,'Bloomberg Output'!$C$14:$C$131,'Bloomberg Output'!$L$14:$L$131)</f>
        <v>#N/A</v>
      </c>
      <c r="G174" s="276" t="e">
        <f>+_xlfn.XLOOKUP($B174,'Bloomberg Output'!$C$14:$C$131,'Bloomberg Output'!$N$14:$N$131)</f>
        <v>#N/A</v>
      </c>
      <c r="H174" s="268">
        <v>1</v>
      </c>
      <c r="I174" s="269" t="e">
        <f t="shared" si="8"/>
        <v>#N/A</v>
      </c>
      <c r="J174" s="279"/>
    </row>
    <row r="175" spans="2:10" ht="14.5" customHeight="1" x14ac:dyDescent="0.4">
      <c r="B175" s="275">
        <f>'Bloomberg Output'!C121</f>
        <v>0</v>
      </c>
      <c r="C175" s="275"/>
      <c r="D175" s="275"/>
      <c r="E175" s="275"/>
      <c r="F175" s="276" t="e">
        <f>+_xlfn.XLOOKUP($B175,'Bloomberg Output'!$C$14:$C$131,'Bloomberg Output'!$L$14:$L$131)</f>
        <v>#N/A</v>
      </c>
      <c r="G175" s="276" t="e">
        <f>+_xlfn.XLOOKUP($B175,'Bloomberg Output'!$C$14:$C$131,'Bloomberg Output'!$N$14:$N$131)</f>
        <v>#N/A</v>
      </c>
      <c r="H175" s="268">
        <v>1</v>
      </c>
      <c r="I175" s="269" t="e">
        <f t="shared" si="8"/>
        <v>#N/A</v>
      </c>
      <c r="J175" s="279"/>
    </row>
    <row r="176" spans="2:10" ht="14.5" customHeight="1" x14ac:dyDescent="0.4">
      <c r="B176" s="275">
        <f>'Bloomberg Output'!C122</f>
        <v>0</v>
      </c>
      <c r="C176" s="275"/>
      <c r="D176" s="275"/>
      <c r="E176" s="275"/>
      <c r="F176" s="276" t="e">
        <f>+_xlfn.XLOOKUP($B176,'Bloomberg Output'!$C$14:$C$131,'Bloomberg Output'!$L$14:$L$131)</f>
        <v>#N/A</v>
      </c>
      <c r="G176" s="276" t="e">
        <f>+_xlfn.XLOOKUP($B176,'Bloomberg Output'!$C$14:$C$131,'Bloomberg Output'!$N$14:$N$131)</f>
        <v>#N/A</v>
      </c>
      <c r="H176" s="268">
        <v>1</v>
      </c>
      <c r="I176" s="269" t="e">
        <f t="shared" si="8"/>
        <v>#N/A</v>
      </c>
      <c r="J176" s="279"/>
    </row>
    <row r="177" spans="2:10" ht="14.5" customHeight="1" x14ac:dyDescent="0.4">
      <c r="B177" s="275">
        <f>'Bloomberg Output'!C123</f>
        <v>0</v>
      </c>
      <c r="C177" s="275"/>
      <c r="D177" s="275"/>
      <c r="E177" s="275"/>
      <c r="F177" s="276" t="e">
        <f>+_xlfn.XLOOKUP($B177,'Bloomberg Output'!$C$14:$C$131,'Bloomberg Output'!$L$14:$L$131)</f>
        <v>#N/A</v>
      </c>
      <c r="G177" s="276" t="e">
        <f>+_xlfn.XLOOKUP($B177,'Bloomberg Output'!$C$14:$C$131,'Bloomberg Output'!$N$14:$N$131)</f>
        <v>#N/A</v>
      </c>
      <c r="H177" s="268">
        <v>1</v>
      </c>
      <c r="I177" s="269" t="e">
        <f t="shared" si="8"/>
        <v>#N/A</v>
      </c>
      <c r="J177" s="279"/>
    </row>
    <row r="178" spans="2:10" ht="14.5" customHeight="1" x14ac:dyDescent="0.4">
      <c r="B178" s="275">
        <f>'Bloomberg Output'!C124</f>
        <v>0</v>
      </c>
      <c r="C178" s="275"/>
      <c r="D178" s="275"/>
      <c r="E178" s="275"/>
      <c r="F178" s="276" t="e">
        <f>+_xlfn.XLOOKUP($B178,'Bloomberg Output'!$C$14:$C$131,'Bloomberg Output'!$L$14:$L$131)</f>
        <v>#N/A</v>
      </c>
      <c r="G178" s="276" t="e">
        <f>+_xlfn.XLOOKUP($B178,'Bloomberg Output'!$C$14:$C$131,'Bloomberg Output'!$N$14:$N$131)</f>
        <v>#N/A</v>
      </c>
      <c r="H178" s="268">
        <v>1</v>
      </c>
      <c r="I178" s="269" t="e">
        <f t="shared" si="8"/>
        <v>#N/A</v>
      </c>
      <c r="J178" s="279"/>
    </row>
    <row r="179" spans="2:10" ht="14.5" customHeight="1" x14ac:dyDescent="0.4">
      <c r="B179" s="275">
        <f>'Bloomberg Output'!C125</f>
        <v>0</v>
      </c>
      <c r="C179" s="275"/>
      <c r="D179" s="275"/>
      <c r="E179" s="275"/>
      <c r="F179" s="276" t="e">
        <f>+_xlfn.XLOOKUP($B179,'Bloomberg Output'!$C$14:$C$131,'Bloomberg Output'!$L$14:$L$131)</f>
        <v>#N/A</v>
      </c>
      <c r="G179" s="276" t="e">
        <f>+_xlfn.XLOOKUP($B179,'Bloomberg Output'!$C$14:$C$131,'Bloomberg Output'!$N$14:$N$131)</f>
        <v>#N/A</v>
      </c>
      <c r="H179" s="268">
        <v>1</v>
      </c>
      <c r="I179" s="269" t="e">
        <f t="shared" si="8"/>
        <v>#N/A</v>
      </c>
    </row>
    <row r="180" spans="2:10" ht="14.5" customHeight="1" x14ac:dyDescent="0.4">
      <c r="B180" s="275">
        <f>'Bloomberg Output'!C126</f>
        <v>0</v>
      </c>
      <c r="C180" s="275"/>
      <c r="D180" s="275"/>
      <c r="E180" s="275"/>
      <c r="F180" s="276" t="e">
        <f>+_xlfn.XLOOKUP($B180,'Bloomberg Output'!$C$14:$C$131,'Bloomberg Output'!$L$14:$L$131)</f>
        <v>#N/A</v>
      </c>
      <c r="G180" s="276" t="e">
        <f>+_xlfn.XLOOKUP($B180,'Bloomberg Output'!$C$14:$C$131,'Bloomberg Output'!$N$14:$N$131)</f>
        <v>#N/A</v>
      </c>
      <c r="H180" s="268">
        <v>1</v>
      </c>
      <c r="I180" s="269" t="e">
        <f t="shared" si="8"/>
        <v>#N/A</v>
      </c>
    </row>
    <row r="181" spans="2:10" ht="14.5" customHeight="1" x14ac:dyDescent="0.4">
      <c r="B181" s="275">
        <f>'Bloomberg Output'!C127</f>
        <v>0</v>
      </c>
      <c r="C181" s="275"/>
      <c r="D181" s="275"/>
      <c r="E181" s="275"/>
      <c r="F181" s="276" t="e">
        <f>+_xlfn.XLOOKUP($B181,'Bloomberg Output'!$C$14:$C$131,'Bloomberg Output'!$L$14:$L$131)</f>
        <v>#N/A</v>
      </c>
      <c r="G181" s="276" t="e">
        <f>+_xlfn.XLOOKUP($B181,'Bloomberg Output'!$C$14:$C$131,'Bloomberg Output'!$N$14:$N$131)</f>
        <v>#N/A</v>
      </c>
      <c r="H181" s="268">
        <v>1</v>
      </c>
      <c r="I181" s="269" t="e">
        <f t="shared" si="8"/>
        <v>#N/A</v>
      </c>
    </row>
    <row r="182" spans="2:10" ht="14.5" customHeight="1" x14ac:dyDescent="0.4">
      <c r="B182" s="275">
        <f>'Bloomberg Output'!C128</f>
        <v>0</v>
      </c>
      <c r="C182" s="275"/>
      <c r="D182" s="275"/>
      <c r="E182" s="275"/>
      <c r="F182" s="276" t="e">
        <f>+_xlfn.XLOOKUP($B182,'Bloomberg Output'!$C$14:$C$131,'Bloomberg Output'!$L$14:$L$131)</f>
        <v>#N/A</v>
      </c>
      <c r="G182" s="276" t="e">
        <f>+_xlfn.XLOOKUP($B182,'Bloomberg Output'!$C$14:$C$131,'Bloomberg Output'!$N$14:$N$131)</f>
        <v>#N/A</v>
      </c>
      <c r="H182" s="268">
        <v>1</v>
      </c>
      <c r="I182" s="269" t="e">
        <f t="shared" si="8"/>
        <v>#N/A</v>
      </c>
    </row>
    <row r="183" spans="2:10" ht="14.5" customHeight="1" x14ac:dyDescent="0.4">
      <c r="B183" s="275">
        <f>'Bloomberg Output'!C129</f>
        <v>0</v>
      </c>
      <c r="C183" s="275"/>
      <c r="D183" s="275"/>
      <c r="E183" s="275"/>
      <c r="F183" s="276" t="e">
        <f>+_xlfn.XLOOKUP($B183,'Bloomberg Output'!$C$14:$C$131,'Bloomberg Output'!$L$14:$L$131)</f>
        <v>#N/A</v>
      </c>
      <c r="G183" s="276" t="e">
        <f>+_xlfn.XLOOKUP($B183,'Bloomberg Output'!$C$14:$C$131,'Bloomberg Output'!$N$14:$N$131)</f>
        <v>#N/A</v>
      </c>
      <c r="H183" s="268">
        <v>1</v>
      </c>
      <c r="I183" s="269" t="e">
        <f t="shared" si="8"/>
        <v>#N/A</v>
      </c>
    </row>
    <row r="184" spans="2:10" ht="14.5" customHeight="1" x14ac:dyDescent="0.4">
      <c r="B184" s="275">
        <f>'Bloomberg Output'!C130</f>
        <v>0</v>
      </c>
      <c r="C184" s="275"/>
      <c r="D184" s="275"/>
      <c r="E184" s="275"/>
      <c r="F184" s="276" t="e">
        <f>+_xlfn.XLOOKUP($B184,'Bloomberg Output'!$C$14:$C$131,'Bloomberg Output'!$L$14:$L$131)</f>
        <v>#N/A</v>
      </c>
      <c r="G184" s="276" t="e">
        <f>+_xlfn.XLOOKUP($B184,'Bloomberg Output'!$C$14:$C$131,'Bloomberg Output'!$N$14:$N$131)</f>
        <v>#N/A</v>
      </c>
      <c r="H184" s="268">
        <v>1</v>
      </c>
      <c r="I184" s="269" t="e">
        <f t="shared" si="8"/>
        <v>#N/A</v>
      </c>
    </row>
    <row r="185" spans="2:10" ht="14.5" customHeight="1" x14ac:dyDescent="0.4">
      <c r="B185" s="275">
        <f>'Bloomberg Output'!C131</f>
        <v>0</v>
      </c>
      <c r="C185" s="275"/>
      <c r="D185" s="275"/>
      <c r="E185" s="275"/>
      <c r="F185" s="276" t="e">
        <f>+_xlfn.XLOOKUP($B185,'Bloomberg Output'!$C$14:$C$131,'Bloomberg Output'!$L$14:$L$131)</f>
        <v>#N/A</v>
      </c>
      <c r="G185" s="276" t="e">
        <f>+_xlfn.XLOOKUP($B185,'Bloomberg Output'!$C$14:$C$131,'Bloomberg Output'!$N$14:$N$131)</f>
        <v>#N/A</v>
      </c>
      <c r="H185" s="268">
        <v>1</v>
      </c>
      <c r="I185" s="269" t="e">
        <f t="shared" si="8"/>
        <v>#N/A</v>
      </c>
    </row>
    <row r="186" spans="2:10" ht="14.5" customHeight="1" x14ac:dyDescent="0.4">
      <c r="B186" s="283"/>
      <c r="C186" s="283"/>
      <c r="D186" s="283"/>
      <c r="E186" s="283"/>
      <c r="F186" s="283"/>
      <c r="G186" s="283"/>
      <c r="H186" s="283"/>
      <c r="I186" s="283"/>
    </row>
    <row r="187" spans="2:10" ht="14.5" customHeight="1" x14ac:dyDescent="0.4">
      <c r="B187" s="283"/>
      <c r="C187" s="283"/>
      <c r="D187" s="283"/>
      <c r="E187" s="283"/>
      <c r="F187" s="283"/>
      <c r="G187" s="283"/>
      <c r="H187" s="283"/>
      <c r="I187" s="283"/>
    </row>
    <row r="188" spans="2:10" ht="14.5" customHeight="1" x14ac:dyDescent="0.4">
      <c r="B188" s="283"/>
      <c r="C188" s="283"/>
      <c r="D188" s="283"/>
      <c r="E188" s="283"/>
      <c r="F188" s="283"/>
      <c r="G188" s="283"/>
      <c r="H188" s="283"/>
      <c r="I188" s="283"/>
    </row>
    <row r="189" spans="2:10" ht="14.5" customHeight="1" x14ac:dyDescent="0.4">
      <c r="B189" s="283"/>
      <c r="C189" s="283"/>
      <c r="D189" s="283"/>
      <c r="E189" s="283"/>
      <c r="F189" s="283"/>
      <c r="G189" s="283"/>
      <c r="H189" s="283"/>
      <c r="I189" s="283"/>
    </row>
    <row r="190" spans="2:10" ht="14.5" customHeight="1" x14ac:dyDescent="0.4">
      <c r="B190" s="283"/>
      <c r="C190" s="283"/>
      <c r="D190" s="283"/>
      <c r="E190" s="283"/>
      <c r="F190" s="283"/>
      <c r="G190" s="283"/>
      <c r="H190" s="283"/>
      <c r="I190" s="283"/>
    </row>
    <row r="191" spans="2:10" ht="14.5" customHeight="1" x14ac:dyDescent="0.4">
      <c r="B191" s="283"/>
      <c r="C191" s="283"/>
      <c r="D191" s="283"/>
      <c r="E191" s="283"/>
      <c r="F191" s="283"/>
      <c r="G191" s="283"/>
      <c r="H191" s="283"/>
      <c r="I191" s="283"/>
    </row>
    <row r="192" spans="2:10" ht="14.5" customHeight="1" x14ac:dyDescent="0.4">
      <c r="B192" s="283"/>
      <c r="C192" s="283"/>
      <c r="D192" s="283"/>
      <c r="E192" s="283"/>
      <c r="F192" s="283"/>
      <c r="G192" s="283"/>
      <c r="H192" s="283"/>
      <c r="I192" s="283"/>
    </row>
    <row r="193" spans="2:9" ht="14.5" customHeight="1" x14ac:dyDescent="0.4">
      <c r="B193" s="283"/>
      <c r="C193" s="283"/>
      <c r="D193" s="283"/>
      <c r="E193" s="283"/>
      <c r="F193" s="283"/>
      <c r="G193" s="283"/>
      <c r="H193" s="283"/>
      <c r="I193" s="283"/>
    </row>
    <row r="194" spans="2:9" ht="14.5" customHeight="1" x14ac:dyDescent="0.4">
      <c r="B194" s="283"/>
      <c r="C194" s="283"/>
      <c r="D194" s="283"/>
      <c r="E194" s="283"/>
      <c r="F194" s="283"/>
      <c r="G194" s="283"/>
      <c r="H194" s="283"/>
      <c r="I194" s="283"/>
    </row>
    <row r="195" spans="2:9" ht="14.5" customHeight="1" x14ac:dyDescent="0.4">
      <c r="B195" s="283"/>
      <c r="C195" s="283"/>
      <c r="D195" s="283"/>
      <c r="E195" s="283"/>
      <c r="F195" s="283"/>
      <c r="G195" s="283"/>
      <c r="H195" s="283"/>
      <c r="I195" s="283"/>
    </row>
    <row r="196" spans="2:9" ht="14.5" customHeight="1" x14ac:dyDescent="0.4">
      <c r="B196" s="283"/>
      <c r="C196" s="283"/>
      <c r="D196" s="283"/>
      <c r="E196" s="283"/>
      <c r="F196" s="283"/>
      <c r="G196" s="283"/>
      <c r="H196" s="283"/>
      <c r="I196" s="283"/>
    </row>
    <row r="197" spans="2:9" ht="14.5" customHeight="1" x14ac:dyDescent="0.4">
      <c r="B197" s="283"/>
      <c r="C197" s="283"/>
      <c r="D197" s="283"/>
      <c r="E197" s="283"/>
      <c r="F197" s="283"/>
      <c r="G197" s="283"/>
      <c r="H197" s="283"/>
      <c r="I197" s="283"/>
    </row>
    <row r="198" spans="2:9" ht="14.5" customHeight="1" x14ac:dyDescent="0.4">
      <c r="B198" s="283"/>
      <c r="C198" s="283"/>
      <c r="D198" s="283"/>
      <c r="E198" s="283"/>
      <c r="F198" s="283"/>
      <c r="G198" s="283"/>
      <c r="H198" s="283"/>
      <c r="I198" s="283"/>
    </row>
    <row r="199" spans="2:9" ht="14.5" customHeight="1" x14ac:dyDescent="0.4">
      <c r="B199" s="283"/>
      <c r="C199" s="283"/>
      <c r="D199" s="283"/>
      <c r="E199" s="283"/>
      <c r="F199" s="283"/>
      <c r="G199" s="283"/>
      <c r="H199" s="283"/>
      <c r="I199" s="283"/>
    </row>
    <row r="200" spans="2:9" ht="14.5" customHeight="1" x14ac:dyDescent="0.4">
      <c r="B200" s="283"/>
      <c r="C200" s="283"/>
      <c r="D200" s="283"/>
      <c r="E200" s="283"/>
      <c r="F200" s="283"/>
      <c r="G200" s="283"/>
      <c r="H200" s="283"/>
      <c r="I200" s="283"/>
    </row>
    <row r="201" spans="2:9" ht="14.5" customHeight="1" x14ac:dyDescent="0.4">
      <c r="B201" s="283"/>
      <c r="C201" s="283"/>
      <c r="D201" s="283"/>
      <c r="E201" s="283"/>
      <c r="F201" s="283"/>
      <c r="G201" s="283"/>
      <c r="H201" s="283"/>
      <c r="I201" s="283"/>
    </row>
    <row r="202" spans="2:9" ht="14.5" customHeight="1" x14ac:dyDescent="0.4">
      <c r="B202" s="283"/>
      <c r="C202" s="283"/>
      <c r="D202" s="283"/>
      <c r="E202" s="283"/>
      <c r="F202" s="283"/>
      <c r="G202" s="283"/>
      <c r="H202" s="283"/>
      <c r="I202" s="283"/>
    </row>
    <row r="203" spans="2:9" ht="14.5" customHeight="1" x14ac:dyDescent="0.4">
      <c r="B203" s="283"/>
      <c r="C203" s="283"/>
      <c r="D203" s="283"/>
      <c r="E203" s="283"/>
      <c r="F203" s="283"/>
      <c r="G203" s="283"/>
      <c r="H203" s="283"/>
      <c r="I203" s="283"/>
    </row>
    <row r="204" spans="2:9" ht="14.5" customHeight="1" x14ac:dyDescent="0.4">
      <c r="B204" s="283"/>
      <c r="C204" s="283"/>
      <c r="D204" s="283"/>
      <c r="E204" s="283"/>
      <c r="F204" s="283"/>
      <c r="G204" s="283"/>
      <c r="H204" s="283"/>
      <c r="I204" s="283"/>
    </row>
    <row r="205" spans="2:9" ht="14.5" customHeight="1" x14ac:dyDescent="0.4">
      <c r="B205" s="283"/>
      <c r="C205" s="283"/>
      <c r="D205" s="283"/>
      <c r="E205" s="283"/>
      <c r="F205" s="283"/>
      <c r="G205" s="283"/>
      <c r="H205" s="283"/>
      <c r="I205" s="283"/>
    </row>
    <row r="206" spans="2:9" ht="14.5" customHeight="1" x14ac:dyDescent="0.4">
      <c r="B206" s="283"/>
      <c r="C206" s="283"/>
      <c r="D206" s="283"/>
      <c r="E206" s="283"/>
      <c r="F206" s="283"/>
      <c r="G206" s="283"/>
      <c r="H206" s="283"/>
      <c r="I206" s="283"/>
    </row>
    <row r="207" spans="2:9" ht="14.5" customHeight="1" x14ac:dyDescent="0.4">
      <c r="B207" s="283"/>
      <c r="C207" s="283"/>
      <c r="D207" s="283"/>
      <c r="E207" s="283"/>
      <c r="F207" s="283"/>
      <c r="G207" s="283"/>
      <c r="H207" s="283"/>
      <c r="I207" s="283"/>
    </row>
    <row r="208" spans="2:9" x14ac:dyDescent="0.4">
      <c r="B208" s="283"/>
      <c r="C208" s="283"/>
      <c r="D208" s="283"/>
      <c r="E208" s="283"/>
      <c r="F208" s="283"/>
      <c r="G208" s="283"/>
      <c r="H208" s="283"/>
      <c r="I208" s="283"/>
    </row>
    <row r="209" spans="2:9" x14ac:dyDescent="0.4">
      <c r="B209" s="283"/>
      <c r="C209" s="283"/>
      <c r="D209" s="283"/>
      <c r="E209" s="283"/>
      <c r="F209" s="283"/>
      <c r="G209" s="283"/>
      <c r="H209" s="283"/>
      <c r="I209" s="283"/>
    </row>
    <row r="210" spans="2:9" x14ac:dyDescent="0.4">
      <c r="B210" s="283"/>
      <c r="C210" s="283"/>
      <c r="D210" s="283"/>
      <c r="E210" s="283"/>
      <c r="F210" s="283"/>
      <c r="G210" s="283"/>
      <c r="H210" s="283"/>
      <c r="I210" s="283"/>
    </row>
    <row r="211" spans="2:9" x14ac:dyDescent="0.4">
      <c r="B211" s="283"/>
      <c r="C211" s="283"/>
      <c r="D211" s="283"/>
      <c r="E211" s="283"/>
      <c r="F211" s="283"/>
      <c r="G211" s="283"/>
      <c r="H211" s="283"/>
      <c r="I211" s="283"/>
    </row>
    <row r="212" spans="2:9" x14ac:dyDescent="0.4">
      <c r="B212" s="283"/>
      <c r="C212" s="283"/>
      <c r="D212" s="283"/>
      <c r="E212" s="283"/>
      <c r="F212" s="283"/>
      <c r="G212" s="283"/>
      <c r="H212" s="283"/>
      <c r="I212" s="283"/>
    </row>
    <row r="213" spans="2:9" x14ac:dyDescent="0.4">
      <c r="B213" s="283"/>
      <c r="C213" s="283"/>
      <c r="D213" s="283"/>
      <c r="E213" s="283"/>
      <c r="F213" s="283"/>
      <c r="G213" s="283"/>
      <c r="H213" s="283"/>
      <c r="I213" s="283"/>
    </row>
    <row r="214" spans="2:9" x14ac:dyDescent="0.4">
      <c r="B214" s="283"/>
      <c r="C214" s="283"/>
      <c r="D214" s="283"/>
      <c r="E214" s="283"/>
      <c r="F214" s="283"/>
      <c r="G214" s="283"/>
      <c r="H214" s="283"/>
      <c r="I214" s="283"/>
    </row>
  </sheetData>
  <mergeCells count="1">
    <mergeCell ref="B2:G2"/>
  </mergeCells>
  <conditionalFormatting sqref="G5:G17 I5:I34 P5:P35 B18:G18 G20:G32 B33:G34">
    <cfRule type="cellIs" dxfId="2" priority="1" operator="lessThan">
      <formula>0.001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9550-7E89-411D-A36E-5B47A41C066E}">
  <dimension ref="B1:AC131"/>
  <sheetViews>
    <sheetView showGridLines="0" showRowColHeaders="0" zoomScale="115" zoomScaleNormal="115" workbookViewId="0">
      <pane ySplit="13" topLeftCell="A14" activePane="bottomLeft" state="frozen"/>
      <selection pane="bottomLeft" activeCell="D18" sqref="D18"/>
    </sheetView>
  </sheetViews>
  <sheetFormatPr defaultRowHeight="14.4" x14ac:dyDescent="0.55000000000000004"/>
  <cols>
    <col min="1" max="1" width="1.77734375" style="132" customWidth="1"/>
    <col min="2" max="2" width="9.1640625" style="284" customWidth="1"/>
    <col min="3" max="3" width="8.109375" style="132" customWidth="1"/>
    <col min="4" max="4" width="11.27734375" style="132" customWidth="1"/>
    <col min="5" max="6" width="14" style="132" customWidth="1"/>
    <col min="7" max="8" width="8.109375" style="132" customWidth="1"/>
    <col min="9" max="10" width="14" style="132" customWidth="1"/>
    <col min="11" max="11" width="15.5" style="132" customWidth="1"/>
    <col min="12" max="18" width="14" style="132" customWidth="1"/>
    <col min="19" max="21" width="21.83203125" style="132" customWidth="1"/>
    <col min="22" max="22" width="16.5546875" style="132" customWidth="1"/>
    <col min="23" max="29" width="14" style="132" customWidth="1"/>
    <col min="30" max="16384" width="8.88671875" style="132"/>
  </cols>
  <sheetData>
    <row r="1" spans="2:29" ht="5.0999999999999996" customHeight="1" x14ac:dyDescent="0.55000000000000004"/>
    <row r="2" spans="2:29" ht="15" customHeight="1" x14ac:dyDescent="0.55000000000000004"/>
    <row r="3" spans="2:29" ht="15" customHeight="1" x14ac:dyDescent="0.55000000000000004"/>
    <row r="4" spans="2:29" ht="15" customHeight="1" x14ac:dyDescent="0.55000000000000004"/>
    <row r="5" spans="2:29" ht="5.0999999999999996" customHeight="1" x14ac:dyDescent="0.55000000000000004"/>
    <row r="6" spans="2:29" ht="5.0999999999999996" customHeight="1" x14ac:dyDescent="0.55000000000000004"/>
    <row r="7" spans="2:29" x14ac:dyDescent="0.55000000000000004">
      <c r="C7" s="285" t="s">
        <v>121</v>
      </c>
      <c r="D7" s="286"/>
      <c r="E7" s="287"/>
      <c r="F7" s="288"/>
      <c r="G7" s="288"/>
      <c r="H7" s="288"/>
      <c r="I7" s="288"/>
      <c r="J7" s="288"/>
    </row>
    <row r="8" spans="2:29" ht="5.0999999999999996" customHeight="1" x14ac:dyDescent="0.55000000000000004"/>
    <row r="9" spans="2:29" x14ac:dyDescent="0.55000000000000004">
      <c r="C9" s="285" t="s">
        <v>122</v>
      </c>
      <c r="D9" s="286"/>
      <c r="E9" s="289"/>
      <c r="F9" s="290"/>
      <c r="G9" s="291" t="s">
        <v>123</v>
      </c>
      <c r="H9" s="286"/>
      <c r="I9" s="292"/>
      <c r="J9" s="293"/>
    </row>
    <row r="10" spans="2:29" s="297" customFormat="1" ht="5.0999999999999996" customHeight="1" x14ac:dyDescent="0.55000000000000004">
      <c r="B10" s="294"/>
      <c r="C10" s="295"/>
      <c r="D10" s="295"/>
      <c r="E10" s="296"/>
      <c r="F10" s="296"/>
      <c r="G10" s="295"/>
      <c r="H10" s="295"/>
      <c r="I10" s="296"/>
      <c r="J10" s="296"/>
      <c r="K10" s="295"/>
      <c r="L10" s="296"/>
      <c r="M10" s="296"/>
    </row>
    <row r="11" spans="2:29" x14ac:dyDescent="0.55000000000000004">
      <c r="C11" s="285" t="s">
        <v>124</v>
      </c>
      <c r="D11" s="286"/>
      <c r="E11" s="289"/>
      <c r="F11" s="290"/>
      <c r="G11" s="291" t="s">
        <v>125</v>
      </c>
      <c r="H11" s="286"/>
      <c r="I11" s="292"/>
      <c r="J11" s="293"/>
    </row>
    <row r="12" spans="2:29" ht="5.0999999999999996" customHeight="1" x14ac:dyDescent="0.55000000000000004"/>
    <row r="13" spans="2:29" x14ac:dyDescent="0.55000000000000004">
      <c r="C13" s="298" t="s">
        <v>126</v>
      </c>
      <c r="D13" s="299"/>
      <c r="E13" s="299"/>
      <c r="F13" s="300"/>
      <c r="G13" s="301" t="s">
        <v>127</v>
      </c>
      <c r="H13" s="302"/>
      <c r="I13" s="302"/>
      <c r="J13" s="302"/>
      <c r="K13" s="303"/>
      <c r="L13" s="304" t="s">
        <v>128</v>
      </c>
      <c r="M13" s="304" t="s">
        <v>129</v>
      </c>
      <c r="N13" s="304" t="s">
        <v>130</v>
      </c>
      <c r="O13" s="304" t="s">
        <v>131</v>
      </c>
      <c r="P13" s="304" t="s">
        <v>132</v>
      </c>
      <c r="Q13" s="304" t="s">
        <v>133</v>
      </c>
      <c r="R13" s="304" t="s">
        <v>134</v>
      </c>
      <c r="S13" s="304" t="s">
        <v>135</v>
      </c>
      <c r="T13" s="304" t="s">
        <v>136</v>
      </c>
      <c r="U13" s="305" t="s">
        <v>137</v>
      </c>
      <c r="V13" s="306" t="s">
        <v>138</v>
      </c>
      <c r="W13" s="304" t="s">
        <v>139</v>
      </c>
      <c r="X13" s="304" t="s">
        <v>140</v>
      </c>
      <c r="Y13" s="304" t="s">
        <v>141</v>
      </c>
      <c r="Z13" s="304" t="s">
        <v>142</v>
      </c>
      <c r="AA13" s="304" t="s">
        <v>143</v>
      </c>
      <c r="AB13" s="304" t="s">
        <v>144</v>
      </c>
      <c r="AC13" s="307" t="s">
        <v>145</v>
      </c>
    </row>
    <row r="14" spans="2:29" x14ac:dyDescent="0.55000000000000004">
      <c r="B14" s="308">
        <v>1</v>
      </c>
      <c r="C14" s="309"/>
      <c r="D14" s="310"/>
      <c r="E14" s="310"/>
      <c r="F14" s="310"/>
      <c r="G14" s="311"/>
      <c r="H14" s="310"/>
      <c r="I14" s="310"/>
      <c r="J14" s="310"/>
      <c r="K14" s="310"/>
      <c r="L14" s="312"/>
      <c r="M14" s="312"/>
      <c r="N14" s="313"/>
      <c r="O14" s="314"/>
      <c r="P14" s="315"/>
      <c r="Q14" s="315"/>
      <c r="R14" s="314"/>
      <c r="S14" s="314"/>
      <c r="T14" s="314"/>
      <c r="U14" s="314"/>
      <c r="V14" s="312"/>
      <c r="W14" s="315"/>
      <c r="X14" s="315"/>
      <c r="Y14" s="315"/>
      <c r="Z14" s="315"/>
      <c r="AA14" s="315"/>
      <c r="AB14" s="315"/>
      <c r="AC14" s="316"/>
    </row>
    <row r="15" spans="2:29" x14ac:dyDescent="0.55000000000000004">
      <c r="B15" s="308">
        <v>2</v>
      </c>
      <c r="C15" s="317"/>
      <c r="D15" s="318"/>
      <c r="E15" s="318"/>
      <c r="F15" s="318"/>
      <c r="G15" s="319"/>
      <c r="H15" s="318"/>
      <c r="I15" s="318"/>
      <c r="J15" s="318"/>
      <c r="K15" s="318"/>
      <c r="L15" s="320"/>
      <c r="M15" s="320"/>
      <c r="N15" s="321"/>
      <c r="O15" s="322"/>
      <c r="P15" s="323"/>
      <c r="Q15" s="323"/>
      <c r="R15" s="322"/>
      <c r="S15" s="322"/>
      <c r="T15" s="322"/>
      <c r="U15" s="322"/>
      <c r="V15" s="320"/>
      <c r="W15" s="323"/>
      <c r="X15" s="323"/>
      <c r="Y15" s="323"/>
      <c r="Z15" s="323"/>
      <c r="AA15" s="323"/>
      <c r="AB15" s="323"/>
      <c r="AC15" s="324"/>
    </row>
    <row r="16" spans="2:29" x14ac:dyDescent="0.55000000000000004">
      <c r="B16" s="308">
        <v>3</v>
      </c>
      <c r="C16" s="317"/>
      <c r="D16" s="318"/>
      <c r="E16" s="318"/>
      <c r="F16" s="318"/>
      <c r="G16" s="319"/>
      <c r="H16" s="318"/>
      <c r="I16" s="318"/>
      <c r="J16" s="318"/>
      <c r="K16" s="318"/>
      <c r="L16" s="320"/>
      <c r="M16" s="320"/>
      <c r="N16" s="321"/>
      <c r="O16" s="322"/>
      <c r="P16" s="323"/>
      <c r="Q16" s="323"/>
      <c r="R16" s="322"/>
      <c r="S16" s="322"/>
      <c r="T16" s="322"/>
      <c r="U16" s="322"/>
      <c r="V16" s="320"/>
      <c r="W16" s="323"/>
      <c r="X16" s="323"/>
      <c r="Y16" s="323"/>
      <c r="Z16" s="323"/>
      <c r="AA16" s="323"/>
      <c r="AB16" s="323"/>
      <c r="AC16" s="324"/>
    </row>
    <row r="17" spans="2:29" x14ac:dyDescent="0.55000000000000004">
      <c r="B17" s="308">
        <v>4</v>
      </c>
      <c r="C17" s="317"/>
      <c r="D17" s="318"/>
      <c r="E17" s="318"/>
      <c r="F17" s="318"/>
      <c r="G17" s="319"/>
      <c r="H17" s="318"/>
      <c r="I17" s="318"/>
      <c r="J17" s="318"/>
      <c r="K17" s="318"/>
      <c r="L17" s="320"/>
      <c r="M17" s="320"/>
      <c r="N17" s="321"/>
      <c r="O17" s="322"/>
      <c r="P17" s="323"/>
      <c r="Q17" s="323"/>
      <c r="R17" s="322"/>
      <c r="S17" s="322"/>
      <c r="T17" s="322"/>
      <c r="U17" s="322"/>
      <c r="V17" s="320"/>
      <c r="W17" s="323"/>
      <c r="X17" s="323"/>
      <c r="Y17" s="323"/>
      <c r="Z17" s="323"/>
      <c r="AA17" s="323"/>
      <c r="AB17" s="323"/>
      <c r="AC17" s="324"/>
    </row>
    <row r="18" spans="2:29" x14ac:dyDescent="0.55000000000000004">
      <c r="B18" s="308">
        <v>5</v>
      </c>
      <c r="C18" s="317"/>
      <c r="D18" s="318"/>
      <c r="E18" s="318"/>
      <c r="F18" s="318"/>
      <c r="G18" s="319"/>
      <c r="H18" s="318"/>
      <c r="I18" s="318"/>
      <c r="J18" s="318"/>
      <c r="K18" s="318"/>
      <c r="L18" s="320"/>
      <c r="M18" s="320"/>
      <c r="N18" s="321"/>
      <c r="O18" s="322"/>
      <c r="P18" s="323"/>
      <c r="Q18" s="323"/>
      <c r="R18" s="322"/>
      <c r="S18" s="322"/>
      <c r="T18" s="322"/>
      <c r="U18" s="322"/>
      <c r="V18" s="320"/>
      <c r="W18" s="323"/>
      <c r="X18" s="323"/>
      <c r="Y18" s="323"/>
      <c r="Z18" s="323"/>
      <c r="AA18" s="323"/>
      <c r="AB18" s="323"/>
      <c r="AC18" s="324"/>
    </row>
    <row r="19" spans="2:29" x14ac:dyDescent="0.55000000000000004">
      <c r="B19" s="308">
        <v>6</v>
      </c>
      <c r="C19" s="317"/>
      <c r="D19" s="318"/>
      <c r="E19" s="318"/>
      <c r="F19" s="318"/>
      <c r="G19" s="319"/>
      <c r="H19" s="318"/>
      <c r="I19" s="318"/>
      <c r="J19" s="318"/>
      <c r="K19" s="318"/>
      <c r="L19" s="320"/>
      <c r="M19" s="320"/>
      <c r="N19" s="321"/>
      <c r="O19" s="322"/>
      <c r="P19" s="323"/>
      <c r="Q19" s="323"/>
      <c r="R19" s="322"/>
      <c r="S19" s="322"/>
      <c r="T19" s="322"/>
      <c r="U19" s="322"/>
      <c r="V19" s="320"/>
      <c r="W19" s="323"/>
      <c r="X19" s="323"/>
      <c r="Y19" s="323"/>
      <c r="Z19" s="323"/>
      <c r="AA19" s="323"/>
      <c r="AB19" s="323"/>
      <c r="AC19" s="324"/>
    </row>
    <row r="20" spans="2:29" x14ac:dyDescent="0.55000000000000004">
      <c r="B20" s="308">
        <v>7</v>
      </c>
      <c r="C20" s="317"/>
      <c r="D20" s="318"/>
      <c r="E20" s="318"/>
      <c r="F20" s="318"/>
      <c r="G20" s="319"/>
      <c r="H20" s="318"/>
      <c r="I20" s="318"/>
      <c r="J20" s="318"/>
      <c r="K20" s="318"/>
      <c r="L20" s="320"/>
      <c r="M20" s="320"/>
      <c r="N20" s="321"/>
      <c r="O20" s="322"/>
      <c r="P20" s="323"/>
      <c r="Q20" s="323"/>
      <c r="R20" s="322"/>
      <c r="S20" s="322"/>
      <c r="T20" s="322"/>
      <c r="U20" s="322"/>
      <c r="V20" s="320"/>
      <c r="W20" s="323"/>
      <c r="X20" s="323"/>
      <c r="Y20" s="323"/>
      <c r="Z20" s="323"/>
      <c r="AA20" s="323"/>
      <c r="AB20" s="323"/>
      <c r="AC20" s="324"/>
    </row>
    <row r="21" spans="2:29" x14ac:dyDescent="0.55000000000000004">
      <c r="B21" s="308">
        <v>8</v>
      </c>
      <c r="C21" s="317"/>
      <c r="D21" s="318"/>
      <c r="E21" s="318"/>
      <c r="F21" s="318"/>
      <c r="G21" s="319"/>
      <c r="H21" s="318"/>
      <c r="I21" s="318"/>
      <c r="J21" s="318"/>
      <c r="K21" s="318"/>
      <c r="L21" s="320"/>
      <c r="M21" s="320"/>
      <c r="N21" s="321"/>
      <c r="O21" s="322"/>
      <c r="P21" s="323"/>
      <c r="Q21" s="323"/>
      <c r="R21" s="322"/>
      <c r="S21" s="322"/>
      <c r="T21" s="322"/>
      <c r="U21" s="322"/>
      <c r="V21" s="320"/>
      <c r="W21" s="323"/>
      <c r="X21" s="323"/>
      <c r="Y21" s="323"/>
      <c r="Z21" s="323"/>
      <c r="AA21" s="323"/>
      <c r="AB21" s="323"/>
      <c r="AC21" s="324"/>
    </row>
    <row r="22" spans="2:29" x14ac:dyDescent="0.55000000000000004">
      <c r="B22" s="308">
        <v>9</v>
      </c>
      <c r="C22" s="317"/>
      <c r="D22" s="318"/>
      <c r="E22" s="318"/>
      <c r="F22" s="318"/>
      <c r="G22" s="319"/>
      <c r="H22" s="318"/>
      <c r="I22" s="318"/>
      <c r="J22" s="318"/>
      <c r="K22" s="318"/>
      <c r="L22" s="320"/>
      <c r="M22" s="320"/>
      <c r="N22" s="321"/>
      <c r="O22" s="322"/>
      <c r="P22" s="323"/>
      <c r="Q22" s="323"/>
      <c r="R22" s="322"/>
      <c r="S22" s="322"/>
      <c r="T22" s="322"/>
      <c r="U22" s="322"/>
      <c r="V22" s="320"/>
      <c r="W22" s="323"/>
      <c r="X22" s="323"/>
      <c r="Y22" s="323"/>
      <c r="Z22" s="323"/>
      <c r="AA22" s="323"/>
      <c r="AB22" s="323"/>
      <c r="AC22" s="324"/>
    </row>
    <row r="23" spans="2:29" x14ac:dyDescent="0.55000000000000004">
      <c r="B23" s="308">
        <v>10</v>
      </c>
      <c r="C23" s="317"/>
      <c r="D23" s="318"/>
      <c r="E23" s="318"/>
      <c r="F23" s="318"/>
      <c r="G23" s="319"/>
      <c r="H23" s="318"/>
      <c r="I23" s="318"/>
      <c r="J23" s="318"/>
      <c r="K23" s="318"/>
      <c r="L23" s="320"/>
      <c r="M23" s="320"/>
      <c r="N23" s="321"/>
      <c r="O23" s="322"/>
      <c r="P23" s="323"/>
      <c r="Q23" s="323"/>
      <c r="R23" s="322"/>
      <c r="S23" s="322"/>
      <c r="T23" s="322"/>
      <c r="U23" s="322"/>
      <c r="V23" s="320"/>
      <c r="W23" s="323"/>
      <c r="X23" s="323"/>
      <c r="Y23" s="323"/>
      <c r="Z23" s="323"/>
      <c r="AA23" s="323"/>
      <c r="AB23" s="323"/>
      <c r="AC23" s="324"/>
    </row>
    <row r="24" spans="2:29" x14ac:dyDescent="0.55000000000000004">
      <c r="B24" s="308">
        <v>11</v>
      </c>
      <c r="C24" s="317"/>
      <c r="D24" s="318"/>
      <c r="E24" s="318"/>
      <c r="F24" s="318"/>
      <c r="G24" s="319"/>
      <c r="H24" s="318"/>
      <c r="I24" s="318"/>
      <c r="J24" s="318"/>
      <c r="K24" s="318"/>
      <c r="L24" s="320"/>
      <c r="M24" s="320"/>
      <c r="N24" s="321"/>
      <c r="O24" s="322"/>
      <c r="P24" s="323"/>
      <c r="Q24" s="323"/>
      <c r="R24" s="322"/>
      <c r="S24" s="322"/>
      <c r="T24" s="322"/>
      <c r="U24" s="322"/>
      <c r="V24" s="320"/>
      <c r="W24" s="323"/>
      <c r="X24" s="323"/>
      <c r="Y24" s="323"/>
      <c r="Z24" s="323"/>
      <c r="AA24" s="323"/>
      <c r="AB24" s="323"/>
      <c r="AC24" s="324"/>
    </row>
    <row r="25" spans="2:29" x14ac:dyDescent="0.55000000000000004">
      <c r="B25" s="308">
        <v>12</v>
      </c>
      <c r="C25" s="317"/>
      <c r="D25" s="318"/>
      <c r="E25" s="318"/>
      <c r="F25" s="318"/>
      <c r="G25" s="319"/>
      <c r="H25" s="318"/>
      <c r="I25" s="318"/>
      <c r="J25" s="318"/>
      <c r="K25" s="318"/>
      <c r="L25" s="320"/>
      <c r="M25" s="320"/>
      <c r="N25" s="321"/>
      <c r="O25" s="322"/>
      <c r="P25" s="323"/>
      <c r="Q25" s="323"/>
      <c r="R25" s="322"/>
      <c r="S25" s="322"/>
      <c r="T25" s="322"/>
      <c r="U25" s="322"/>
      <c r="V25" s="320"/>
      <c r="W25" s="323"/>
      <c r="X25" s="323"/>
      <c r="Y25" s="323"/>
      <c r="Z25" s="323"/>
      <c r="AA25" s="323"/>
      <c r="AB25" s="323"/>
      <c r="AC25" s="324"/>
    </row>
    <row r="26" spans="2:29" x14ac:dyDescent="0.55000000000000004">
      <c r="B26" s="308">
        <v>13</v>
      </c>
      <c r="C26" s="317"/>
      <c r="D26" s="318"/>
      <c r="E26" s="318"/>
      <c r="F26" s="318"/>
      <c r="G26" s="319"/>
      <c r="H26" s="318"/>
      <c r="I26" s="318"/>
      <c r="J26" s="318"/>
      <c r="K26" s="318"/>
      <c r="L26" s="320"/>
      <c r="M26" s="320"/>
      <c r="N26" s="321"/>
      <c r="O26" s="322"/>
      <c r="P26" s="323"/>
      <c r="Q26" s="323"/>
      <c r="R26" s="322"/>
      <c r="S26" s="322"/>
      <c r="T26" s="322"/>
      <c r="U26" s="322"/>
      <c r="V26" s="320"/>
      <c r="W26" s="323"/>
      <c r="X26" s="323"/>
      <c r="Y26" s="323"/>
      <c r="Z26" s="323"/>
      <c r="AA26" s="323"/>
      <c r="AB26" s="323"/>
      <c r="AC26" s="324"/>
    </row>
    <row r="27" spans="2:29" x14ac:dyDescent="0.55000000000000004">
      <c r="B27" s="308">
        <v>14</v>
      </c>
      <c r="C27" s="317"/>
      <c r="D27" s="318"/>
      <c r="E27" s="318"/>
      <c r="F27" s="318"/>
      <c r="G27" s="319"/>
      <c r="H27" s="318"/>
      <c r="I27" s="318"/>
      <c r="J27" s="318"/>
      <c r="K27" s="318"/>
      <c r="L27" s="320"/>
      <c r="M27" s="320"/>
      <c r="N27" s="321"/>
      <c r="O27" s="322"/>
      <c r="P27" s="323"/>
      <c r="Q27" s="323"/>
      <c r="R27" s="322"/>
      <c r="S27" s="322"/>
      <c r="T27" s="322"/>
      <c r="U27" s="322"/>
      <c r="V27" s="320"/>
      <c r="W27" s="323"/>
      <c r="X27" s="323"/>
      <c r="Y27" s="323"/>
      <c r="Z27" s="323"/>
      <c r="AA27" s="323"/>
      <c r="AB27" s="323"/>
      <c r="AC27" s="324"/>
    </row>
    <row r="28" spans="2:29" x14ac:dyDescent="0.55000000000000004">
      <c r="B28" s="308">
        <v>15</v>
      </c>
      <c r="C28" s="317"/>
      <c r="D28" s="318"/>
      <c r="E28" s="318"/>
      <c r="F28" s="318"/>
      <c r="G28" s="319"/>
      <c r="H28" s="318"/>
      <c r="I28" s="318"/>
      <c r="J28" s="318"/>
      <c r="K28" s="318"/>
      <c r="L28" s="320"/>
      <c r="M28" s="320"/>
      <c r="N28" s="321"/>
      <c r="O28" s="322"/>
      <c r="P28" s="323"/>
      <c r="Q28" s="323"/>
      <c r="R28" s="322"/>
      <c r="S28" s="322"/>
      <c r="T28" s="322"/>
      <c r="U28" s="322"/>
      <c r="V28" s="320"/>
      <c r="W28" s="323"/>
      <c r="X28" s="323"/>
      <c r="Y28" s="323"/>
      <c r="Z28" s="323"/>
      <c r="AA28" s="323"/>
      <c r="AB28" s="323"/>
      <c r="AC28" s="324"/>
    </row>
    <row r="29" spans="2:29" x14ac:dyDescent="0.55000000000000004">
      <c r="B29" s="308">
        <v>16</v>
      </c>
      <c r="C29" s="317"/>
      <c r="D29" s="318"/>
      <c r="E29" s="318"/>
      <c r="F29" s="318"/>
      <c r="G29" s="319"/>
      <c r="H29" s="318"/>
      <c r="I29" s="318"/>
      <c r="J29" s="318"/>
      <c r="K29" s="318"/>
      <c r="L29" s="320"/>
      <c r="M29" s="320"/>
      <c r="N29" s="321"/>
      <c r="O29" s="322"/>
      <c r="P29" s="323"/>
      <c r="Q29" s="323"/>
      <c r="R29" s="322"/>
      <c r="S29" s="322"/>
      <c r="T29" s="322"/>
      <c r="U29" s="322"/>
      <c r="V29" s="320"/>
      <c r="W29" s="323"/>
      <c r="X29" s="323"/>
      <c r="Y29" s="323"/>
      <c r="Z29" s="323"/>
      <c r="AA29" s="323"/>
      <c r="AB29" s="323"/>
      <c r="AC29" s="324"/>
    </row>
    <row r="30" spans="2:29" x14ac:dyDescent="0.55000000000000004">
      <c r="B30" s="308">
        <v>17</v>
      </c>
      <c r="C30" s="317"/>
      <c r="D30" s="318"/>
      <c r="E30" s="318"/>
      <c r="F30" s="318"/>
      <c r="G30" s="319"/>
      <c r="H30" s="318"/>
      <c r="I30" s="318"/>
      <c r="J30" s="318"/>
      <c r="K30" s="318"/>
      <c r="L30" s="320"/>
      <c r="M30" s="320"/>
      <c r="N30" s="321"/>
      <c r="O30" s="322"/>
      <c r="P30" s="323"/>
      <c r="Q30" s="323"/>
      <c r="R30" s="322"/>
      <c r="S30" s="322"/>
      <c r="T30" s="322"/>
      <c r="U30" s="322"/>
      <c r="V30" s="320"/>
      <c r="W30" s="323"/>
      <c r="X30" s="323"/>
      <c r="Y30" s="323"/>
      <c r="Z30" s="323"/>
      <c r="AA30" s="323"/>
      <c r="AB30" s="323"/>
      <c r="AC30" s="324"/>
    </row>
    <row r="31" spans="2:29" x14ac:dyDescent="0.55000000000000004">
      <c r="B31" s="308">
        <v>18</v>
      </c>
      <c r="C31" s="317"/>
      <c r="D31" s="318"/>
      <c r="E31" s="318"/>
      <c r="F31" s="318"/>
      <c r="G31" s="319"/>
      <c r="H31" s="318"/>
      <c r="I31" s="318"/>
      <c r="J31" s="318"/>
      <c r="K31" s="318"/>
      <c r="L31" s="320"/>
      <c r="M31" s="320"/>
      <c r="N31" s="321"/>
      <c r="O31" s="322"/>
      <c r="P31" s="323"/>
      <c r="Q31" s="323"/>
      <c r="R31" s="322"/>
      <c r="S31" s="322"/>
      <c r="T31" s="322"/>
      <c r="U31" s="322"/>
      <c r="V31" s="320"/>
      <c r="W31" s="323"/>
      <c r="X31" s="323"/>
      <c r="Y31" s="323"/>
      <c r="Z31" s="323"/>
      <c r="AA31" s="323"/>
      <c r="AB31" s="323"/>
      <c r="AC31" s="324"/>
    </row>
    <row r="32" spans="2:29" x14ac:dyDescent="0.55000000000000004">
      <c r="B32" s="308">
        <v>19</v>
      </c>
      <c r="C32" s="317"/>
      <c r="D32" s="318"/>
      <c r="E32" s="318"/>
      <c r="F32" s="318"/>
      <c r="G32" s="319"/>
      <c r="H32" s="318"/>
      <c r="I32" s="318"/>
      <c r="J32" s="318"/>
      <c r="K32" s="318"/>
      <c r="L32" s="320"/>
      <c r="M32" s="320"/>
      <c r="N32" s="321"/>
      <c r="O32" s="322"/>
      <c r="P32" s="323"/>
      <c r="Q32" s="323"/>
      <c r="R32" s="322"/>
      <c r="S32" s="322"/>
      <c r="T32" s="322"/>
      <c r="U32" s="322"/>
      <c r="V32" s="320"/>
      <c r="W32" s="323"/>
      <c r="X32" s="323"/>
      <c r="Y32" s="323"/>
      <c r="Z32" s="323"/>
      <c r="AA32" s="323"/>
      <c r="AB32" s="323"/>
      <c r="AC32" s="324"/>
    </row>
    <row r="33" spans="2:29" x14ac:dyDescent="0.55000000000000004">
      <c r="B33" s="308">
        <v>20</v>
      </c>
      <c r="C33" s="317"/>
      <c r="D33" s="318"/>
      <c r="E33" s="318"/>
      <c r="F33" s="318"/>
      <c r="G33" s="319"/>
      <c r="H33" s="318"/>
      <c r="I33" s="318"/>
      <c r="J33" s="318"/>
      <c r="K33" s="318"/>
      <c r="L33" s="320"/>
      <c r="M33" s="320"/>
      <c r="N33" s="321"/>
      <c r="O33" s="322"/>
      <c r="P33" s="323"/>
      <c r="Q33" s="323"/>
      <c r="R33" s="322"/>
      <c r="S33" s="322"/>
      <c r="T33" s="322"/>
      <c r="U33" s="322"/>
      <c r="V33" s="320"/>
      <c r="W33" s="323"/>
      <c r="X33" s="323"/>
      <c r="Y33" s="323"/>
      <c r="Z33" s="323"/>
      <c r="AA33" s="323"/>
      <c r="AB33" s="323"/>
      <c r="AC33" s="324"/>
    </row>
    <row r="34" spans="2:29" x14ac:dyDescent="0.55000000000000004">
      <c r="B34" s="308">
        <v>21</v>
      </c>
      <c r="C34" s="317"/>
      <c r="D34" s="318"/>
      <c r="E34" s="318"/>
      <c r="F34" s="318"/>
      <c r="G34" s="319"/>
      <c r="H34" s="318"/>
      <c r="I34" s="318"/>
      <c r="J34" s="318"/>
      <c r="K34" s="318"/>
      <c r="L34" s="320"/>
      <c r="M34" s="320"/>
      <c r="N34" s="321"/>
      <c r="O34" s="322"/>
      <c r="P34" s="323"/>
      <c r="Q34" s="323"/>
      <c r="R34" s="322"/>
      <c r="S34" s="322"/>
      <c r="T34" s="322"/>
      <c r="U34" s="322"/>
      <c r="V34" s="320"/>
      <c r="W34" s="323"/>
      <c r="X34" s="323"/>
      <c r="Y34" s="323"/>
      <c r="Z34" s="323"/>
      <c r="AA34" s="323"/>
      <c r="AB34" s="323"/>
      <c r="AC34" s="324"/>
    </row>
    <row r="35" spans="2:29" x14ac:dyDescent="0.55000000000000004">
      <c r="B35" s="308">
        <v>22</v>
      </c>
      <c r="C35" s="317"/>
      <c r="D35" s="318"/>
      <c r="E35" s="318"/>
      <c r="F35" s="318"/>
      <c r="G35" s="319"/>
      <c r="H35" s="318"/>
      <c r="I35" s="318"/>
      <c r="J35" s="318"/>
      <c r="K35" s="318"/>
      <c r="L35" s="320"/>
      <c r="M35" s="320"/>
      <c r="N35" s="321"/>
      <c r="O35" s="322"/>
      <c r="P35" s="323"/>
      <c r="Q35" s="323"/>
      <c r="R35" s="322"/>
      <c r="S35" s="322"/>
      <c r="T35" s="322"/>
      <c r="U35" s="322"/>
      <c r="V35" s="320"/>
      <c r="W35" s="323"/>
      <c r="X35" s="323"/>
      <c r="Y35" s="323"/>
      <c r="Z35" s="323"/>
      <c r="AA35" s="323"/>
      <c r="AB35" s="323"/>
      <c r="AC35" s="324"/>
    </row>
    <row r="36" spans="2:29" x14ac:dyDescent="0.55000000000000004">
      <c r="B36" s="308">
        <v>23</v>
      </c>
      <c r="C36" s="317"/>
      <c r="D36" s="318"/>
      <c r="E36" s="318"/>
      <c r="F36" s="318"/>
      <c r="G36" s="319"/>
      <c r="H36" s="318"/>
      <c r="I36" s="318"/>
      <c r="J36" s="318"/>
      <c r="K36" s="318"/>
      <c r="L36" s="320"/>
      <c r="M36" s="320"/>
      <c r="N36" s="321"/>
      <c r="O36" s="322"/>
      <c r="P36" s="323"/>
      <c r="Q36" s="323"/>
      <c r="R36" s="322"/>
      <c r="S36" s="322"/>
      <c r="T36" s="322"/>
      <c r="U36" s="322"/>
      <c r="V36" s="320"/>
      <c r="W36" s="323"/>
      <c r="X36" s="323"/>
      <c r="Y36" s="323"/>
      <c r="Z36" s="323"/>
      <c r="AA36" s="323"/>
      <c r="AB36" s="323"/>
      <c r="AC36" s="324"/>
    </row>
    <row r="37" spans="2:29" x14ac:dyDescent="0.55000000000000004">
      <c r="B37" s="308">
        <v>24</v>
      </c>
      <c r="C37" s="317"/>
      <c r="D37" s="318"/>
      <c r="E37" s="318"/>
      <c r="F37" s="318"/>
      <c r="G37" s="319"/>
      <c r="H37" s="318"/>
      <c r="I37" s="318"/>
      <c r="J37" s="318"/>
      <c r="K37" s="318"/>
      <c r="L37" s="320"/>
      <c r="M37" s="320"/>
      <c r="N37" s="321"/>
      <c r="O37" s="322"/>
      <c r="P37" s="323"/>
      <c r="Q37" s="323"/>
      <c r="R37" s="322"/>
      <c r="S37" s="322"/>
      <c r="T37" s="322"/>
      <c r="U37" s="322"/>
      <c r="V37" s="320"/>
      <c r="W37" s="323"/>
      <c r="X37" s="323"/>
      <c r="Y37" s="323"/>
      <c r="Z37" s="323"/>
      <c r="AA37" s="323"/>
      <c r="AB37" s="323"/>
      <c r="AC37" s="324"/>
    </row>
    <row r="38" spans="2:29" x14ac:dyDescent="0.55000000000000004">
      <c r="B38" s="308">
        <v>25</v>
      </c>
      <c r="C38" s="317"/>
      <c r="D38" s="318"/>
      <c r="E38" s="318"/>
      <c r="F38" s="318"/>
      <c r="G38" s="319"/>
      <c r="H38" s="318"/>
      <c r="I38" s="318"/>
      <c r="J38" s="318"/>
      <c r="K38" s="318"/>
      <c r="L38" s="320"/>
      <c r="M38" s="320"/>
      <c r="N38" s="321"/>
      <c r="O38" s="322"/>
      <c r="P38" s="323"/>
      <c r="Q38" s="323"/>
      <c r="R38" s="322"/>
      <c r="S38" s="322"/>
      <c r="T38" s="322"/>
      <c r="U38" s="322"/>
      <c r="V38" s="320"/>
      <c r="W38" s="323"/>
      <c r="X38" s="323"/>
      <c r="Y38" s="323"/>
      <c r="Z38" s="323"/>
      <c r="AA38" s="323"/>
      <c r="AB38" s="323"/>
      <c r="AC38" s="324"/>
    </row>
    <row r="39" spans="2:29" x14ac:dyDescent="0.55000000000000004">
      <c r="B39" s="308">
        <v>26</v>
      </c>
      <c r="C39" s="317"/>
      <c r="D39" s="318"/>
      <c r="E39" s="318"/>
      <c r="F39" s="318"/>
      <c r="G39" s="319"/>
      <c r="H39" s="318"/>
      <c r="I39" s="318"/>
      <c r="J39" s="318"/>
      <c r="K39" s="318"/>
      <c r="L39" s="320"/>
      <c r="M39" s="320"/>
      <c r="N39" s="321"/>
      <c r="O39" s="322"/>
      <c r="P39" s="323"/>
      <c r="Q39" s="323"/>
      <c r="R39" s="322"/>
      <c r="S39" s="322"/>
      <c r="T39" s="322"/>
      <c r="U39" s="322"/>
      <c r="V39" s="320"/>
      <c r="W39" s="323"/>
      <c r="X39" s="323"/>
      <c r="Y39" s="323"/>
      <c r="Z39" s="323"/>
      <c r="AA39" s="323"/>
      <c r="AB39" s="323"/>
      <c r="AC39" s="324"/>
    </row>
    <row r="40" spans="2:29" x14ac:dyDescent="0.55000000000000004">
      <c r="B40" s="308">
        <v>27</v>
      </c>
      <c r="C40" s="317"/>
      <c r="D40" s="318"/>
      <c r="E40" s="318"/>
      <c r="F40" s="318"/>
      <c r="G40" s="319"/>
      <c r="H40" s="318"/>
      <c r="I40" s="318"/>
      <c r="J40" s="318"/>
      <c r="K40" s="318"/>
      <c r="L40" s="320"/>
      <c r="M40" s="320"/>
      <c r="N40" s="321"/>
      <c r="O40" s="322"/>
      <c r="P40" s="323"/>
      <c r="Q40" s="323"/>
      <c r="R40" s="322"/>
      <c r="S40" s="322"/>
      <c r="T40" s="322"/>
      <c r="U40" s="322"/>
      <c r="V40" s="320"/>
      <c r="W40" s="323"/>
      <c r="X40" s="323"/>
      <c r="Y40" s="323"/>
      <c r="Z40" s="323"/>
      <c r="AA40" s="323"/>
      <c r="AB40" s="323"/>
      <c r="AC40" s="324"/>
    </row>
    <row r="41" spans="2:29" x14ac:dyDescent="0.55000000000000004">
      <c r="B41" s="308">
        <v>28</v>
      </c>
      <c r="C41" s="317"/>
      <c r="D41" s="318"/>
      <c r="E41" s="318"/>
      <c r="F41" s="318"/>
      <c r="G41" s="319"/>
      <c r="H41" s="318"/>
      <c r="I41" s="318"/>
      <c r="J41" s="318"/>
      <c r="K41" s="318"/>
      <c r="L41" s="320"/>
      <c r="M41" s="320"/>
      <c r="N41" s="321"/>
      <c r="O41" s="322"/>
      <c r="P41" s="323"/>
      <c r="Q41" s="323"/>
      <c r="R41" s="322"/>
      <c r="S41" s="322"/>
      <c r="T41" s="322"/>
      <c r="U41" s="322"/>
      <c r="V41" s="320"/>
      <c r="W41" s="323"/>
      <c r="X41" s="323"/>
      <c r="Y41" s="323"/>
      <c r="Z41" s="323"/>
      <c r="AA41" s="323"/>
      <c r="AB41" s="323"/>
      <c r="AC41" s="324"/>
    </row>
    <row r="42" spans="2:29" x14ac:dyDescent="0.55000000000000004">
      <c r="B42" s="308">
        <v>29</v>
      </c>
      <c r="C42" s="317"/>
      <c r="D42" s="318"/>
      <c r="E42" s="318"/>
      <c r="F42" s="318"/>
      <c r="G42" s="319"/>
      <c r="H42" s="318"/>
      <c r="I42" s="318"/>
      <c r="J42" s="318"/>
      <c r="K42" s="318"/>
      <c r="L42" s="320"/>
      <c r="M42" s="320"/>
      <c r="N42" s="321"/>
      <c r="O42" s="322"/>
      <c r="P42" s="323"/>
      <c r="Q42" s="323"/>
      <c r="R42" s="322"/>
      <c r="S42" s="322"/>
      <c r="T42" s="322"/>
      <c r="U42" s="322"/>
      <c r="V42" s="320"/>
      <c r="W42" s="323"/>
      <c r="X42" s="323"/>
      <c r="Y42" s="323"/>
      <c r="Z42" s="323"/>
      <c r="AA42" s="323"/>
      <c r="AB42" s="323"/>
      <c r="AC42" s="324"/>
    </row>
    <row r="43" spans="2:29" x14ac:dyDescent="0.55000000000000004">
      <c r="B43" s="308">
        <v>30</v>
      </c>
      <c r="C43" s="317"/>
      <c r="D43" s="318"/>
      <c r="E43" s="318"/>
      <c r="F43" s="318"/>
      <c r="G43" s="319"/>
      <c r="H43" s="318"/>
      <c r="I43" s="318"/>
      <c r="J43" s="318"/>
      <c r="K43" s="318"/>
      <c r="L43" s="320"/>
      <c r="M43" s="320"/>
      <c r="N43" s="321"/>
      <c r="O43" s="322"/>
      <c r="P43" s="323"/>
      <c r="Q43" s="323"/>
      <c r="R43" s="322"/>
      <c r="S43" s="322"/>
      <c r="T43" s="322"/>
      <c r="U43" s="322"/>
      <c r="V43" s="320"/>
      <c r="W43" s="323"/>
      <c r="X43" s="323"/>
      <c r="Y43" s="323"/>
      <c r="Z43" s="323"/>
      <c r="AA43" s="323"/>
      <c r="AB43" s="323"/>
      <c r="AC43" s="324"/>
    </row>
    <row r="44" spans="2:29" x14ac:dyDescent="0.55000000000000004">
      <c r="B44" s="308">
        <v>31</v>
      </c>
      <c r="C44" s="317"/>
      <c r="D44" s="318"/>
      <c r="E44" s="318"/>
      <c r="F44" s="318"/>
      <c r="G44" s="319"/>
      <c r="H44" s="318"/>
      <c r="I44" s="318"/>
      <c r="J44" s="318"/>
      <c r="K44" s="318"/>
      <c r="L44" s="320"/>
      <c r="M44" s="320"/>
      <c r="N44" s="321"/>
      <c r="O44" s="322"/>
      <c r="P44" s="323"/>
      <c r="Q44" s="323"/>
      <c r="R44" s="322"/>
      <c r="S44" s="322"/>
      <c r="T44" s="322"/>
      <c r="U44" s="322"/>
      <c r="V44" s="320"/>
      <c r="W44" s="323"/>
      <c r="X44" s="323"/>
      <c r="Y44" s="323"/>
      <c r="Z44" s="323"/>
      <c r="AA44" s="323"/>
      <c r="AB44" s="323"/>
      <c r="AC44" s="324"/>
    </row>
    <row r="45" spans="2:29" x14ac:dyDescent="0.55000000000000004">
      <c r="B45" s="308">
        <v>32</v>
      </c>
      <c r="C45" s="317"/>
      <c r="D45" s="318"/>
      <c r="E45" s="318"/>
      <c r="F45" s="318"/>
      <c r="G45" s="319"/>
      <c r="H45" s="318"/>
      <c r="I45" s="318"/>
      <c r="J45" s="318"/>
      <c r="K45" s="318"/>
      <c r="L45" s="320"/>
      <c r="M45" s="320"/>
      <c r="N45" s="321"/>
      <c r="O45" s="322"/>
      <c r="P45" s="323"/>
      <c r="Q45" s="323"/>
      <c r="R45" s="322"/>
      <c r="S45" s="322"/>
      <c r="T45" s="322"/>
      <c r="U45" s="322"/>
      <c r="V45" s="320"/>
      <c r="W45" s="323"/>
      <c r="X45" s="323"/>
      <c r="Y45" s="323"/>
      <c r="Z45" s="323"/>
      <c r="AA45" s="323"/>
      <c r="AB45" s="323"/>
      <c r="AC45" s="324"/>
    </row>
    <row r="46" spans="2:29" x14ac:dyDescent="0.55000000000000004">
      <c r="B46" s="308">
        <v>33</v>
      </c>
      <c r="C46" s="317"/>
      <c r="D46" s="318"/>
      <c r="E46" s="318"/>
      <c r="F46" s="318"/>
      <c r="G46" s="319"/>
      <c r="H46" s="318"/>
      <c r="I46" s="318"/>
      <c r="J46" s="318"/>
      <c r="K46" s="318"/>
      <c r="L46" s="320"/>
      <c r="M46" s="320"/>
      <c r="N46" s="321"/>
      <c r="O46" s="322"/>
      <c r="P46" s="323"/>
      <c r="Q46" s="323"/>
      <c r="R46" s="322"/>
      <c r="S46" s="322"/>
      <c r="T46" s="322"/>
      <c r="U46" s="322"/>
      <c r="V46" s="320"/>
      <c r="W46" s="323"/>
      <c r="X46" s="323"/>
      <c r="Y46" s="323"/>
      <c r="Z46" s="323"/>
      <c r="AA46" s="323"/>
      <c r="AB46" s="323"/>
      <c r="AC46" s="324"/>
    </row>
    <row r="47" spans="2:29" x14ac:dyDescent="0.55000000000000004">
      <c r="B47" s="308">
        <v>34</v>
      </c>
      <c r="C47" s="317"/>
      <c r="D47" s="318"/>
      <c r="E47" s="318"/>
      <c r="F47" s="318"/>
      <c r="G47" s="319"/>
      <c r="H47" s="318"/>
      <c r="I47" s="318"/>
      <c r="J47" s="318"/>
      <c r="K47" s="318"/>
      <c r="L47" s="320"/>
      <c r="M47" s="320"/>
      <c r="N47" s="321"/>
      <c r="O47" s="322"/>
      <c r="P47" s="323"/>
      <c r="Q47" s="323"/>
      <c r="R47" s="322"/>
      <c r="S47" s="322"/>
      <c r="T47" s="322"/>
      <c r="U47" s="322"/>
      <c r="V47" s="320"/>
      <c r="W47" s="323"/>
      <c r="X47" s="323"/>
      <c r="Y47" s="323"/>
      <c r="Z47" s="323"/>
      <c r="AA47" s="323"/>
      <c r="AB47" s="323"/>
      <c r="AC47" s="324"/>
    </row>
    <row r="48" spans="2:29" x14ac:dyDescent="0.55000000000000004">
      <c r="B48" s="308">
        <v>35</v>
      </c>
      <c r="C48" s="317"/>
      <c r="D48" s="318"/>
      <c r="E48" s="318"/>
      <c r="F48" s="318"/>
      <c r="G48" s="319"/>
      <c r="H48" s="318"/>
      <c r="I48" s="318"/>
      <c r="J48" s="318"/>
      <c r="K48" s="318"/>
      <c r="L48" s="320"/>
      <c r="M48" s="320"/>
      <c r="N48" s="321"/>
      <c r="O48" s="322"/>
      <c r="P48" s="323"/>
      <c r="Q48" s="323"/>
      <c r="R48" s="322"/>
      <c r="S48" s="322"/>
      <c r="T48" s="322"/>
      <c r="U48" s="322"/>
      <c r="V48" s="320"/>
      <c r="W48" s="323"/>
      <c r="X48" s="323"/>
      <c r="Y48" s="323"/>
      <c r="Z48" s="323"/>
      <c r="AA48" s="323"/>
      <c r="AB48" s="323"/>
      <c r="AC48" s="324"/>
    </row>
    <row r="49" spans="2:29" x14ac:dyDescent="0.55000000000000004">
      <c r="B49" s="308">
        <v>36</v>
      </c>
      <c r="C49" s="317"/>
      <c r="D49" s="318"/>
      <c r="E49" s="318"/>
      <c r="F49" s="318"/>
      <c r="G49" s="319"/>
      <c r="H49" s="318"/>
      <c r="I49" s="318"/>
      <c r="J49" s="318"/>
      <c r="K49" s="318"/>
      <c r="L49" s="320"/>
      <c r="M49" s="320"/>
      <c r="N49" s="321"/>
      <c r="O49" s="322"/>
      <c r="P49" s="323"/>
      <c r="Q49" s="323"/>
      <c r="R49" s="322"/>
      <c r="S49" s="322"/>
      <c r="T49" s="322"/>
      <c r="U49" s="322"/>
      <c r="V49" s="320"/>
      <c r="W49" s="323"/>
      <c r="X49" s="323"/>
      <c r="Y49" s="323"/>
      <c r="Z49" s="323"/>
      <c r="AA49" s="323"/>
      <c r="AB49" s="323"/>
      <c r="AC49" s="324"/>
    </row>
    <row r="50" spans="2:29" x14ac:dyDescent="0.55000000000000004">
      <c r="B50" s="308">
        <v>37</v>
      </c>
      <c r="C50" s="317"/>
      <c r="D50" s="318"/>
      <c r="E50" s="318"/>
      <c r="F50" s="318"/>
      <c r="G50" s="319"/>
      <c r="H50" s="318"/>
      <c r="I50" s="318"/>
      <c r="J50" s="318"/>
      <c r="K50" s="318"/>
      <c r="L50" s="320"/>
      <c r="M50" s="320"/>
      <c r="N50" s="321"/>
      <c r="O50" s="322"/>
      <c r="P50" s="323"/>
      <c r="Q50" s="323"/>
      <c r="R50" s="322"/>
      <c r="S50" s="322"/>
      <c r="T50" s="322"/>
      <c r="U50" s="322"/>
      <c r="V50" s="320"/>
      <c r="W50" s="323"/>
      <c r="X50" s="323"/>
      <c r="Y50" s="323"/>
      <c r="Z50" s="323"/>
      <c r="AA50" s="323"/>
      <c r="AB50" s="323"/>
      <c r="AC50" s="324"/>
    </row>
    <row r="51" spans="2:29" x14ac:dyDescent="0.55000000000000004">
      <c r="B51" s="308">
        <v>38</v>
      </c>
      <c r="C51" s="317"/>
      <c r="D51" s="318"/>
      <c r="E51" s="318"/>
      <c r="F51" s="318"/>
      <c r="G51" s="319"/>
      <c r="H51" s="318"/>
      <c r="I51" s="318"/>
      <c r="J51" s="318"/>
      <c r="K51" s="318"/>
      <c r="L51" s="320"/>
      <c r="M51" s="320"/>
      <c r="N51" s="321"/>
      <c r="O51" s="322"/>
      <c r="P51" s="323"/>
      <c r="Q51" s="323"/>
      <c r="R51" s="322"/>
      <c r="S51" s="322"/>
      <c r="T51" s="322"/>
      <c r="U51" s="322"/>
      <c r="V51" s="320"/>
      <c r="W51" s="323"/>
      <c r="X51" s="323"/>
      <c r="Y51" s="323"/>
      <c r="Z51" s="323"/>
      <c r="AA51" s="323"/>
      <c r="AB51" s="323"/>
      <c r="AC51" s="324"/>
    </row>
    <row r="52" spans="2:29" x14ac:dyDescent="0.55000000000000004">
      <c r="B52" s="308">
        <v>39</v>
      </c>
      <c r="C52" s="317"/>
      <c r="D52" s="318"/>
      <c r="E52" s="318"/>
      <c r="F52" s="318"/>
      <c r="G52" s="319"/>
      <c r="H52" s="318"/>
      <c r="I52" s="318"/>
      <c r="J52" s="318"/>
      <c r="K52" s="318"/>
      <c r="L52" s="320"/>
      <c r="M52" s="320"/>
      <c r="N52" s="321"/>
      <c r="O52" s="322"/>
      <c r="P52" s="323"/>
      <c r="Q52" s="323"/>
      <c r="R52" s="322"/>
      <c r="S52" s="322"/>
      <c r="T52" s="322"/>
      <c r="U52" s="322"/>
      <c r="V52" s="320"/>
      <c r="W52" s="323"/>
      <c r="X52" s="323"/>
      <c r="Y52" s="323"/>
      <c r="Z52" s="323"/>
      <c r="AA52" s="323"/>
      <c r="AB52" s="323"/>
      <c r="AC52" s="324"/>
    </row>
    <row r="53" spans="2:29" x14ac:dyDescent="0.55000000000000004">
      <c r="B53" s="308">
        <v>40</v>
      </c>
      <c r="C53" s="317"/>
      <c r="D53" s="318"/>
      <c r="E53" s="318"/>
      <c r="F53" s="318"/>
      <c r="G53" s="319"/>
      <c r="H53" s="318"/>
      <c r="I53" s="318"/>
      <c r="J53" s="318"/>
      <c r="K53" s="318"/>
      <c r="L53" s="320"/>
      <c r="M53" s="320"/>
      <c r="N53" s="321"/>
      <c r="O53" s="322"/>
      <c r="P53" s="323"/>
      <c r="Q53" s="323"/>
      <c r="R53" s="322"/>
      <c r="S53" s="322"/>
      <c r="T53" s="322"/>
      <c r="U53" s="322"/>
      <c r="V53" s="320"/>
      <c r="W53" s="323"/>
      <c r="X53" s="323"/>
      <c r="Y53" s="323"/>
      <c r="Z53" s="323"/>
      <c r="AA53" s="323"/>
      <c r="AB53" s="323"/>
      <c r="AC53" s="324"/>
    </row>
    <row r="54" spans="2:29" x14ac:dyDescent="0.55000000000000004">
      <c r="B54" s="308">
        <v>41</v>
      </c>
      <c r="C54" s="317"/>
      <c r="D54" s="318"/>
      <c r="E54" s="318"/>
      <c r="F54" s="318"/>
      <c r="G54" s="319"/>
      <c r="H54" s="318"/>
      <c r="I54" s="318"/>
      <c r="J54" s="318"/>
      <c r="K54" s="318"/>
      <c r="L54" s="320"/>
      <c r="M54" s="320"/>
      <c r="N54" s="321"/>
      <c r="O54" s="322"/>
      <c r="P54" s="323"/>
      <c r="Q54" s="323"/>
      <c r="R54" s="322"/>
      <c r="S54" s="322"/>
      <c r="T54" s="322"/>
      <c r="U54" s="322"/>
      <c r="V54" s="320"/>
      <c r="W54" s="323"/>
      <c r="X54" s="323"/>
      <c r="Y54" s="323"/>
      <c r="Z54" s="323"/>
      <c r="AA54" s="323"/>
      <c r="AB54" s="323"/>
      <c r="AC54" s="324"/>
    </row>
    <row r="55" spans="2:29" x14ac:dyDescent="0.55000000000000004">
      <c r="B55" s="308">
        <v>42</v>
      </c>
      <c r="C55" s="317"/>
      <c r="D55" s="318"/>
      <c r="E55" s="318"/>
      <c r="F55" s="318"/>
      <c r="G55" s="319"/>
      <c r="H55" s="318"/>
      <c r="I55" s="318"/>
      <c r="J55" s="318"/>
      <c r="K55" s="318"/>
      <c r="L55" s="320"/>
      <c r="M55" s="320"/>
      <c r="N55" s="321"/>
      <c r="O55" s="322"/>
      <c r="P55" s="323"/>
      <c r="Q55" s="323"/>
      <c r="R55" s="322"/>
      <c r="S55" s="322"/>
      <c r="T55" s="322"/>
      <c r="U55" s="322"/>
      <c r="V55" s="320"/>
      <c r="W55" s="323"/>
      <c r="X55" s="323"/>
      <c r="Y55" s="323"/>
      <c r="Z55" s="323"/>
      <c r="AA55" s="323"/>
      <c r="AB55" s="323"/>
      <c r="AC55" s="324"/>
    </row>
    <row r="56" spans="2:29" x14ac:dyDescent="0.55000000000000004">
      <c r="B56" s="308">
        <v>43</v>
      </c>
      <c r="C56" s="317"/>
      <c r="D56" s="318"/>
      <c r="E56" s="318"/>
      <c r="F56" s="318"/>
      <c r="G56" s="319"/>
      <c r="H56" s="318"/>
      <c r="I56" s="318"/>
      <c r="J56" s="318"/>
      <c r="K56" s="318"/>
      <c r="L56" s="320"/>
      <c r="M56" s="320"/>
      <c r="N56" s="321"/>
      <c r="O56" s="322"/>
      <c r="P56" s="323"/>
      <c r="Q56" s="323"/>
      <c r="R56" s="322"/>
      <c r="S56" s="322"/>
      <c r="T56" s="322"/>
      <c r="U56" s="322"/>
      <c r="V56" s="320"/>
      <c r="W56" s="323"/>
      <c r="X56" s="323"/>
      <c r="Y56" s="323"/>
      <c r="Z56" s="323"/>
      <c r="AA56" s="323"/>
      <c r="AB56" s="323"/>
      <c r="AC56" s="324"/>
    </row>
    <row r="57" spans="2:29" x14ac:dyDescent="0.55000000000000004">
      <c r="B57" s="308">
        <v>44</v>
      </c>
      <c r="C57" s="317"/>
      <c r="D57" s="318"/>
      <c r="E57" s="318"/>
      <c r="F57" s="318"/>
      <c r="G57" s="319"/>
      <c r="H57" s="318"/>
      <c r="I57" s="318"/>
      <c r="J57" s="318"/>
      <c r="K57" s="318"/>
      <c r="L57" s="320"/>
      <c r="M57" s="320"/>
      <c r="N57" s="321"/>
      <c r="O57" s="322"/>
      <c r="P57" s="323"/>
      <c r="Q57" s="323"/>
      <c r="R57" s="322"/>
      <c r="S57" s="322"/>
      <c r="T57" s="322"/>
      <c r="U57" s="322"/>
      <c r="V57" s="320"/>
      <c r="W57" s="323"/>
      <c r="X57" s="323"/>
      <c r="Y57" s="323"/>
      <c r="Z57" s="323"/>
      <c r="AA57" s="323"/>
      <c r="AB57" s="323"/>
      <c r="AC57" s="324"/>
    </row>
    <row r="58" spans="2:29" x14ac:dyDescent="0.55000000000000004">
      <c r="B58" s="308">
        <v>45</v>
      </c>
      <c r="C58" s="317"/>
      <c r="D58" s="318"/>
      <c r="E58" s="318"/>
      <c r="F58" s="318"/>
      <c r="G58" s="319"/>
      <c r="H58" s="318"/>
      <c r="I58" s="318"/>
      <c r="J58" s="318"/>
      <c r="K58" s="318"/>
      <c r="L58" s="320"/>
      <c r="M58" s="320"/>
      <c r="N58" s="321"/>
      <c r="O58" s="322"/>
      <c r="P58" s="323"/>
      <c r="Q58" s="323"/>
      <c r="R58" s="322"/>
      <c r="S58" s="322"/>
      <c r="T58" s="322"/>
      <c r="U58" s="322"/>
      <c r="V58" s="320"/>
      <c r="W58" s="323"/>
      <c r="X58" s="323"/>
      <c r="Y58" s="323"/>
      <c r="Z58" s="323"/>
      <c r="AA58" s="323"/>
      <c r="AB58" s="323"/>
      <c r="AC58" s="324"/>
    </row>
    <row r="59" spans="2:29" x14ac:dyDescent="0.55000000000000004">
      <c r="B59" s="308">
        <v>46</v>
      </c>
      <c r="C59" s="317"/>
      <c r="D59" s="318"/>
      <c r="E59" s="318"/>
      <c r="F59" s="318"/>
      <c r="G59" s="319"/>
      <c r="H59" s="318"/>
      <c r="I59" s="318"/>
      <c r="J59" s="318"/>
      <c r="K59" s="318"/>
      <c r="L59" s="320"/>
      <c r="M59" s="320"/>
      <c r="N59" s="321"/>
      <c r="O59" s="322"/>
      <c r="P59" s="323"/>
      <c r="Q59" s="323"/>
      <c r="R59" s="322"/>
      <c r="S59" s="322"/>
      <c r="T59" s="322"/>
      <c r="U59" s="322"/>
      <c r="V59" s="320"/>
      <c r="W59" s="323"/>
      <c r="X59" s="323"/>
      <c r="Y59" s="323"/>
      <c r="Z59" s="323"/>
      <c r="AA59" s="323"/>
      <c r="AB59" s="323"/>
      <c r="AC59" s="324"/>
    </row>
    <row r="60" spans="2:29" x14ac:dyDescent="0.55000000000000004">
      <c r="B60" s="308">
        <v>47</v>
      </c>
      <c r="C60" s="317"/>
      <c r="D60" s="318"/>
      <c r="E60" s="318"/>
      <c r="F60" s="318"/>
      <c r="G60" s="319"/>
      <c r="H60" s="318"/>
      <c r="I60" s="318"/>
      <c r="J60" s="318"/>
      <c r="K60" s="318"/>
      <c r="L60" s="320"/>
      <c r="M60" s="320"/>
      <c r="N60" s="321"/>
      <c r="O60" s="322"/>
      <c r="P60" s="323"/>
      <c r="Q60" s="323"/>
      <c r="R60" s="322"/>
      <c r="S60" s="322"/>
      <c r="T60" s="322"/>
      <c r="U60" s="322"/>
      <c r="V60" s="320"/>
      <c r="W60" s="323"/>
      <c r="X60" s="323"/>
      <c r="Y60" s="323"/>
      <c r="Z60" s="323"/>
      <c r="AA60" s="323"/>
      <c r="AB60" s="323"/>
      <c r="AC60" s="324"/>
    </row>
    <row r="61" spans="2:29" x14ac:dyDescent="0.55000000000000004">
      <c r="B61" s="308">
        <v>48</v>
      </c>
      <c r="C61" s="317"/>
      <c r="D61" s="318"/>
      <c r="E61" s="318"/>
      <c r="F61" s="318"/>
      <c r="G61" s="319"/>
      <c r="H61" s="318"/>
      <c r="I61" s="318"/>
      <c r="J61" s="318"/>
      <c r="K61" s="318"/>
      <c r="L61" s="320"/>
      <c r="M61" s="320"/>
      <c r="N61" s="321"/>
      <c r="O61" s="322"/>
      <c r="P61" s="323"/>
      <c r="Q61" s="323"/>
      <c r="R61" s="322"/>
      <c r="S61" s="322"/>
      <c r="T61" s="322"/>
      <c r="U61" s="322"/>
      <c r="V61" s="320"/>
      <c r="W61" s="323"/>
      <c r="X61" s="323"/>
      <c r="Y61" s="323"/>
      <c r="Z61" s="323"/>
      <c r="AA61" s="323"/>
      <c r="AB61" s="323"/>
      <c r="AC61" s="324"/>
    </row>
    <row r="62" spans="2:29" x14ac:dyDescent="0.55000000000000004">
      <c r="B62" s="308">
        <v>49</v>
      </c>
      <c r="C62" s="317"/>
      <c r="D62" s="318"/>
      <c r="E62" s="318"/>
      <c r="F62" s="318"/>
      <c r="G62" s="319"/>
      <c r="H62" s="318"/>
      <c r="I62" s="318"/>
      <c r="J62" s="318"/>
      <c r="K62" s="318"/>
      <c r="L62" s="320"/>
      <c r="M62" s="320"/>
      <c r="N62" s="321"/>
      <c r="O62" s="322"/>
      <c r="P62" s="323"/>
      <c r="Q62" s="323"/>
      <c r="R62" s="322"/>
      <c r="S62" s="322"/>
      <c r="T62" s="322"/>
      <c r="U62" s="322"/>
      <c r="V62" s="320"/>
      <c r="W62" s="323"/>
      <c r="X62" s="323"/>
      <c r="Y62" s="323"/>
      <c r="Z62" s="323"/>
      <c r="AA62" s="323"/>
      <c r="AB62" s="323"/>
      <c r="AC62" s="324"/>
    </row>
    <row r="63" spans="2:29" x14ac:dyDescent="0.55000000000000004">
      <c r="B63" s="308">
        <v>50</v>
      </c>
      <c r="C63" s="317"/>
      <c r="D63" s="318"/>
      <c r="E63" s="318"/>
      <c r="F63" s="318"/>
      <c r="G63" s="319"/>
      <c r="H63" s="318"/>
      <c r="I63" s="318"/>
      <c r="J63" s="318"/>
      <c r="K63" s="318"/>
      <c r="L63" s="320"/>
      <c r="M63" s="320"/>
      <c r="N63" s="321"/>
      <c r="O63" s="322"/>
      <c r="P63" s="323"/>
      <c r="Q63" s="323"/>
      <c r="R63" s="322"/>
      <c r="S63" s="322"/>
      <c r="T63" s="322"/>
      <c r="U63" s="322"/>
      <c r="V63" s="320"/>
      <c r="W63" s="323"/>
      <c r="X63" s="323"/>
      <c r="Y63" s="323"/>
      <c r="Z63" s="323"/>
      <c r="AA63" s="323"/>
      <c r="AB63" s="323"/>
      <c r="AC63" s="324"/>
    </row>
    <row r="64" spans="2:29" x14ac:dyDescent="0.55000000000000004">
      <c r="B64" s="308">
        <v>51</v>
      </c>
      <c r="C64" s="317"/>
      <c r="D64" s="318"/>
      <c r="E64" s="318"/>
      <c r="F64" s="318"/>
      <c r="G64" s="319"/>
      <c r="H64" s="318"/>
      <c r="I64" s="318"/>
      <c r="J64" s="318"/>
      <c r="K64" s="318"/>
      <c r="L64" s="320"/>
      <c r="M64" s="320"/>
      <c r="N64" s="321"/>
      <c r="O64" s="322"/>
      <c r="P64" s="323"/>
      <c r="Q64" s="323"/>
      <c r="R64" s="322"/>
      <c r="S64" s="322"/>
      <c r="T64" s="322"/>
      <c r="U64" s="322"/>
      <c r="V64" s="320"/>
      <c r="W64" s="323"/>
      <c r="X64" s="323"/>
      <c r="Y64" s="323"/>
      <c r="Z64" s="323"/>
      <c r="AA64" s="323"/>
      <c r="AB64" s="323"/>
      <c r="AC64" s="324"/>
    </row>
    <row r="65" spans="2:29" x14ac:dyDescent="0.55000000000000004">
      <c r="B65" s="308">
        <v>52</v>
      </c>
      <c r="C65" s="317"/>
      <c r="D65" s="318"/>
      <c r="E65" s="318"/>
      <c r="F65" s="318"/>
      <c r="G65" s="319"/>
      <c r="H65" s="318"/>
      <c r="I65" s="318"/>
      <c r="J65" s="318"/>
      <c r="K65" s="318"/>
      <c r="L65" s="320"/>
      <c r="M65" s="320"/>
      <c r="N65" s="321"/>
      <c r="O65" s="322"/>
      <c r="P65" s="323"/>
      <c r="Q65" s="323"/>
      <c r="R65" s="322"/>
      <c r="S65" s="322"/>
      <c r="T65" s="322"/>
      <c r="U65" s="322"/>
      <c r="V65" s="320"/>
      <c r="W65" s="323"/>
      <c r="X65" s="323"/>
      <c r="Y65" s="323"/>
      <c r="Z65" s="323"/>
      <c r="AA65" s="323"/>
      <c r="AB65" s="323"/>
      <c r="AC65" s="324"/>
    </row>
    <row r="66" spans="2:29" x14ac:dyDescent="0.55000000000000004">
      <c r="B66" s="308">
        <v>53</v>
      </c>
      <c r="C66" s="317"/>
      <c r="D66" s="318"/>
      <c r="E66" s="318"/>
      <c r="F66" s="318"/>
      <c r="G66" s="319"/>
      <c r="H66" s="318"/>
      <c r="I66" s="318"/>
      <c r="J66" s="318"/>
      <c r="K66" s="318"/>
      <c r="L66" s="320"/>
      <c r="M66" s="320"/>
      <c r="N66" s="321"/>
      <c r="O66" s="322"/>
      <c r="P66" s="323"/>
      <c r="Q66" s="323"/>
      <c r="R66" s="322"/>
      <c r="S66" s="322"/>
      <c r="T66" s="322"/>
      <c r="U66" s="322"/>
      <c r="V66" s="320"/>
      <c r="W66" s="323"/>
      <c r="X66" s="323"/>
      <c r="Y66" s="323"/>
      <c r="Z66" s="323"/>
      <c r="AA66" s="323"/>
      <c r="AB66" s="323"/>
      <c r="AC66" s="324"/>
    </row>
    <row r="67" spans="2:29" x14ac:dyDescent="0.55000000000000004">
      <c r="B67" s="308">
        <v>54</v>
      </c>
      <c r="C67" s="317"/>
      <c r="D67" s="318"/>
      <c r="E67" s="318"/>
      <c r="F67" s="318"/>
      <c r="G67" s="319"/>
      <c r="H67" s="318"/>
      <c r="I67" s="318"/>
      <c r="J67" s="318"/>
      <c r="K67" s="318"/>
      <c r="L67" s="320"/>
      <c r="M67" s="320"/>
      <c r="N67" s="321"/>
      <c r="O67" s="322"/>
      <c r="P67" s="323"/>
      <c r="Q67" s="323"/>
      <c r="R67" s="322"/>
      <c r="S67" s="322"/>
      <c r="T67" s="322"/>
      <c r="U67" s="322"/>
      <c r="V67" s="320"/>
      <c r="W67" s="323"/>
      <c r="X67" s="323"/>
      <c r="Y67" s="323"/>
      <c r="Z67" s="323"/>
      <c r="AA67" s="323"/>
      <c r="AB67" s="323"/>
      <c r="AC67" s="324"/>
    </row>
    <row r="68" spans="2:29" x14ac:dyDescent="0.55000000000000004">
      <c r="B68" s="308">
        <v>55</v>
      </c>
      <c r="C68" s="317"/>
      <c r="D68" s="318"/>
      <c r="E68" s="318"/>
      <c r="F68" s="318"/>
      <c r="G68" s="319"/>
      <c r="H68" s="318"/>
      <c r="I68" s="318"/>
      <c r="J68" s="318"/>
      <c r="K68" s="318"/>
      <c r="L68" s="320"/>
      <c r="M68" s="320"/>
      <c r="N68" s="321"/>
      <c r="O68" s="322"/>
      <c r="P68" s="323"/>
      <c r="Q68" s="323"/>
      <c r="R68" s="322"/>
      <c r="S68" s="322"/>
      <c r="T68" s="322"/>
      <c r="U68" s="322"/>
      <c r="V68" s="320"/>
      <c r="W68" s="323"/>
      <c r="X68" s="323"/>
      <c r="Y68" s="323"/>
      <c r="Z68" s="323"/>
      <c r="AA68" s="323"/>
      <c r="AB68" s="323"/>
      <c r="AC68" s="324"/>
    </row>
    <row r="69" spans="2:29" x14ac:dyDescent="0.55000000000000004">
      <c r="B69" s="308">
        <v>56</v>
      </c>
      <c r="C69" s="317"/>
      <c r="D69" s="318"/>
      <c r="E69" s="318"/>
      <c r="F69" s="318"/>
      <c r="G69" s="319"/>
      <c r="H69" s="318"/>
      <c r="I69" s="318"/>
      <c r="J69" s="318"/>
      <c r="K69" s="318"/>
      <c r="L69" s="320"/>
      <c r="M69" s="320"/>
      <c r="N69" s="321"/>
      <c r="O69" s="322"/>
      <c r="P69" s="323"/>
      <c r="Q69" s="323"/>
      <c r="R69" s="322"/>
      <c r="S69" s="322"/>
      <c r="T69" s="322"/>
      <c r="U69" s="322"/>
      <c r="V69" s="320"/>
      <c r="W69" s="323"/>
      <c r="X69" s="323"/>
      <c r="Y69" s="323"/>
      <c r="Z69" s="323"/>
      <c r="AA69" s="323"/>
      <c r="AB69" s="323"/>
      <c r="AC69" s="324"/>
    </row>
    <row r="70" spans="2:29" x14ac:dyDescent="0.55000000000000004">
      <c r="B70" s="308">
        <v>57</v>
      </c>
      <c r="C70" s="317"/>
      <c r="D70" s="318"/>
      <c r="E70" s="318"/>
      <c r="F70" s="318"/>
      <c r="G70" s="319"/>
      <c r="H70" s="318"/>
      <c r="I70" s="318"/>
      <c r="J70" s="318"/>
      <c r="K70" s="318"/>
      <c r="L70" s="320"/>
      <c r="M70" s="320"/>
      <c r="N70" s="321"/>
      <c r="O70" s="322"/>
      <c r="P70" s="323"/>
      <c r="Q70" s="323"/>
      <c r="R70" s="322"/>
      <c r="S70" s="322"/>
      <c r="T70" s="322"/>
      <c r="U70" s="322"/>
      <c r="V70" s="320"/>
      <c r="W70" s="323"/>
      <c r="X70" s="323"/>
      <c r="Y70" s="323"/>
      <c r="Z70" s="323"/>
      <c r="AA70" s="323"/>
      <c r="AB70" s="323"/>
      <c r="AC70" s="324"/>
    </row>
    <row r="71" spans="2:29" x14ac:dyDescent="0.55000000000000004">
      <c r="B71" s="308">
        <v>58</v>
      </c>
      <c r="C71" s="317"/>
      <c r="D71" s="318"/>
      <c r="E71" s="318"/>
      <c r="F71" s="318"/>
      <c r="G71" s="319"/>
      <c r="H71" s="318"/>
      <c r="I71" s="318"/>
      <c r="J71" s="318"/>
      <c r="K71" s="318"/>
      <c r="L71" s="320"/>
      <c r="M71" s="320"/>
      <c r="N71" s="321"/>
      <c r="O71" s="322"/>
      <c r="P71" s="323"/>
      <c r="Q71" s="323"/>
      <c r="R71" s="322"/>
      <c r="S71" s="322"/>
      <c r="T71" s="322"/>
      <c r="U71" s="322"/>
      <c r="V71" s="320"/>
      <c r="W71" s="323"/>
      <c r="X71" s="323"/>
      <c r="Y71" s="323"/>
      <c r="Z71" s="323"/>
      <c r="AA71" s="323"/>
      <c r="AB71" s="323"/>
      <c r="AC71" s="324"/>
    </row>
    <row r="72" spans="2:29" x14ac:dyDescent="0.55000000000000004">
      <c r="B72" s="308">
        <v>59</v>
      </c>
      <c r="C72" s="317"/>
      <c r="D72" s="318"/>
      <c r="E72" s="318"/>
      <c r="F72" s="318"/>
      <c r="G72" s="319"/>
      <c r="H72" s="318"/>
      <c r="I72" s="318"/>
      <c r="J72" s="318"/>
      <c r="K72" s="318"/>
      <c r="L72" s="320"/>
      <c r="M72" s="320"/>
      <c r="N72" s="321"/>
      <c r="O72" s="322"/>
      <c r="P72" s="323"/>
      <c r="Q72" s="323"/>
      <c r="R72" s="322"/>
      <c r="S72" s="322"/>
      <c r="T72" s="322"/>
      <c r="U72" s="322"/>
      <c r="V72" s="320"/>
      <c r="W72" s="323"/>
      <c r="X72" s="323"/>
      <c r="Y72" s="323"/>
      <c r="Z72" s="323"/>
      <c r="AA72" s="323"/>
      <c r="AB72" s="323"/>
      <c r="AC72" s="324"/>
    </row>
    <row r="73" spans="2:29" x14ac:dyDescent="0.55000000000000004">
      <c r="B73" s="308">
        <v>60</v>
      </c>
      <c r="C73" s="317"/>
      <c r="D73" s="318"/>
      <c r="E73" s="318"/>
      <c r="F73" s="318"/>
      <c r="G73" s="319"/>
      <c r="H73" s="318"/>
      <c r="I73" s="318"/>
      <c r="J73" s="318"/>
      <c r="K73" s="318"/>
      <c r="L73" s="320"/>
      <c r="M73" s="320"/>
      <c r="N73" s="321"/>
      <c r="O73" s="322"/>
      <c r="P73" s="323"/>
      <c r="Q73" s="323"/>
      <c r="R73" s="322"/>
      <c r="S73" s="322"/>
      <c r="T73" s="322"/>
      <c r="U73" s="322"/>
      <c r="V73" s="320"/>
      <c r="W73" s="323"/>
      <c r="X73" s="323"/>
      <c r="Y73" s="323"/>
      <c r="Z73" s="323"/>
      <c r="AA73" s="323"/>
      <c r="AB73" s="323"/>
      <c r="AC73" s="324"/>
    </row>
    <row r="74" spans="2:29" x14ac:dyDescent="0.55000000000000004">
      <c r="B74" s="308">
        <v>61</v>
      </c>
      <c r="C74" s="317"/>
      <c r="D74" s="318"/>
      <c r="E74" s="318"/>
      <c r="F74" s="318"/>
      <c r="G74" s="319"/>
      <c r="H74" s="318"/>
      <c r="I74" s="318"/>
      <c r="J74" s="318"/>
      <c r="K74" s="318"/>
      <c r="L74" s="320"/>
      <c r="M74" s="320"/>
      <c r="N74" s="321"/>
      <c r="O74" s="322"/>
      <c r="P74" s="323"/>
      <c r="Q74" s="323"/>
      <c r="R74" s="322"/>
      <c r="S74" s="322"/>
      <c r="T74" s="322"/>
      <c r="U74" s="322"/>
      <c r="V74" s="320"/>
      <c r="W74" s="323"/>
      <c r="X74" s="323"/>
      <c r="Y74" s="323"/>
      <c r="Z74" s="323"/>
      <c r="AA74" s="323"/>
      <c r="AB74" s="323"/>
      <c r="AC74" s="324"/>
    </row>
    <row r="75" spans="2:29" x14ac:dyDescent="0.55000000000000004">
      <c r="B75" s="308">
        <v>62</v>
      </c>
      <c r="C75" s="317"/>
      <c r="D75" s="318"/>
      <c r="E75" s="318"/>
      <c r="F75" s="318"/>
      <c r="G75" s="319"/>
      <c r="H75" s="318"/>
      <c r="I75" s="318"/>
      <c r="J75" s="318"/>
      <c r="K75" s="318"/>
      <c r="L75" s="320"/>
      <c r="M75" s="320"/>
      <c r="N75" s="321"/>
      <c r="O75" s="322"/>
      <c r="P75" s="323"/>
      <c r="Q75" s="323"/>
      <c r="R75" s="322"/>
      <c r="S75" s="322"/>
      <c r="T75" s="322"/>
      <c r="U75" s="322"/>
      <c r="V75" s="320"/>
      <c r="W75" s="323"/>
      <c r="X75" s="323"/>
      <c r="Y75" s="323"/>
      <c r="Z75" s="323"/>
      <c r="AA75" s="323"/>
      <c r="AB75" s="323"/>
      <c r="AC75" s="324"/>
    </row>
    <row r="76" spans="2:29" x14ac:dyDescent="0.55000000000000004">
      <c r="B76" s="308">
        <v>63</v>
      </c>
      <c r="C76" s="317"/>
      <c r="D76" s="318"/>
      <c r="E76" s="318"/>
      <c r="F76" s="318"/>
      <c r="G76" s="319"/>
      <c r="H76" s="318"/>
      <c r="I76" s="318"/>
      <c r="J76" s="318"/>
      <c r="K76" s="318"/>
      <c r="L76" s="320"/>
      <c r="M76" s="320"/>
      <c r="N76" s="321"/>
      <c r="O76" s="322"/>
      <c r="P76" s="323"/>
      <c r="Q76" s="323"/>
      <c r="R76" s="322"/>
      <c r="S76" s="322"/>
      <c r="T76" s="322"/>
      <c r="U76" s="322"/>
      <c r="V76" s="320"/>
      <c r="W76" s="323"/>
      <c r="X76" s="323"/>
      <c r="Y76" s="323"/>
      <c r="Z76" s="323"/>
      <c r="AA76" s="323"/>
      <c r="AB76" s="323"/>
      <c r="AC76" s="324"/>
    </row>
    <row r="77" spans="2:29" x14ac:dyDescent="0.55000000000000004">
      <c r="B77" s="308">
        <v>64</v>
      </c>
      <c r="C77" s="317"/>
      <c r="D77" s="318"/>
      <c r="E77" s="318"/>
      <c r="F77" s="318"/>
      <c r="G77" s="319"/>
      <c r="H77" s="318"/>
      <c r="I77" s="318"/>
      <c r="J77" s="318"/>
      <c r="K77" s="318"/>
      <c r="L77" s="320"/>
      <c r="M77" s="320"/>
      <c r="N77" s="321"/>
      <c r="O77" s="322"/>
      <c r="P77" s="323"/>
      <c r="Q77" s="323"/>
      <c r="R77" s="322"/>
      <c r="S77" s="322"/>
      <c r="T77" s="322"/>
      <c r="U77" s="322"/>
      <c r="V77" s="320"/>
      <c r="W77" s="323"/>
      <c r="X77" s="323"/>
      <c r="Y77" s="323"/>
      <c r="Z77" s="323"/>
      <c r="AA77" s="323"/>
      <c r="AB77" s="323"/>
      <c r="AC77" s="324"/>
    </row>
    <row r="78" spans="2:29" x14ac:dyDescent="0.55000000000000004">
      <c r="B78" s="308">
        <v>65</v>
      </c>
      <c r="C78" s="317"/>
      <c r="D78" s="318"/>
      <c r="E78" s="318"/>
      <c r="F78" s="318"/>
      <c r="G78" s="319"/>
      <c r="H78" s="318"/>
      <c r="I78" s="318"/>
      <c r="J78" s="318"/>
      <c r="K78" s="318"/>
      <c r="L78" s="320"/>
      <c r="M78" s="320"/>
      <c r="N78" s="321"/>
      <c r="O78" s="322"/>
      <c r="P78" s="323"/>
      <c r="Q78" s="323"/>
      <c r="R78" s="322"/>
      <c r="S78" s="322"/>
      <c r="T78" s="322"/>
      <c r="U78" s="322"/>
      <c r="V78" s="320"/>
      <c r="W78" s="323"/>
      <c r="X78" s="323"/>
      <c r="Y78" s="323"/>
      <c r="Z78" s="323"/>
      <c r="AA78" s="323"/>
      <c r="AB78" s="323"/>
      <c r="AC78" s="324"/>
    </row>
    <row r="79" spans="2:29" x14ac:dyDescent="0.55000000000000004">
      <c r="B79" s="308">
        <v>66</v>
      </c>
      <c r="C79" s="317"/>
      <c r="D79" s="318"/>
      <c r="E79" s="318"/>
      <c r="F79" s="318"/>
      <c r="G79" s="319"/>
      <c r="H79" s="318"/>
      <c r="I79" s="318"/>
      <c r="J79" s="318"/>
      <c r="K79" s="318"/>
      <c r="L79" s="320"/>
      <c r="M79" s="320"/>
      <c r="N79" s="321"/>
      <c r="O79" s="322"/>
      <c r="P79" s="323"/>
      <c r="Q79" s="323"/>
      <c r="R79" s="322"/>
      <c r="S79" s="322"/>
      <c r="T79" s="322"/>
      <c r="U79" s="322"/>
      <c r="V79" s="320"/>
      <c r="W79" s="323"/>
      <c r="X79" s="323"/>
      <c r="Y79" s="323"/>
      <c r="Z79" s="323"/>
      <c r="AA79" s="323"/>
      <c r="AB79" s="323"/>
      <c r="AC79" s="324"/>
    </row>
    <row r="80" spans="2:29" x14ac:dyDescent="0.55000000000000004">
      <c r="B80" s="308">
        <v>67</v>
      </c>
      <c r="C80" s="317"/>
      <c r="D80" s="318"/>
      <c r="E80" s="318"/>
      <c r="F80" s="318"/>
      <c r="G80" s="319"/>
      <c r="H80" s="318"/>
      <c r="I80" s="318"/>
      <c r="J80" s="318"/>
      <c r="K80" s="318"/>
      <c r="L80" s="320"/>
      <c r="M80" s="320"/>
      <c r="N80" s="321"/>
      <c r="O80" s="322"/>
      <c r="P80" s="323"/>
      <c r="Q80" s="323"/>
      <c r="R80" s="322"/>
      <c r="S80" s="322"/>
      <c r="T80" s="322"/>
      <c r="U80" s="322"/>
      <c r="V80" s="320"/>
      <c r="W80" s="323"/>
      <c r="X80" s="323"/>
      <c r="Y80" s="323"/>
      <c r="Z80" s="323"/>
      <c r="AA80" s="323"/>
      <c r="AB80" s="323"/>
      <c r="AC80" s="324"/>
    </row>
    <row r="81" spans="2:29" x14ac:dyDescent="0.55000000000000004">
      <c r="B81" s="308">
        <v>68</v>
      </c>
      <c r="C81" s="317"/>
      <c r="D81" s="318"/>
      <c r="E81" s="318"/>
      <c r="F81" s="318"/>
      <c r="G81" s="319"/>
      <c r="H81" s="318"/>
      <c r="I81" s="318"/>
      <c r="J81" s="318"/>
      <c r="K81" s="318"/>
      <c r="L81" s="320"/>
      <c r="M81" s="320"/>
      <c r="N81" s="321"/>
      <c r="O81" s="322"/>
      <c r="P81" s="323"/>
      <c r="Q81" s="323"/>
      <c r="R81" s="322"/>
      <c r="S81" s="322"/>
      <c r="T81" s="322"/>
      <c r="U81" s="322"/>
      <c r="V81" s="320"/>
      <c r="W81" s="323"/>
      <c r="X81" s="323"/>
      <c r="Y81" s="323"/>
      <c r="Z81" s="323"/>
      <c r="AA81" s="323"/>
      <c r="AB81" s="323"/>
      <c r="AC81" s="324"/>
    </row>
    <row r="82" spans="2:29" x14ac:dyDescent="0.55000000000000004">
      <c r="B82" s="308">
        <v>69</v>
      </c>
      <c r="C82" s="317"/>
      <c r="D82" s="318"/>
      <c r="E82" s="318"/>
      <c r="F82" s="318"/>
      <c r="G82" s="319"/>
      <c r="H82" s="318"/>
      <c r="I82" s="318"/>
      <c r="J82" s="318"/>
      <c r="K82" s="318"/>
      <c r="L82" s="320"/>
      <c r="M82" s="320"/>
      <c r="N82" s="321"/>
      <c r="O82" s="322"/>
      <c r="P82" s="323"/>
      <c r="Q82" s="323"/>
      <c r="R82" s="322"/>
      <c r="S82" s="322"/>
      <c r="T82" s="322"/>
      <c r="U82" s="322"/>
      <c r="V82" s="320"/>
      <c r="W82" s="323"/>
      <c r="X82" s="323"/>
      <c r="Y82" s="323"/>
      <c r="Z82" s="323"/>
      <c r="AA82" s="323"/>
      <c r="AB82" s="323"/>
      <c r="AC82" s="324"/>
    </row>
    <row r="83" spans="2:29" x14ac:dyDescent="0.55000000000000004">
      <c r="B83" s="308">
        <v>70</v>
      </c>
      <c r="C83" s="317"/>
      <c r="D83" s="318"/>
      <c r="E83" s="318"/>
      <c r="F83" s="318"/>
      <c r="G83" s="319"/>
      <c r="H83" s="318"/>
      <c r="I83" s="318"/>
      <c r="J83" s="318"/>
      <c r="K83" s="318"/>
      <c r="L83" s="320"/>
      <c r="M83" s="320"/>
      <c r="N83" s="321"/>
      <c r="O83" s="322"/>
      <c r="P83" s="323"/>
      <c r="Q83" s="323"/>
      <c r="R83" s="322"/>
      <c r="S83" s="322"/>
      <c r="T83" s="322"/>
      <c r="U83" s="322"/>
      <c r="V83" s="320"/>
      <c r="W83" s="323"/>
      <c r="X83" s="323"/>
      <c r="Y83" s="323"/>
      <c r="Z83" s="323"/>
      <c r="AA83" s="323"/>
      <c r="AB83" s="323"/>
      <c r="AC83" s="324"/>
    </row>
    <row r="84" spans="2:29" x14ac:dyDescent="0.55000000000000004">
      <c r="B84" s="308">
        <v>71</v>
      </c>
      <c r="C84" s="317"/>
      <c r="D84" s="318"/>
      <c r="E84" s="318"/>
      <c r="F84" s="318"/>
      <c r="G84" s="319"/>
      <c r="H84" s="318"/>
      <c r="I84" s="318"/>
      <c r="J84" s="318"/>
      <c r="K84" s="318"/>
      <c r="L84" s="320"/>
      <c r="M84" s="320"/>
      <c r="N84" s="321"/>
      <c r="O84" s="322"/>
      <c r="P84" s="323"/>
      <c r="Q84" s="323"/>
      <c r="R84" s="322"/>
      <c r="S84" s="322"/>
      <c r="T84" s="322"/>
      <c r="U84" s="322"/>
      <c r="V84" s="320"/>
      <c r="W84" s="323"/>
      <c r="X84" s="323"/>
      <c r="Y84" s="323"/>
      <c r="Z84" s="323"/>
      <c r="AA84" s="323"/>
      <c r="AB84" s="323"/>
      <c r="AC84" s="324"/>
    </row>
    <row r="85" spans="2:29" x14ac:dyDescent="0.55000000000000004">
      <c r="B85" s="308">
        <v>72</v>
      </c>
      <c r="C85" s="317"/>
      <c r="D85" s="318"/>
      <c r="E85" s="318"/>
      <c r="F85" s="318"/>
      <c r="G85" s="319"/>
      <c r="H85" s="318"/>
      <c r="I85" s="318"/>
      <c r="J85" s="318"/>
      <c r="K85" s="318"/>
      <c r="L85" s="320"/>
      <c r="M85" s="320"/>
      <c r="N85" s="321"/>
      <c r="O85" s="322"/>
      <c r="P85" s="323"/>
      <c r="Q85" s="323"/>
      <c r="R85" s="322"/>
      <c r="S85" s="322"/>
      <c r="T85" s="322"/>
      <c r="U85" s="322"/>
      <c r="V85" s="320"/>
      <c r="W85" s="323"/>
      <c r="X85" s="323"/>
      <c r="Y85" s="323"/>
      <c r="Z85" s="323"/>
      <c r="AA85" s="323"/>
      <c r="AB85" s="323"/>
      <c r="AC85" s="324"/>
    </row>
    <row r="86" spans="2:29" x14ac:dyDescent="0.55000000000000004">
      <c r="B86" s="308">
        <v>73</v>
      </c>
      <c r="C86" s="317"/>
      <c r="D86" s="318"/>
      <c r="E86" s="318"/>
      <c r="F86" s="318"/>
      <c r="G86" s="319"/>
      <c r="H86" s="318"/>
      <c r="I86" s="318"/>
      <c r="J86" s="318"/>
      <c r="K86" s="318"/>
      <c r="L86" s="320"/>
      <c r="M86" s="320"/>
      <c r="N86" s="321"/>
      <c r="O86" s="322"/>
      <c r="P86" s="323"/>
      <c r="Q86" s="323"/>
      <c r="R86" s="322"/>
      <c r="S86" s="322"/>
      <c r="T86" s="322"/>
      <c r="U86" s="322"/>
      <c r="V86" s="320"/>
      <c r="W86" s="323"/>
      <c r="X86" s="323"/>
      <c r="Y86" s="323"/>
      <c r="Z86" s="323"/>
      <c r="AA86" s="323"/>
      <c r="AB86" s="323"/>
      <c r="AC86" s="324"/>
    </row>
    <row r="87" spans="2:29" x14ac:dyDescent="0.55000000000000004">
      <c r="B87" s="308">
        <v>74</v>
      </c>
      <c r="C87" s="317"/>
      <c r="D87" s="318"/>
      <c r="E87" s="318"/>
      <c r="F87" s="318"/>
      <c r="G87" s="319"/>
      <c r="H87" s="318"/>
      <c r="I87" s="318"/>
      <c r="J87" s="318"/>
      <c r="K87" s="318"/>
      <c r="L87" s="320"/>
      <c r="M87" s="320"/>
      <c r="N87" s="321"/>
      <c r="O87" s="322"/>
      <c r="P87" s="323"/>
      <c r="Q87" s="323"/>
      <c r="R87" s="322"/>
      <c r="S87" s="322"/>
      <c r="T87" s="322"/>
      <c r="U87" s="322"/>
      <c r="V87" s="320"/>
      <c r="W87" s="323"/>
      <c r="X87" s="323"/>
      <c r="Y87" s="323"/>
      <c r="Z87" s="323"/>
      <c r="AA87" s="323"/>
      <c r="AB87" s="323"/>
      <c r="AC87" s="324"/>
    </row>
    <row r="88" spans="2:29" x14ac:dyDescent="0.55000000000000004">
      <c r="B88" s="308">
        <v>75</v>
      </c>
      <c r="C88" s="317"/>
      <c r="D88" s="318"/>
      <c r="E88" s="318"/>
      <c r="F88" s="318"/>
      <c r="G88" s="319"/>
      <c r="H88" s="318"/>
      <c r="I88" s="318"/>
      <c r="J88" s="318"/>
      <c r="K88" s="318"/>
      <c r="L88" s="320"/>
      <c r="M88" s="320"/>
      <c r="N88" s="321"/>
      <c r="O88" s="322"/>
      <c r="P88" s="323"/>
      <c r="Q88" s="323"/>
      <c r="R88" s="322"/>
      <c r="S88" s="322"/>
      <c r="T88" s="322"/>
      <c r="U88" s="322"/>
      <c r="V88" s="320"/>
      <c r="W88" s="323"/>
      <c r="X88" s="323"/>
      <c r="Y88" s="323"/>
      <c r="Z88" s="323"/>
      <c r="AA88" s="323"/>
      <c r="AB88" s="323"/>
      <c r="AC88" s="324"/>
    </row>
    <row r="89" spans="2:29" x14ac:dyDescent="0.55000000000000004">
      <c r="B89" s="308">
        <v>76</v>
      </c>
      <c r="C89" s="317"/>
      <c r="D89" s="318"/>
      <c r="E89" s="318"/>
      <c r="F89" s="318"/>
      <c r="G89" s="319"/>
      <c r="H89" s="318"/>
      <c r="I89" s="318"/>
      <c r="J89" s="318"/>
      <c r="K89" s="318"/>
      <c r="L89" s="320"/>
      <c r="M89" s="320"/>
      <c r="N89" s="321"/>
      <c r="O89" s="322"/>
      <c r="P89" s="323"/>
      <c r="Q89" s="323"/>
      <c r="R89" s="322"/>
      <c r="S89" s="322"/>
      <c r="T89" s="322"/>
      <c r="U89" s="322"/>
      <c r="V89" s="320"/>
      <c r="W89" s="323"/>
      <c r="X89" s="323"/>
      <c r="Y89" s="323"/>
      <c r="Z89" s="323"/>
      <c r="AA89" s="323"/>
      <c r="AB89" s="323"/>
      <c r="AC89" s="324"/>
    </row>
    <row r="90" spans="2:29" x14ac:dyDescent="0.55000000000000004">
      <c r="B90" s="308">
        <v>77</v>
      </c>
      <c r="C90" s="317"/>
      <c r="D90" s="318"/>
      <c r="E90" s="318"/>
      <c r="F90" s="318"/>
      <c r="G90" s="319"/>
      <c r="H90" s="318"/>
      <c r="I90" s="318"/>
      <c r="J90" s="318"/>
      <c r="K90" s="318"/>
      <c r="L90" s="320"/>
      <c r="M90" s="320"/>
      <c r="N90" s="321"/>
      <c r="O90" s="322"/>
      <c r="P90" s="323"/>
      <c r="Q90" s="323"/>
      <c r="R90" s="322"/>
      <c r="S90" s="322"/>
      <c r="T90" s="322"/>
      <c r="U90" s="322"/>
      <c r="V90" s="320"/>
      <c r="W90" s="323"/>
      <c r="X90" s="323"/>
      <c r="Y90" s="323"/>
      <c r="Z90" s="323"/>
      <c r="AA90" s="323"/>
      <c r="AB90" s="323"/>
      <c r="AC90" s="324"/>
    </row>
    <row r="91" spans="2:29" x14ac:dyDescent="0.55000000000000004">
      <c r="B91" s="308">
        <v>78</v>
      </c>
      <c r="C91" s="317"/>
      <c r="D91" s="318"/>
      <c r="E91" s="318"/>
      <c r="F91" s="318"/>
      <c r="G91" s="319"/>
      <c r="H91" s="318"/>
      <c r="I91" s="318"/>
      <c r="J91" s="318"/>
      <c r="K91" s="318"/>
      <c r="L91" s="320"/>
      <c r="M91" s="320"/>
      <c r="N91" s="321"/>
      <c r="O91" s="322"/>
      <c r="P91" s="323"/>
      <c r="Q91" s="323"/>
      <c r="R91" s="322"/>
      <c r="S91" s="322"/>
      <c r="T91" s="322"/>
      <c r="U91" s="322"/>
      <c r="V91" s="320"/>
      <c r="W91" s="323"/>
      <c r="X91" s="323"/>
      <c r="Y91" s="323"/>
      <c r="Z91" s="323"/>
      <c r="AA91" s="323"/>
      <c r="AB91" s="323"/>
      <c r="AC91" s="324"/>
    </row>
    <row r="92" spans="2:29" x14ac:dyDescent="0.55000000000000004">
      <c r="B92" s="308">
        <v>79</v>
      </c>
      <c r="C92" s="317"/>
      <c r="D92" s="318"/>
      <c r="E92" s="318"/>
      <c r="F92" s="318"/>
      <c r="G92" s="319"/>
      <c r="H92" s="318"/>
      <c r="I92" s="318"/>
      <c r="J92" s="318"/>
      <c r="K92" s="318"/>
      <c r="L92" s="320"/>
      <c r="M92" s="320"/>
      <c r="N92" s="321"/>
      <c r="O92" s="322"/>
      <c r="P92" s="323"/>
      <c r="Q92" s="323"/>
      <c r="R92" s="322"/>
      <c r="S92" s="322"/>
      <c r="T92" s="322"/>
      <c r="U92" s="322"/>
      <c r="V92" s="320"/>
      <c r="W92" s="323"/>
      <c r="X92" s="323"/>
      <c r="Y92" s="323"/>
      <c r="Z92" s="323"/>
      <c r="AA92" s="323"/>
      <c r="AB92" s="323"/>
      <c r="AC92" s="324"/>
    </row>
    <row r="93" spans="2:29" x14ac:dyDescent="0.55000000000000004">
      <c r="B93" s="308">
        <v>80</v>
      </c>
      <c r="C93" s="317"/>
      <c r="D93" s="318"/>
      <c r="E93" s="318"/>
      <c r="F93" s="318"/>
      <c r="G93" s="319"/>
      <c r="H93" s="318"/>
      <c r="I93" s="318"/>
      <c r="J93" s="318"/>
      <c r="K93" s="318"/>
      <c r="L93" s="320"/>
      <c r="M93" s="320"/>
      <c r="N93" s="321"/>
      <c r="O93" s="322"/>
      <c r="P93" s="323"/>
      <c r="Q93" s="323"/>
      <c r="R93" s="322"/>
      <c r="S93" s="322"/>
      <c r="T93" s="322"/>
      <c r="U93" s="322"/>
      <c r="V93" s="320"/>
      <c r="W93" s="323"/>
      <c r="X93" s="323"/>
      <c r="Y93" s="323"/>
      <c r="Z93" s="323"/>
      <c r="AA93" s="323"/>
      <c r="AB93" s="323"/>
      <c r="AC93" s="324"/>
    </row>
    <row r="94" spans="2:29" x14ac:dyDescent="0.55000000000000004">
      <c r="B94" s="308">
        <v>81</v>
      </c>
      <c r="C94" s="317"/>
      <c r="D94" s="318"/>
      <c r="E94" s="318"/>
      <c r="F94" s="318"/>
      <c r="G94" s="319"/>
      <c r="H94" s="318"/>
      <c r="I94" s="318"/>
      <c r="J94" s="318"/>
      <c r="K94" s="318"/>
      <c r="L94" s="320"/>
      <c r="M94" s="320"/>
      <c r="N94" s="321"/>
      <c r="O94" s="322"/>
      <c r="P94" s="323"/>
      <c r="Q94" s="323"/>
      <c r="R94" s="322"/>
      <c r="S94" s="322"/>
      <c r="T94" s="322"/>
      <c r="U94" s="322"/>
      <c r="V94" s="320"/>
      <c r="W94" s="323"/>
      <c r="X94" s="323"/>
      <c r="Y94" s="323"/>
      <c r="Z94" s="323"/>
      <c r="AA94" s="323"/>
      <c r="AB94" s="323"/>
      <c r="AC94" s="324"/>
    </row>
    <row r="95" spans="2:29" x14ac:dyDescent="0.55000000000000004">
      <c r="B95" s="308">
        <v>82</v>
      </c>
      <c r="C95" s="317"/>
      <c r="D95" s="318"/>
      <c r="E95" s="318"/>
      <c r="F95" s="318"/>
      <c r="G95" s="319"/>
      <c r="H95" s="318"/>
      <c r="I95" s="318"/>
      <c r="J95" s="318"/>
      <c r="K95" s="318"/>
      <c r="L95" s="320"/>
      <c r="M95" s="320"/>
      <c r="N95" s="321"/>
      <c r="O95" s="322"/>
      <c r="P95" s="323"/>
      <c r="Q95" s="323"/>
      <c r="R95" s="322"/>
      <c r="S95" s="322"/>
      <c r="T95" s="322"/>
      <c r="U95" s="322"/>
      <c r="V95" s="320"/>
      <c r="W95" s="323"/>
      <c r="X95" s="323"/>
      <c r="Y95" s="323"/>
      <c r="Z95" s="323"/>
      <c r="AA95" s="323"/>
      <c r="AB95" s="323"/>
      <c r="AC95" s="324"/>
    </row>
    <row r="96" spans="2:29" x14ac:dyDescent="0.55000000000000004">
      <c r="B96" s="308">
        <v>83</v>
      </c>
      <c r="C96" s="317"/>
      <c r="D96" s="318"/>
      <c r="E96" s="318"/>
      <c r="F96" s="318"/>
      <c r="G96" s="319"/>
      <c r="H96" s="318"/>
      <c r="I96" s="318"/>
      <c r="J96" s="318"/>
      <c r="K96" s="318"/>
      <c r="L96" s="320"/>
      <c r="M96" s="320"/>
      <c r="N96" s="321"/>
      <c r="O96" s="322"/>
      <c r="P96" s="323"/>
      <c r="Q96" s="323"/>
      <c r="R96" s="322"/>
      <c r="S96" s="322"/>
      <c r="T96" s="322"/>
      <c r="U96" s="322"/>
      <c r="V96" s="320"/>
      <c r="W96" s="323"/>
      <c r="X96" s="323"/>
      <c r="Y96" s="323"/>
      <c r="Z96" s="323"/>
      <c r="AA96" s="323"/>
      <c r="AB96" s="323"/>
      <c r="AC96" s="324"/>
    </row>
    <row r="97" spans="2:29" x14ac:dyDescent="0.55000000000000004">
      <c r="B97" s="308">
        <v>84</v>
      </c>
      <c r="C97" s="317"/>
      <c r="D97" s="318"/>
      <c r="E97" s="318"/>
      <c r="F97" s="318"/>
      <c r="G97" s="319"/>
      <c r="H97" s="318"/>
      <c r="I97" s="318"/>
      <c r="J97" s="318"/>
      <c r="K97" s="318"/>
      <c r="L97" s="320"/>
      <c r="M97" s="320"/>
      <c r="N97" s="321"/>
      <c r="O97" s="322"/>
      <c r="P97" s="323"/>
      <c r="Q97" s="323"/>
      <c r="R97" s="322"/>
      <c r="S97" s="322"/>
      <c r="T97" s="322"/>
      <c r="U97" s="322"/>
      <c r="V97" s="320"/>
      <c r="W97" s="323"/>
      <c r="X97" s="323"/>
      <c r="Y97" s="323"/>
      <c r="Z97" s="323"/>
      <c r="AA97" s="323"/>
      <c r="AB97" s="323"/>
      <c r="AC97" s="324"/>
    </row>
    <row r="98" spans="2:29" x14ac:dyDescent="0.55000000000000004">
      <c r="B98" s="308">
        <v>85</v>
      </c>
      <c r="C98" s="317"/>
      <c r="D98" s="318"/>
      <c r="E98" s="318"/>
      <c r="F98" s="318"/>
      <c r="G98" s="319"/>
      <c r="H98" s="318"/>
      <c r="I98" s="318"/>
      <c r="J98" s="318"/>
      <c r="K98" s="318"/>
      <c r="L98" s="320"/>
      <c r="M98" s="320"/>
      <c r="N98" s="321"/>
      <c r="O98" s="322"/>
      <c r="P98" s="323"/>
      <c r="Q98" s="323"/>
      <c r="R98" s="322"/>
      <c r="S98" s="322"/>
      <c r="T98" s="322"/>
      <c r="U98" s="322"/>
      <c r="V98" s="320"/>
      <c r="W98" s="323"/>
      <c r="X98" s="323"/>
      <c r="Y98" s="323"/>
      <c r="Z98" s="323"/>
      <c r="AA98" s="323"/>
      <c r="AB98" s="323"/>
      <c r="AC98" s="324"/>
    </row>
    <row r="99" spans="2:29" x14ac:dyDescent="0.55000000000000004">
      <c r="B99" s="308">
        <v>86</v>
      </c>
      <c r="C99" s="317"/>
      <c r="D99" s="318"/>
      <c r="E99" s="318"/>
      <c r="F99" s="318"/>
      <c r="G99" s="319"/>
      <c r="H99" s="318"/>
      <c r="I99" s="318"/>
      <c r="J99" s="318"/>
      <c r="K99" s="318"/>
      <c r="L99" s="320"/>
      <c r="M99" s="320"/>
      <c r="N99" s="321"/>
      <c r="O99" s="322"/>
      <c r="P99" s="323"/>
      <c r="Q99" s="323"/>
      <c r="R99" s="322"/>
      <c r="S99" s="322"/>
      <c r="T99" s="322"/>
      <c r="U99" s="322"/>
      <c r="V99" s="320"/>
      <c r="W99" s="323"/>
      <c r="X99" s="323"/>
      <c r="Y99" s="323"/>
      <c r="Z99" s="323"/>
      <c r="AA99" s="323"/>
      <c r="AB99" s="323"/>
      <c r="AC99" s="324"/>
    </row>
    <row r="100" spans="2:29" x14ac:dyDescent="0.55000000000000004">
      <c r="B100" s="308">
        <v>87</v>
      </c>
      <c r="C100" s="317"/>
      <c r="D100" s="318"/>
      <c r="E100" s="318"/>
      <c r="F100" s="318"/>
      <c r="G100" s="319"/>
      <c r="H100" s="318"/>
      <c r="I100" s="318"/>
      <c r="J100" s="318"/>
      <c r="K100" s="318"/>
      <c r="L100" s="320"/>
      <c r="M100" s="320"/>
      <c r="N100" s="321"/>
      <c r="O100" s="322"/>
      <c r="P100" s="323"/>
      <c r="Q100" s="323"/>
      <c r="R100" s="322"/>
      <c r="S100" s="322"/>
      <c r="T100" s="322"/>
      <c r="U100" s="322"/>
      <c r="V100" s="320"/>
      <c r="W100" s="323"/>
      <c r="X100" s="323"/>
      <c r="Y100" s="323"/>
      <c r="Z100" s="323"/>
      <c r="AA100" s="323"/>
      <c r="AB100" s="323"/>
      <c r="AC100" s="324"/>
    </row>
    <row r="101" spans="2:29" x14ac:dyDescent="0.55000000000000004">
      <c r="B101" s="308">
        <v>88</v>
      </c>
      <c r="C101" s="317"/>
      <c r="D101" s="318"/>
      <c r="E101" s="318"/>
      <c r="F101" s="318"/>
      <c r="G101" s="319"/>
      <c r="H101" s="318"/>
      <c r="I101" s="318"/>
      <c r="J101" s="318"/>
      <c r="K101" s="318"/>
      <c r="L101" s="320"/>
      <c r="M101" s="320"/>
      <c r="N101" s="321"/>
      <c r="O101" s="322"/>
      <c r="P101" s="323"/>
      <c r="Q101" s="323"/>
      <c r="R101" s="322"/>
      <c r="S101" s="322"/>
      <c r="T101" s="322"/>
      <c r="U101" s="322"/>
      <c r="V101" s="320"/>
      <c r="W101" s="323"/>
      <c r="X101" s="323"/>
      <c r="Y101" s="323"/>
      <c r="Z101" s="323"/>
      <c r="AA101" s="323"/>
      <c r="AB101" s="323"/>
      <c r="AC101" s="324"/>
    </row>
    <row r="102" spans="2:29" x14ac:dyDescent="0.55000000000000004">
      <c r="B102" s="308">
        <v>89</v>
      </c>
      <c r="C102" s="317"/>
      <c r="D102" s="318"/>
      <c r="E102" s="318"/>
      <c r="F102" s="318"/>
      <c r="G102" s="319"/>
      <c r="H102" s="318"/>
      <c r="I102" s="318"/>
      <c r="J102" s="318"/>
      <c r="K102" s="318"/>
      <c r="L102" s="320"/>
      <c r="M102" s="320"/>
      <c r="N102" s="321"/>
      <c r="O102" s="322"/>
      <c r="P102" s="323"/>
      <c r="Q102" s="323"/>
      <c r="R102" s="322"/>
      <c r="S102" s="322"/>
      <c r="T102" s="322"/>
      <c r="U102" s="322"/>
      <c r="V102" s="320"/>
      <c r="W102" s="323"/>
      <c r="X102" s="323"/>
      <c r="Y102" s="323"/>
      <c r="Z102" s="323"/>
      <c r="AA102" s="323"/>
      <c r="AB102" s="323"/>
      <c r="AC102" s="324"/>
    </row>
    <row r="103" spans="2:29" x14ac:dyDescent="0.55000000000000004">
      <c r="B103" s="308">
        <v>90</v>
      </c>
      <c r="C103" s="317"/>
      <c r="D103" s="318"/>
      <c r="E103" s="318"/>
      <c r="F103" s="318"/>
      <c r="G103" s="319"/>
      <c r="H103" s="318"/>
      <c r="I103" s="318"/>
      <c r="J103" s="318"/>
      <c r="K103" s="318"/>
      <c r="L103" s="320"/>
      <c r="M103" s="320"/>
      <c r="N103" s="321"/>
      <c r="O103" s="322"/>
      <c r="P103" s="323"/>
      <c r="Q103" s="323"/>
      <c r="R103" s="322"/>
      <c r="S103" s="322"/>
      <c r="T103" s="322"/>
      <c r="U103" s="322"/>
      <c r="V103" s="320"/>
      <c r="W103" s="323"/>
      <c r="X103" s="323"/>
      <c r="Y103" s="323"/>
      <c r="Z103" s="323"/>
      <c r="AA103" s="323"/>
      <c r="AB103" s="323"/>
      <c r="AC103" s="324"/>
    </row>
    <row r="104" spans="2:29" x14ac:dyDescent="0.55000000000000004">
      <c r="B104" s="308">
        <v>91</v>
      </c>
      <c r="C104" s="317"/>
      <c r="D104" s="318"/>
      <c r="E104" s="318"/>
      <c r="F104" s="318"/>
      <c r="G104" s="319"/>
      <c r="H104" s="318"/>
      <c r="I104" s="318"/>
      <c r="J104" s="318"/>
      <c r="K104" s="318"/>
      <c r="L104" s="320"/>
      <c r="M104" s="320"/>
      <c r="N104" s="321"/>
      <c r="O104" s="322"/>
      <c r="P104" s="323"/>
      <c r="Q104" s="323"/>
      <c r="R104" s="322"/>
      <c r="S104" s="322"/>
      <c r="T104" s="322"/>
      <c r="U104" s="322"/>
      <c r="V104" s="320"/>
      <c r="W104" s="323"/>
      <c r="X104" s="323"/>
      <c r="Y104" s="323"/>
      <c r="Z104" s="323"/>
      <c r="AA104" s="323"/>
      <c r="AB104" s="323"/>
      <c r="AC104" s="324"/>
    </row>
    <row r="105" spans="2:29" x14ac:dyDescent="0.55000000000000004">
      <c r="B105" s="308">
        <v>92</v>
      </c>
      <c r="C105" s="317"/>
      <c r="D105" s="318"/>
      <c r="E105" s="318"/>
      <c r="F105" s="318"/>
      <c r="G105" s="319"/>
      <c r="H105" s="318"/>
      <c r="I105" s="318"/>
      <c r="J105" s="318"/>
      <c r="K105" s="318"/>
      <c r="L105" s="320"/>
      <c r="M105" s="320"/>
      <c r="N105" s="321"/>
      <c r="O105" s="322"/>
      <c r="P105" s="323"/>
      <c r="Q105" s="323"/>
      <c r="R105" s="322"/>
      <c r="S105" s="322"/>
      <c r="T105" s="322"/>
      <c r="U105" s="322"/>
      <c r="V105" s="320"/>
      <c r="W105" s="323"/>
      <c r="X105" s="323"/>
      <c r="Y105" s="323"/>
      <c r="Z105" s="323"/>
      <c r="AA105" s="323"/>
      <c r="AB105" s="323"/>
      <c r="AC105" s="324"/>
    </row>
    <row r="106" spans="2:29" x14ac:dyDescent="0.55000000000000004">
      <c r="B106" s="308">
        <v>93</v>
      </c>
      <c r="C106" s="317"/>
      <c r="D106" s="318"/>
      <c r="E106" s="318"/>
      <c r="F106" s="318"/>
      <c r="G106" s="319"/>
      <c r="H106" s="318"/>
      <c r="I106" s="318"/>
      <c r="J106" s="318"/>
      <c r="K106" s="318"/>
      <c r="L106" s="320"/>
      <c r="M106" s="320"/>
      <c r="N106" s="321"/>
      <c r="O106" s="322"/>
      <c r="P106" s="323"/>
      <c r="Q106" s="323"/>
      <c r="R106" s="322"/>
      <c r="S106" s="322"/>
      <c r="T106" s="322"/>
      <c r="U106" s="322"/>
      <c r="V106" s="320"/>
      <c r="W106" s="323"/>
      <c r="X106" s="323"/>
      <c r="Y106" s="323"/>
      <c r="Z106" s="323"/>
      <c r="AA106" s="323"/>
      <c r="AB106" s="323"/>
      <c r="AC106" s="324"/>
    </row>
    <row r="107" spans="2:29" x14ac:dyDescent="0.55000000000000004">
      <c r="B107" s="308">
        <v>94</v>
      </c>
      <c r="C107" s="317"/>
      <c r="D107" s="318"/>
      <c r="E107" s="318"/>
      <c r="F107" s="318"/>
      <c r="G107" s="319"/>
      <c r="H107" s="318"/>
      <c r="I107" s="318"/>
      <c r="J107" s="318"/>
      <c r="K107" s="318"/>
      <c r="L107" s="320"/>
      <c r="M107" s="320"/>
      <c r="N107" s="321"/>
      <c r="O107" s="322"/>
      <c r="P107" s="323"/>
      <c r="Q107" s="323"/>
      <c r="R107" s="322"/>
      <c r="S107" s="322"/>
      <c r="T107" s="322"/>
      <c r="U107" s="322"/>
      <c r="V107" s="320"/>
      <c r="W107" s="323"/>
      <c r="X107" s="323"/>
      <c r="Y107" s="323"/>
      <c r="Z107" s="323"/>
      <c r="AA107" s="323"/>
      <c r="AB107" s="323"/>
      <c r="AC107" s="324"/>
    </row>
    <row r="108" spans="2:29" x14ac:dyDescent="0.55000000000000004">
      <c r="B108" s="308">
        <v>95</v>
      </c>
      <c r="C108" s="317"/>
      <c r="D108" s="318"/>
      <c r="E108" s="318"/>
      <c r="F108" s="318"/>
      <c r="G108" s="319"/>
      <c r="H108" s="318"/>
      <c r="I108" s="318"/>
      <c r="J108" s="318"/>
      <c r="K108" s="318"/>
      <c r="L108" s="320"/>
      <c r="M108" s="320"/>
      <c r="N108" s="321"/>
      <c r="O108" s="322"/>
      <c r="P108" s="323"/>
      <c r="Q108" s="323"/>
      <c r="R108" s="322"/>
      <c r="S108" s="322"/>
      <c r="T108" s="322"/>
      <c r="U108" s="322"/>
      <c r="V108" s="320"/>
      <c r="W108" s="323"/>
      <c r="X108" s="323"/>
      <c r="Y108" s="323"/>
      <c r="Z108" s="323"/>
      <c r="AA108" s="323"/>
      <c r="AB108" s="323"/>
      <c r="AC108" s="324"/>
    </row>
    <row r="109" spans="2:29" x14ac:dyDescent="0.55000000000000004">
      <c r="B109" s="308">
        <v>96</v>
      </c>
      <c r="C109" s="317"/>
      <c r="D109" s="318"/>
      <c r="E109" s="318"/>
      <c r="F109" s="318"/>
      <c r="G109" s="319"/>
      <c r="H109" s="318"/>
      <c r="I109" s="318"/>
      <c r="J109" s="318"/>
      <c r="K109" s="318"/>
      <c r="L109" s="320"/>
      <c r="M109" s="320"/>
      <c r="N109" s="321"/>
      <c r="O109" s="322"/>
      <c r="P109" s="323"/>
      <c r="Q109" s="323"/>
      <c r="R109" s="322"/>
      <c r="S109" s="322"/>
      <c r="T109" s="322"/>
      <c r="U109" s="322"/>
      <c r="V109" s="320"/>
      <c r="W109" s="323"/>
      <c r="X109" s="323"/>
      <c r="Y109" s="323"/>
      <c r="Z109" s="323"/>
      <c r="AA109" s="323"/>
      <c r="AB109" s="323"/>
      <c r="AC109" s="324"/>
    </row>
    <row r="110" spans="2:29" x14ac:dyDescent="0.55000000000000004">
      <c r="B110" s="308">
        <v>97</v>
      </c>
      <c r="C110" s="317"/>
      <c r="D110" s="318"/>
      <c r="E110" s="318"/>
      <c r="F110" s="318"/>
      <c r="G110" s="319"/>
      <c r="H110" s="318"/>
      <c r="I110" s="318"/>
      <c r="J110" s="318"/>
      <c r="K110" s="318"/>
      <c r="L110" s="320"/>
      <c r="M110" s="320"/>
      <c r="N110" s="321"/>
      <c r="O110" s="322"/>
      <c r="P110" s="323"/>
      <c r="Q110" s="323"/>
      <c r="R110" s="322"/>
      <c r="S110" s="322"/>
      <c r="T110" s="322"/>
      <c r="U110" s="322"/>
      <c r="V110" s="320"/>
      <c r="W110" s="323"/>
      <c r="X110" s="323"/>
      <c r="Y110" s="323"/>
      <c r="Z110" s="323"/>
      <c r="AA110" s="323"/>
      <c r="AB110" s="323"/>
      <c r="AC110" s="324"/>
    </row>
    <row r="111" spans="2:29" x14ac:dyDescent="0.55000000000000004">
      <c r="B111" s="308">
        <v>98</v>
      </c>
      <c r="C111" s="317"/>
      <c r="D111" s="318"/>
      <c r="E111" s="318"/>
      <c r="F111" s="318"/>
      <c r="G111" s="319"/>
      <c r="H111" s="318"/>
      <c r="I111" s="318"/>
      <c r="J111" s="318"/>
      <c r="K111" s="318"/>
      <c r="L111" s="320"/>
      <c r="M111" s="320"/>
      <c r="N111" s="321"/>
      <c r="O111" s="322"/>
      <c r="P111" s="323"/>
      <c r="Q111" s="323"/>
      <c r="R111" s="322"/>
      <c r="S111" s="322"/>
      <c r="T111" s="322"/>
      <c r="U111" s="322"/>
      <c r="V111" s="320"/>
      <c r="W111" s="323"/>
      <c r="X111" s="323"/>
      <c r="Y111" s="323"/>
      <c r="Z111" s="323"/>
      <c r="AA111" s="323"/>
      <c r="AB111" s="323"/>
      <c r="AC111" s="324"/>
    </row>
    <row r="112" spans="2:29" x14ac:dyDescent="0.55000000000000004">
      <c r="B112" s="308">
        <v>99</v>
      </c>
      <c r="C112" s="317"/>
      <c r="D112" s="318"/>
      <c r="E112" s="318"/>
      <c r="F112" s="318"/>
      <c r="G112" s="319"/>
      <c r="H112" s="318"/>
      <c r="I112" s="318"/>
      <c r="J112" s="318"/>
      <c r="K112" s="318"/>
      <c r="L112" s="320"/>
      <c r="M112" s="320"/>
      <c r="N112" s="321"/>
      <c r="O112" s="322"/>
      <c r="P112" s="323"/>
      <c r="Q112" s="323"/>
      <c r="R112" s="322"/>
      <c r="S112" s="322"/>
      <c r="T112" s="322"/>
      <c r="U112" s="322"/>
      <c r="V112" s="320"/>
      <c r="W112" s="323"/>
      <c r="X112" s="323"/>
      <c r="Y112" s="323"/>
      <c r="Z112" s="323"/>
      <c r="AA112" s="323"/>
      <c r="AB112" s="323"/>
      <c r="AC112" s="324"/>
    </row>
    <row r="113" spans="2:29" x14ac:dyDescent="0.55000000000000004">
      <c r="B113" s="308">
        <v>100</v>
      </c>
      <c r="C113" s="317"/>
      <c r="D113" s="318"/>
      <c r="E113" s="318"/>
      <c r="F113" s="318"/>
      <c r="G113" s="319"/>
      <c r="H113" s="318"/>
      <c r="I113" s="318"/>
      <c r="J113" s="318"/>
      <c r="K113" s="318"/>
      <c r="L113" s="320"/>
      <c r="M113" s="320"/>
      <c r="N113" s="321"/>
      <c r="O113" s="322"/>
      <c r="P113" s="323"/>
      <c r="Q113" s="323"/>
      <c r="R113" s="322"/>
      <c r="S113" s="322"/>
      <c r="T113" s="322"/>
      <c r="U113" s="322"/>
      <c r="V113" s="320"/>
      <c r="W113" s="323"/>
      <c r="X113" s="323"/>
      <c r="Y113" s="323"/>
      <c r="Z113" s="323"/>
      <c r="AA113" s="323"/>
      <c r="AB113" s="323"/>
      <c r="AC113" s="324"/>
    </row>
    <row r="114" spans="2:29" x14ac:dyDescent="0.55000000000000004">
      <c r="B114" s="308">
        <v>101</v>
      </c>
      <c r="C114" s="317"/>
      <c r="D114" s="318"/>
      <c r="E114" s="318"/>
      <c r="F114" s="318"/>
      <c r="G114" s="319"/>
      <c r="H114" s="318"/>
      <c r="I114" s="318"/>
      <c r="J114" s="318"/>
      <c r="K114" s="318"/>
      <c r="L114" s="320"/>
      <c r="M114" s="320"/>
      <c r="N114" s="321"/>
      <c r="O114" s="322"/>
      <c r="P114" s="323"/>
      <c r="Q114" s="323"/>
      <c r="R114" s="322"/>
      <c r="S114" s="322"/>
      <c r="T114" s="322"/>
      <c r="U114" s="322"/>
      <c r="V114" s="320"/>
      <c r="W114" s="323"/>
      <c r="X114" s="323"/>
      <c r="Y114" s="323"/>
      <c r="Z114" s="323"/>
      <c r="AA114" s="323"/>
      <c r="AB114" s="323"/>
      <c r="AC114" s="324"/>
    </row>
    <row r="115" spans="2:29" x14ac:dyDescent="0.55000000000000004">
      <c r="B115" s="308">
        <v>102</v>
      </c>
      <c r="C115" s="317"/>
      <c r="D115" s="318"/>
      <c r="E115" s="318"/>
      <c r="F115" s="318"/>
      <c r="G115" s="319"/>
      <c r="H115" s="318"/>
      <c r="I115" s="318"/>
      <c r="J115" s="318"/>
      <c r="K115" s="318"/>
      <c r="L115" s="320"/>
      <c r="M115" s="320"/>
      <c r="N115" s="321"/>
      <c r="O115" s="322"/>
      <c r="P115" s="323"/>
      <c r="Q115" s="323"/>
      <c r="R115" s="322"/>
      <c r="S115" s="322"/>
      <c r="T115" s="322"/>
      <c r="U115" s="322"/>
      <c r="V115" s="320"/>
      <c r="W115" s="323"/>
      <c r="X115" s="323"/>
      <c r="Y115" s="323"/>
      <c r="Z115" s="323"/>
      <c r="AA115" s="323"/>
      <c r="AB115" s="323"/>
      <c r="AC115" s="324"/>
    </row>
    <row r="116" spans="2:29" x14ac:dyDescent="0.55000000000000004">
      <c r="B116" s="308">
        <v>103</v>
      </c>
      <c r="C116" s="317"/>
      <c r="D116" s="318"/>
      <c r="E116" s="318"/>
      <c r="F116" s="318"/>
      <c r="G116" s="319"/>
      <c r="H116" s="318"/>
      <c r="I116" s="318"/>
      <c r="J116" s="318"/>
      <c r="K116" s="318"/>
      <c r="L116" s="320"/>
      <c r="M116" s="320"/>
      <c r="N116" s="321"/>
      <c r="O116" s="322"/>
      <c r="P116" s="323"/>
      <c r="Q116" s="323"/>
      <c r="R116" s="322"/>
      <c r="S116" s="322"/>
      <c r="T116" s="322"/>
      <c r="U116" s="322"/>
      <c r="V116" s="320"/>
      <c r="W116" s="323"/>
      <c r="X116" s="323"/>
      <c r="Y116" s="323"/>
      <c r="Z116" s="323"/>
      <c r="AA116" s="323"/>
      <c r="AB116" s="323"/>
      <c r="AC116" s="324"/>
    </row>
    <row r="117" spans="2:29" x14ac:dyDescent="0.55000000000000004">
      <c r="B117" s="308">
        <v>104</v>
      </c>
      <c r="C117" s="317"/>
      <c r="D117" s="318"/>
      <c r="E117" s="318"/>
      <c r="F117" s="318"/>
      <c r="G117" s="319"/>
      <c r="H117" s="318"/>
      <c r="I117" s="318"/>
      <c r="J117" s="318"/>
      <c r="K117" s="318"/>
      <c r="L117" s="320"/>
      <c r="M117" s="320"/>
      <c r="N117" s="321"/>
      <c r="O117" s="322"/>
      <c r="P117" s="323"/>
      <c r="Q117" s="323"/>
      <c r="R117" s="322"/>
      <c r="S117" s="322"/>
      <c r="T117" s="322"/>
      <c r="U117" s="322"/>
      <c r="V117" s="320"/>
      <c r="W117" s="323"/>
      <c r="X117" s="323"/>
      <c r="Y117" s="323"/>
      <c r="Z117" s="323"/>
      <c r="AA117" s="323"/>
      <c r="AB117" s="323"/>
      <c r="AC117" s="324"/>
    </row>
    <row r="118" spans="2:29" x14ac:dyDescent="0.55000000000000004">
      <c r="B118" s="308">
        <v>105</v>
      </c>
      <c r="C118" s="317"/>
      <c r="D118" s="318"/>
      <c r="E118" s="318"/>
      <c r="F118" s="318"/>
      <c r="G118" s="319"/>
      <c r="H118" s="318"/>
      <c r="I118" s="318"/>
      <c r="J118" s="318"/>
      <c r="K118" s="318"/>
      <c r="L118" s="320"/>
      <c r="M118" s="320"/>
      <c r="N118" s="321"/>
      <c r="O118" s="322"/>
      <c r="P118" s="323"/>
      <c r="Q118" s="323"/>
      <c r="R118" s="322"/>
      <c r="S118" s="322"/>
      <c r="T118" s="322"/>
      <c r="U118" s="322"/>
      <c r="V118" s="320"/>
      <c r="W118" s="323"/>
      <c r="X118" s="323"/>
      <c r="Y118" s="323"/>
      <c r="Z118" s="323"/>
      <c r="AA118" s="323"/>
      <c r="AB118" s="323"/>
      <c r="AC118" s="324"/>
    </row>
    <row r="119" spans="2:29" x14ac:dyDescent="0.55000000000000004">
      <c r="B119" s="308">
        <v>106</v>
      </c>
      <c r="C119" s="317"/>
      <c r="D119" s="318"/>
      <c r="E119" s="318"/>
      <c r="F119" s="318"/>
      <c r="G119" s="319"/>
      <c r="H119" s="318"/>
      <c r="I119" s="318"/>
      <c r="J119" s="318"/>
      <c r="K119" s="318"/>
      <c r="L119" s="320"/>
      <c r="M119" s="320"/>
      <c r="N119" s="321"/>
      <c r="O119" s="322"/>
      <c r="P119" s="323"/>
      <c r="Q119" s="323"/>
      <c r="R119" s="322"/>
      <c r="S119" s="322"/>
      <c r="T119" s="322"/>
      <c r="U119" s="322"/>
      <c r="V119" s="320"/>
      <c r="W119" s="323"/>
      <c r="X119" s="323"/>
      <c r="Y119" s="323"/>
      <c r="Z119" s="323"/>
      <c r="AA119" s="323"/>
      <c r="AB119" s="323"/>
      <c r="AC119" s="324"/>
    </row>
    <row r="120" spans="2:29" x14ac:dyDescent="0.55000000000000004">
      <c r="B120" s="308">
        <v>107</v>
      </c>
      <c r="C120" s="317"/>
      <c r="D120" s="318"/>
      <c r="E120" s="318"/>
      <c r="F120" s="318"/>
      <c r="G120" s="319"/>
      <c r="H120" s="318"/>
      <c r="I120" s="318"/>
      <c r="J120" s="318"/>
      <c r="K120" s="318"/>
      <c r="L120" s="320"/>
      <c r="M120" s="320"/>
      <c r="N120" s="321"/>
      <c r="O120" s="322"/>
      <c r="P120" s="323"/>
      <c r="Q120" s="323"/>
      <c r="R120" s="322"/>
      <c r="S120" s="322"/>
      <c r="T120" s="322"/>
      <c r="U120" s="322"/>
      <c r="V120" s="320"/>
      <c r="W120" s="323"/>
      <c r="X120" s="323"/>
      <c r="Y120" s="323"/>
      <c r="Z120" s="323"/>
      <c r="AA120" s="323"/>
      <c r="AB120" s="323"/>
      <c r="AC120" s="324"/>
    </row>
    <row r="121" spans="2:29" x14ac:dyDescent="0.55000000000000004">
      <c r="B121" s="308">
        <v>108</v>
      </c>
      <c r="C121" s="317"/>
      <c r="D121" s="318"/>
      <c r="E121" s="318"/>
      <c r="F121" s="318"/>
      <c r="G121" s="319"/>
      <c r="H121" s="318"/>
      <c r="I121" s="318"/>
      <c r="J121" s="318"/>
      <c r="K121" s="318"/>
      <c r="L121" s="320"/>
      <c r="M121" s="320"/>
      <c r="N121" s="321"/>
      <c r="O121" s="322"/>
      <c r="P121" s="323"/>
      <c r="Q121" s="323"/>
      <c r="R121" s="322"/>
      <c r="S121" s="322"/>
      <c r="T121" s="322"/>
      <c r="U121" s="322"/>
      <c r="V121" s="320"/>
      <c r="W121" s="323"/>
      <c r="X121" s="323"/>
      <c r="Y121" s="323"/>
      <c r="Z121" s="323"/>
      <c r="AA121" s="323"/>
      <c r="AB121" s="323"/>
      <c r="AC121" s="324"/>
    </row>
    <row r="122" spans="2:29" x14ac:dyDescent="0.55000000000000004">
      <c r="B122" s="308">
        <v>109</v>
      </c>
      <c r="C122" s="317"/>
      <c r="D122" s="318"/>
      <c r="E122" s="318"/>
      <c r="F122" s="318"/>
      <c r="G122" s="319"/>
      <c r="H122" s="318"/>
      <c r="I122" s="318"/>
      <c r="J122" s="318"/>
      <c r="K122" s="318"/>
      <c r="L122" s="320"/>
      <c r="M122" s="320"/>
      <c r="N122" s="321"/>
      <c r="O122" s="322"/>
      <c r="P122" s="323"/>
      <c r="Q122" s="323"/>
      <c r="R122" s="322"/>
      <c r="S122" s="322"/>
      <c r="T122" s="322"/>
      <c r="U122" s="322"/>
      <c r="V122" s="320"/>
      <c r="W122" s="323"/>
      <c r="X122" s="323"/>
      <c r="Y122" s="323"/>
      <c r="Z122" s="323"/>
      <c r="AA122" s="323"/>
      <c r="AB122" s="323"/>
      <c r="AC122" s="324"/>
    </row>
    <row r="123" spans="2:29" x14ac:dyDescent="0.55000000000000004">
      <c r="B123" s="308">
        <v>110</v>
      </c>
      <c r="C123" s="317"/>
      <c r="D123" s="318"/>
      <c r="E123" s="318"/>
      <c r="F123" s="318"/>
      <c r="G123" s="319"/>
      <c r="H123" s="318"/>
      <c r="I123" s="318"/>
      <c r="J123" s="318"/>
      <c r="K123" s="318"/>
      <c r="L123" s="320"/>
      <c r="M123" s="320"/>
      <c r="N123" s="321"/>
      <c r="O123" s="322"/>
      <c r="P123" s="323"/>
      <c r="Q123" s="323"/>
      <c r="R123" s="322"/>
      <c r="S123" s="322"/>
      <c r="T123" s="322"/>
      <c r="U123" s="322"/>
      <c r="V123" s="320"/>
      <c r="W123" s="323"/>
      <c r="X123" s="323"/>
      <c r="Y123" s="323"/>
      <c r="Z123" s="323"/>
      <c r="AA123" s="323"/>
      <c r="AB123" s="323"/>
      <c r="AC123" s="324"/>
    </row>
    <row r="124" spans="2:29" x14ac:dyDescent="0.55000000000000004">
      <c r="B124" s="308">
        <v>111</v>
      </c>
      <c r="C124" s="317"/>
      <c r="D124" s="318"/>
      <c r="E124" s="318"/>
      <c r="F124" s="318"/>
      <c r="G124" s="319"/>
      <c r="H124" s="318"/>
      <c r="I124" s="318"/>
      <c r="J124" s="318"/>
      <c r="K124" s="318"/>
      <c r="L124" s="320"/>
      <c r="M124" s="320"/>
      <c r="N124" s="321"/>
      <c r="O124" s="322"/>
      <c r="P124" s="323"/>
      <c r="Q124" s="323"/>
      <c r="R124" s="322"/>
      <c r="S124" s="322"/>
      <c r="T124" s="322"/>
      <c r="U124" s="322"/>
      <c r="V124" s="320"/>
      <c r="W124" s="323"/>
      <c r="X124" s="323"/>
      <c r="Y124" s="323"/>
      <c r="Z124" s="323"/>
      <c r="AA124" s="323"/>
      <c r="AB124" s="323"/>
      <c r="AC124" s="324"/>
    </row>
    <row r="125" spans="2:29" x14ac:dyDescent="0.55000000000000004">
      <c r="B125" s="308">
        <v>112</v>
      </c>
      <c r="C125" s="317"/>
      <c r="D125" s="318"/>
      <c r="E125" s="318"/>
      <c r="F125" s="318"/>
      <c r="G125" s="319"/>
      <c r="H125" s="318"/>
      <c r="I125" s="318"/>
      <c r="J125" s="318"/>
      <c r="K125" s="318"/>
      <c r="L125" s="320"/>
      <c r="M125" s="320"/>
      <c r="N125" s="321"/>
      <c r="O125" s="322"/>
      <c r="P125" s="323"/>
      <c r="Q125" s="323"/>
      <c r="R125" s="322"/>
      <c r="S125" s="322"/>
      <c r="T125" s="322"/>
      <c r="U125" s="322"/>
      <c r="V125" s="320"/>
      <c r="W125" s="323"/>
      <c r="X125" s="323"/>
      <c r="Y125" s="323"/>
      <c r="Z125" s="323"/>
      <c r="AA125" s="323"/>
      <c r="AB125" s="323"/>
      <c r="AC125" s="324"/>
    </row>
    <row r="126" spans="2:29" x14ac:dyDescent="0.55000000000000004">
      <c r="B126" s="308">
        <v>113</v>
      </c>
      <c r="C126" s="317"/>
      <c r="D126" s="318"/>
      <c r="E126" s="318"/>
      <c r="F126" s="318"/>
      <c r="G126" s="319"/>
      <c r="H126" s="318"/>
      <c r="I126" s="318"/>
      <c r="J126" s="318"/>
      <c r="K126" s="318"/>
      <c r="L126" s="320"/>
      <c r="M126" s="320"/>
      <c r="N126" s="321"/>
      <c r="O126" s="322"/>
      <c r="P126" s="323"/>
      <c r="Q126" s="323"/>
      <c r="R126" s="322"/>
      <c r="S126" s="322"/>
      <c r="T126" s="322"/>
      <c r="U126" s="322"/>
      <c r="V126" s="320"/>
      <c r="W126" s="323"/>
      <c r="X126" s="323"/>
      <c r="Y126" s="323"/>
      <c r="Z126" s="323"/>
      <c r="AA126" s="323"/>
      <c r="AB126" s="323"/>
      <c r="AC126" s="324"/>
    </row>
    <row r="127" spans="2:29" x14ac:dyDescent="0.55000000000000004">
      <c r="B127" s="308">
        <v>114</v>
      </c>
      <c r="C127" s="317"/>
      <c r="D127" s="318"/>
      <c r="E127" s="318"/>
      <c r="F127" s="318"/>
      <c r="G127" s="319"/>
      <c r="H127" s="318"/>
      <c r="I127" s="318"/>
      <c r="J127" s="318"/>
      <c r="K127" s="318"/>
      <c r="L127" s="320"/>
      <c r="M127" s="320"/>
      <c r="N127" s="321"/>
      <c r="O127" s="322"/>
      <c r="P127" s="323"/>
      <c r="Q127" s="323"/>
      <c r="R127" s="322"/>
      <c r="S127" s="322"/>
      <c r="T127" s="322"/>
      <c r="U127" s="322"/>
      <c r="V127" s="320"/>
      <c r="W127" s="323"/>
      <c r="X127" s="323"/>
      <c r="Y127" s="323"/>
      <c r="Z127" s="323"/>
      <c r="AA127" s="323"/>
      <c r="AB127" s="323"/>
      <c r="AC127" s="324"/>
    </row>
    <row r="128" spans="2:29" x14ac:dyDescent="0.55000000000000004">
      <c r="B128" s="308">
        <v>115</v>
      </c>
      <c r="C128" s="317"/>
      <c r="D128" s="318"/>
      <c r="E128" s="318"/>
      <c r="F128" s="318"/>
      <c r="G128" s="319"/>
      <c r="H128" s="318"/>
      <c r="I128" s="318"/>
      <c r="J128" s="318"/>
      <c r="K128" s="318"/>
      <c r="L128" s="320"/>
      <c r="M128" s="320"/>
      <c r="N128" s="321"/>
      <c r="O128" s="322"/>
      <c r="P128" s="323"/>
      <c r="Q128" s="323"/>
      <c r="R128" s="322"/>
      <c r="S128" s="322"/>
      <c r="T128" s="322"/>
      <c r="U128" s="322"/>
      <c r="V128" s="320"/>
      <c r="W128" s="323"/>
      <c r="X128" s="323"/>
      <c r="Y128" s="323"/>
      <c r="Z128" s="323"/>
      <c r="AA128" s="323"/>
      <c r="AB128" s="323"/>
      <c r="AC128" s="324"/>
    </row>
    <row r="129" spans="2:29" x14ac:dyDescent="0.55000000000000004">
      <c r="B129" s="308">
        <v>116</v>
      </c>
      <c r="C129" s="317"/>
      <c r="D129" s="318"/>
      <c r="E129" s="318"/>
      <c r="F129" s="318"/>
      <c r="G129" s="319"/>
      <c r="H129" s="318"/>
      <c r="I129" s="318"/>
      <c r="J129" s="318"/>
      <c r="K129" s="318"/>
      <c r="L129" s="320"/>
      <c r="M129" s="320"/>
      <c r="N129" s="321"/>
      <c r="O129" s="322"/>
      <c r="P129" s="323"/>
      <c r="Q129" s="323"/>
      <c r="R129" s="322"/>
      <c r="S129" s="322"/>
      <c r="T129" s="322"/>
      <c r="U129" s="322"/>
      <c r="V129" s="320"/>
      <c r="W129" s="323"/>
      <c r="X129" s="323"/>
      <c r="Y129" s="323"/>
      <c r="Z129" s="323"/>
      <c r="AA129" s="323"/>
      <c r="AB129" s="323"/>
      <c r="AC129" s="324"/>
    </row>
    <row r="130" spans="2:29" x14ac:dyDescent="0.55000000000000004">
      <c r="B130" s="308">
        <v>117</v>
      </c>
      <c r="C130" s="317"/>
      <c r="D130" s="318"/>
      <c r="E130" s="318"/>
      <c r="F130" s="318"/>
      <c r="G130" s="319"/>
      <c r="H130" s="318"/>
      <c r="I130" s="318"/>
      <c r="J130" s="318"/>
      <c r="K130" s="318"/>
      <c r="L130" s="320"/>
      <c r="M130" s="320"/>
      <c r="N130" s="321"/>
      <c r="O130" s="322"/>
      <c r="P130" s="323"/>
      <c r="Q130" s="323"/>
      <c r="R130" s="322"/>
      <c r="S130" s="322"/>
      <c r="T130" s="322"/>
      <c r="U130" s="322"/>
      <c r="V130" s="320"/>
      <c r="W130" s="323"/>
      <c r="X130" s="323"/>
      <c r="Y130" s="323"/>
      <c r="Z130" s="323"/>
      <c r="AA130" s="323"/>
      <c r="AB130" s="323"/>
      <c r="AC130" s="324"/>
    </row>
    <row r="131" spans="2:29" x14ac:dyDescent="0.55000000000000004">
      <c r="B131" s="308">
        <v>118</v>
      </c>
      <c r="C131" s="325"/>
      <c r="D131" s="326"/>
      <c r="E131" s="326"/>
      <c r="F131" s="326"/>
      <c r="G131" s="327"/>
      <c r="H131" s="326"/>
      <c r="I131" s="326"/>
      <c r="J131" s="326"/>
      <c r="K131" s="326"/>
      <c r="L131" s="328"/>
      <c r="M131" s="328"/>
      <c r="N131" s="329"/>
      <c r="O131" s="330"/>
      <c r="P131" s="331"/>
      <c r="Q131" s="331"/>
      <c r="R131" s="330"/>
      <c r="S131" s="330"/>
      <c r="T131" s="330"/>
      <c r="U131" s="330"/>
      <c r="V131" s="328"/>
      <c r="W131" s="331"/>
      <c r="X131" s="331"/>
      <c r="Y131" s="331"/>
      <c r="Z131" s="331"/>
      <c r="AA131" s="331"/>
      <c r="AB131" s="331"/>
      <c r="AC131" s="332"/>
    </row>
  </sheetData>
  <mergeCells count="12">
    <mergeCell ref="C11:D11"/>
    <mergeCell ref="E11:F11"/>
    <mergeCell ref="G11:H11"/>
    <mergeCell ref="I11:J11"/>
    <mergeCell ref="C13:F13"/>
    <mergeCell ref="G13:K13"/>
    <mergeCell ref="C7:D7"/>
    <mergeCell ref="E7:J7"/>
    <mergeCell ref="C9:D9"/>
    <mergeCell ref="E9:F9"/>
    <mergeCell ref="G9:H9"/>
    <mergeCell ref="I9:J9"/>
  </mergeCells>
  <conditionalFormatting sqref="M14:M131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dataValidations count="3">
    <dataValidation type="list" allowBlank="1" showInputMessage="1" showErrorMessage="1" sqref="I10:J10" xr:uid="{C846398C-B3FF-4DED-94D8-32450FB118C5}">
      <formula1>"Tree, Summary, Detail"</formula1>
    </dataValidation>
    <dataValidation type="list" allowBlank="1" showInputMessage="1" showErrorMessage="1" sqref="I11:J11" xr:uid="{5922BA21-3714-40E3-BC51-C7B740FB7061}">
      <formula1>"Ascending,Descending"</formula1>
    </dataValidation>
    <dataValidation type="list" allowBlank="1" showInputMessage="1" showErrorMessage="1" sqref="I9:J9" xr:uid="{491F9C67-C269-45E3-B087-4E822791A945}">
      <formula1>"Tree, Summary, Detailed"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2C4A-B42D-48CD-9C5A-67CF4BBC5FC5}">
  <sheetPr>
    <tabColor theme="7"/>
  </sheetPr>
  <dimension ref="B1:AI30"/>
  <sheetViews>
    <sheetView showGridLines="0" tabSelected="1" topLeftCell="J1" zoomScaleNormal="100" workbookViewId="0">
      <selection activeCell="Q12" sqref="Q12"/>
    </sheetView>
  </sheetViews>
  <sheetFormatPr defaultRowHeight="13.2" outlineLevelCol="1" x14ac:dyDescent="0.4"/>
  <cols>
    <col min="1" max="1" width="2.71875" style="333" customWidth="1"/>
    <col min="2" max="3" width="11.1640625" style="333" customWidth="1"/>
    <col min="4" max="4" width="2.71875" style="333" customWidth="1"/>
    <col min="5" max="5" width="11.1640625" style="333" customWidth="1"/>
    <col min="6" max="7" width="25.609375" style="333" bestFit="1" customWidth="1"/>
    <col min="8" max="8" width="11.1640625" style="333" customWidth="1"/>
    <col min="9" max="9" width="11.1640625" style="333" customWidth="1" outlineLevel="1"/>
    <col min="10" max="10" width="11.1640625" style="333" customWidth="1"/>
    <col min="11" max="18" width="11.1640625" style="333" customWidth="1" outlineLevel="1"/>
    <col min="19" max="26" width="11.1640625" style="333" customWidth="1"/>
    <col min="27" max="27" width="2.71875" style="333" customWidth="1"/>
    <col min="28" max="33" width="9.33203125" style="333" customWidth="1"/>
    <col min="34" max="34" width="2.71875" style="333" customWidth="1"/>
    <col min="35" max="35" width="9.33203125" style="333" customWidth="1"/>
    <col min="36" max="16384" width="8.88671875" style="333"/>
  </cols>
  <sheetData>
    <row r="1" spans="2:35" ht="13.5" customHeight="1" thickBot="1" x14ac:dyDescent="0.45"/>
    <row r="2" spans="2:35" ht="13.5" customHeight="1" thickBot="1" x14ac:dyDescent="0.45">
      <c r="B2" s="334" t="s">
        <v>146</v>
      </c>
      <c r="C2" s="335" t="s">
        <v>147</v>
      </c>
    </row>
    <row r="4" spans="2:35" ht="14.5" customHeight="1" x14ac:dyDescent="0.4">
      <c r="B4" s="336" t="s">
        <v>148</v>
      </c>
      <c r="C4" s="337"/>
      <c r="E4" s="338" t="s">
        <v>149</v>
      </c>
      <c r="F4" s="337"/>
      <c r="G4" s="337"/>
      <c r="H4" s="337"/>
      <c r="I4" s="336" t="s">
        <v>150</v>
      </c>
      <c r="J4" s="336"/>
      <c r="K4" s="339" t="s">
        <v>151</v>
      </c>
      <c r="L4" s="339"/>
      <c r="M4" s="339" t="s">
        <v>152</v>
      </c>
      <c r="N4" s="339"/>
      <c r="O4" s="339" t="s">
        <v>153</v>
      </c>
      <c r="P4" s="339"/>
      <c r="Q4" s="339" t="s">
        <v>154</v>
      </c>
      <c r="R4" s="339"/>
      <c r="S4" s="339" t="s">
        <v>35</v>
      </c>
      <c r="T4" s="339"/>
      <c r="U4" s="339" t="s">
        <v>75</v>
      </c>
      <c r="V4" s="339"/>
      <c r="W4" s="339" t="s">
        <v>155</v>
      </c>
      <c r="X4" s="339"/>
      <c r="Y4" s="336" t="s">
        <v>79</v>
      </c>
      <c r="Z4" s="336" t="s">
        <v>80</v>
      </c>
      <c r="AB4" s="336" t="s">
        <v>150</v>
      </c>
      <c r="AC4" s="336" t="s">
        <v>156</v>
      </c>
      <c r="AD4" s="336" t="s">
        <v>81</v>
      </c>
      <c r="AE4" s="336" t="s">
        <v>157</v>
      </c>
      <c r="AF4" s="336" t="s">
        <v>79</v>
      </c>
      <c r="AG4" s="336" t="s">
        <v>80</v>
      </c>
      <c r="AI4" s="337"/>
    </row>
    <row r="5" spans="2:35" ht="14.5" customHeight="1" x14ac:dyDescent="0.4">
      <c r="B5" s="336" t="s">
        <v>90</v>
      </c>
      <c r="C5" s="336" t="s">
        <v>158</v>
      </c>
      <c r="E5" s="337" t="s">
        <v>159</v>
      </c>
      <c r="F5" s="337" t="s">
        <v>160</v>
      </c>
      <c r="G5" s="337" t="s">
        <v>161</v>
      </c>
      <c r="H5" s="336" t="s">
        <v>162</v>
      </c>
      <c r="I5" s="336" t="s">
        <v>163</v>
      </c>
      <c r="J5" s="336" t="s">
        <v>150</v>
      </c>
      <c r="K5" s="336" t="s">
        <v>164</v>
      </c>
      <c r="L5" s="336" t="s">
        <v>165</v>
      </c>
      <c r="M5" s="336" t="s">
        <v>164</v>
      </c>
      <c r="N5" s="336" t="s">
        <v>165</v>
      </c>
      <c r="O5" s="336" t="s">
        <v>164</v>
      </c>
      <c r="P5" s="336" t="s">
        <v>165</v>
      </c>
      <c r="Q5" s="336" t="s">
        <v>166</v>
      </c>
      <c r="R5" s="336" t="s">
        <v>167</v>
      </c>
      <c r="S5" s="336" t="s">
        <v>164</v>
      </c>
      <c r="T5" s="336" t="s">
        <v>165</v>
      </c>
      <c r="U5" s="336" t="s">
        <v>164</v>
      </c>
      <c r="V5" s="336" t="s">
        <v>165</v>
      </c>
      <c r="W5" s="336" t="s">
        <v>164</v>
      </c>
      <c r="X5" s="336" t="s">
        <v>165</v>
      </c>
      <c r="Y5" s="336" t="s">
        <v>168</v>
      </c>
      <c r="Z5" s="336" t="s">
        <v>168</v>
      </c>
      <c r="AB5" s="336" t="s">
        <v>131</v>
      </c>
      <c r="AC5" s="336" t="s">
        <v>131</v>
      </c>
      <c r="AD5" s="336" t="s">
        <v>131</v>
      </c>
      <c r="AE5" s="336" t="s">
        <v>131</v>
      </c>
      <c r="AF5" s="336" t="s">
        <v>131</v>
      </c>
      <c r="AG5" s="336" t="s">
        <v>131</v>
      </c>
      <c r="AI5" s="336" t="s">
        <v>162</v>
      </c>
    </row>
    <row r="6" spans="2:35" ht="3" customHeight="1" x14ac:dyDescent="0.4"/>
    <row r="7" spans="2:35" ht="14.5" customHeight="1" x14ac:dyDescent="0.4">
      <c r="E7" s="340" t="s">
        <v>99</v>
      </c>
    </row>
    <row r="8" spans="2:35" ht="16" customHeight="1" x14ac:dyDescent="0.4">
      <c r="B8" s="341"/>
      <c r="C8" s="342" t="e">
        <f t="array" aca="1" ref="C8" ca="1">_xll.SNL.Clients.Office.Excel.Functions.SPG("$"&amp;$C$2&amp;B8,"SP_PRICE_CLOSE",WORKDAY(E8+1,-1),"Options: NA=NA")</f>
        <v>#NAME?</v>
      </c>
      <c r="E8" s="343"/>
      <c r="H8" s="344"/>
      <c r="I8" s="345"/>
      <c r="J8" s="346" t="e">
        <f t="shared" ref="J8:J13" ca="1" si="0">+I8*C8</f>
        <v>#NAME?</v>
      </c>
      <c r="K8" s="347"/>
      <c r="L8" s="347"/>
      <c r="M8" s="347"/>
      <c r="N8" s="347"/>
      <c r="O8" s="347"/>
      <c r="P8" s="347"/>
      <c r="Q8" s="347"/>
      <c r="R8" s="347"/>
      <c r="S8" s="348" t="str">
        <f t="shared" ref="S8:S13" si="1">IF(K8="","n/a ",(K8*C8)/J8)</f>
        <v xml:space="preserve">n/a </v>
      </c>
      <c r="T8" s="348" t="str">
        <f t="shared" ref="T8:T13" si="2">IF(L8="","n/a ",(L8*C8)/J8)</f>
        <v xml:space="preserve">n/a </v>
      </c>
      <c r="U8" s="348" t="str">
        <f t="shared" ref="U8:U13" si="3">IF(O8="","n/a ",(O8*C8)/J8)</f>
        <v xml:space="preserve">n/a </v>
      </c>
      <c r="V8" s="348" t="str">
        <f t="shared" ref="V8:V13" si="4">IF(P8="","n/a ",(P8*C8)/J8)</f>
        <v xml:space="preserve">n/a </v>
      </c>
      <c r="W8" s="348" t="str">
        <f t="shared" ref="W8:W13" si="5">IF(M8="","n/a ",(M8*C8)/J8)</f>
        <v xml:space="preserve">n/a </v>
      </c>
      <c r="X8" s="348" t="str">
        <f t="shared" ref="X8:X13" si="6">IF(N8="","n/a ",(N8*C8)/J8)</f>
        <v xml:space="preserve">n/a </v>
      </c>
      <c r="Y8" s="348" t="str">
        <f t="shared" ref="Y8:Y13" si="7">IF(Q8="","n/a ",(Q8*C8)/J8)</f>
        <v xml:space="preserve">n/a </v>
      </c>
      <c r="Z8" s="348" t="str">
        <f t="shared" ref="Z8:Z13" si="8">IF(R8="","n/a ",(R8*C8)/J8)</f>
        <v xml:space="preserve">n/a </v>
      </c>
      <c r="AB8" s="349" t="s">
        <v>169</v>
      </c>
      <c r="AC8" s="349" t="s">
        <v>169</v>
      </c>
      <c r="AD8" s="349" t="s">
        <v>169</v>
      </c>
      <c r="AE8" s="349" t="s">
        <v>169</v>
      </c>
      <c r="AF8" s="349" t="s">
        <v>169</v>
      </c>
      <c r="AG8" s="349" t="s">
        <v>169</v>
      </c>
      <c r="AI8" s="350"/>
    </row>
    <row r="9" spans="2:35" ht="16" customHeight="1" x14ac:dyDescent="0.4">
      <c r="B9" s="341"/>
      <c r="C9" s="342" t="e">
        <f t="array" aca="1" ref="C9" ca="1">_xll.SNL.Clients.Office.Excel.Functions.SPG("$"&amp;$C$2&amp;B9,"SP_PRICE_CLOSE",WORKDAY(E9+1,-1),"Options: NA=NA")</f>
        <v>#NAME?</v>
      </c>
      <c r="E9" s="343"/>
      <c r="H9" s="344"/>
      <c r="I9" s="345"/>
      <c r="J9" s="346" t="e">
        <f t="shared" ca="1" si="0"/>
        <v>#NAME?</v>
      </c>
      <c r="K9" s="351"/>
      <c r="L9" s="347"/>
      <c r="M9" s="351"/>
      <c r="N9" s="347"/>
      <c r="O9" s="351"/>
      <c r="P9" s="347"/>
      <c r="Q9" s="347"/>
      <c r="R9" s="347"/>
      <c r="S9" s="348" t="str">
        <f t="shared" si="1"/>
        <v xml:space="preserve">n/a </v>
      </c>
      <c r="T9" s="348" t="str">
        <f t="shared" si="2"/>
        <v xml:space="preserve">n/a </v>
      </c>
      <c r="U9" s="348" t="str">
        <f t="shared" si="3"/>
        <v xml:space="preserve">n/a </v>
      </c>
      <c r="V9" s="348" t="str">
        <f t="shared" si="4"/>
        <v xml:space="preserve">n/a </v>
      </c>
      <c r="W9" s="348" t="str">
        <f t="shared" si="5"/>
        <v xml:space="preserve">n/a </v>
      </c>
      <c r="X9" s="348" t="str">
        <f t="shared" si="6"/>
        <v xml:space="preserve">n/a </v>
      </c>
      <c r="Y9" s="348" t="str">
        <f t="shared" si="7"/>
        <v xml:space="preserve">n/a </v>
      </c>
      <c r="Z9" s="348" t="str">
        <f t="shared" si="8"/>
        <v xml:space="preserve">n/a </v>
      </c>
      <c r="AB9" s="349" t="s">
        <v>169</v>
      </c>
      <c r="AC9" s="349" t="s">
        <v>169</v>
      </c>
      <c r="AD9" s="349" t="s">
        <v>169</v>
      </c>
      <c r="AE9" s="349" t="s">
        <v>169</v>
      </c>
      <c r="AF9" s="349" t="s">
        <v>169</v>
      </c>
      <c r="AG9" s="349" t="s">
        <v>169</v>
      </c>
      <c r="AI9" s="350"/>
    </row>
    <row r="10" spans="2:35" ht="16" customHeight="1" x14ac:dyDescent="0.4">
      <c r="B10" s="341"/>
      <c r="C10" s="342" t="e">
        <f t="array" aca="1" ref="C10" ca="1">_xll.SNL.Clients.Office.Excel.Functions.SPG("$"&amp;$C$2&amp;B10,"SP_PRICE_CLOSE",WORKDAY(E10+1,-1),"Options: NA=NA")</f>
        <v>#NAME?</v>
      </c>
      <c r="E10" s="343"/>
      <c r="H10" s="344"/>
      <c r="I10" s="345"/>
      <c r="J10" s="346" t="e">
        <f t="shared" ca="1" si="0"/>
        <v>#NAME?</v>
      </c>
      <c r="K10" s="351"/>
      <c r="L10" s="351"/>
      <c r="M10" s="351"/>
      <c r="N10" s="351"/>
      <c r="O10" s="351"/>
      <c r="P10" s="351"/>
      <c r="Q10" s="351"/>
      <c r="R10" s="351"/>
      <c r="S10" s="348" t="str">
        <f t="shared" si="1"/>
        <v xml:space="preserve">n/a </v>
      </c>
      <c r="T10" s="348" t="str">
        <f t="shared" si="2"/>
        <v xml:space="preserve">n/a </v>
      </c>
      <c r="U10" s="348" t="str">
        <f t="shared" si="3"/>
        <v xml:space="preserve">n/a </v>
      </c>
      <c r="V10" s="348" t="str">
        <f t="shared" si="4"/>
        <v xml:space="preserve">n/a </v>
      </c>
      <c r="W10" s="348" t="str">
        <f t="shared" si="5"/>
        <v xml:space="preserve">n/a </v>
      </c>
      <c r="X10" s="348" t="str">
        <f t="shared" si="6"/>
        <v xml:space="preserve">n/a </v>
      </c>
      <c r="Y10" s="348" t="str">
        <f t="shared" si="7"/>
        <v xml:space="preserve">n/a </v>
      </c>
      <c r="Z10" s="348" t="str">
        <f t="shared" si="8"/>
        <v xml:space="preserve">n/a </v>
      </c>
      <c r="AB10" s="349" t="s">
        <v>169</v>
      </c>
      <c r="AC10" s="349" t="s">
        <v>169</v>
      </c>
      <c r="AD10" s="349" t="s">
        <v>169</v>
      </c>
      <c r="AE10" s="349" t="s">
        <v>169</v>
      </c>
      <c r="AF10" s="349" t="s">
        <v>169</v>
      </c>
      <c r="AG10" s="349" t="s">
        <v>169</v>
      </c>
      <c r="AI10" s="350"/>
    </row>
    <row r="11" spans="2:35" ht="16" customHeight="1" x14ac:dyDescent="0.4">
      <c r="B11" s="341"/>
      <c r="C11" s="352" t="e">
        <f t="array" aca="1" ref="C11" ca="1">_xll.SNL.Clients.Office.Excel.Functions.SPG("$"&amp;$C$2&amp;B11,"SP_PRICE_CLOSE",WORKDAY(E11+1,-1),"Options: NA=NA")</f>
        <v>#NAME?</v>
      </c>
      <c r="E11" s="343"/>
      <c r="H11" s="344"/>
      <c r="I11" s="345"/>
      <c r="J11" s="346" t="e">
        <f t="shared" ca="1" si="0"/>
        <v>#NAME?</v>
      </c>
      <c r="K11" s="351"/>
      <c r="L11" s="351"/>
      <c r="M11" s="351"/>
      <c r="N11" s="351"/>
      <c r="O11" s="351"/>
      <c r="P11" s="351"/>
      <c r="Q11" s="351"/>
      <c r="R11" s="351"/>
      <c r="S11" s="348" t="str">
        <f t="shared" si="1"/>
        <v xml:space="preserve">n/a </v>
      </c>
      <c r="T11" s="348" t="str">
        <f t="shared" si="2"/>
        <v xml:space="preserve">n/a </v>
      </c>
      <c r="U11" s="348" t="str">
        <f t="shared" si="3"/>
        <v xml:space="preserve">n/a </v>
      </c>
      <c r="V11" s="348" t="str">
        <f t="shared" si="4"/>
        <v xml:space="preserve">n/a </v>
      </c>
      <c r="W11" s="348" t="str">
        <f t="shared" si="5"/>
        <v xml:space="preserve">n/a </v>
      </c>
      <c r="X11" s="348" t="str">
        <f t="shared" si="6"/>
        <v xml:space="preserve">n/a </v>
      </c>
      <c r="Y11" s="348" t="str">
        <f t="shared" si="7"/>
        <v xml:space="preserve">n/a </v>
      </c>
      <c r="Z11" s="348" t="str">
        <f t="shared" si="8"/>
        <v xml:space="preserve">n/a </v>
      </c>
      <c r="AB11" s="349" t="s">
        <v>169</v>
      </c>
      <c r="AC11" s="349" t="s">
        <v>169</v>
      </c>
      <c r="AD11" s="349" t="s">
        <v>169</v>
      </c>
      <c r="AE11" s="349" t="s">
        <v>169</v>
      </c>
      <c r="AF11" s="349" t="s">
        <v>169</v>
      </c>
      <c r="AG11" s="349" t="s">
        <v>169</v>
      </c>
      <c r="AI11" s="350"/>
    </row>
    <row r="12" spans="2:35" ht="16" customHeight="1" x14ac:dyDescent="0.4">
      <c r="B12" s="341"/>
      <c r="C12" s="352" t="e">
        <f t="array" aca="1" ref="C12" ca="1">_xll.SNL.Clients.Office.Excel.Functions.SPG("$"&amp;$C$2&amp;B12,"SP_PRICE_CLOSE",WORKDAY(E12+1,-1),"Options: NA=NA")</f>
        <v>#NAME?</v>
      </c>
      <c r="E12" s="343"/>
      <c r="H12" s="344"/>
      <c r="I12" s="345"/>
      <c r="J12" s="346" t="e">
        <f t="shared" ca="1" si="0"/>
        <v>#NAME?</v>
      </c>
      <c r="K12" s="351"/>
      <c r="L12" s="351"/>
      <c r="M12" s="351"/>
      <c r="N12" s="351"/>
      <c r="O12" s="351"/>
      <c r="P12" s="351"/>
      <c r="Q12" s="351"/>
      <c r="R12" s="351"/>
      <c r="S12" s="348" t="str">
        <f t="shared" si="1"/>
        <v xml:space="preserve">n/a </v>
      </c>
      <c r="T12" s="348" t="str">
        <f t="shared" si="2"/>
        <v xml:space="preserve">n/a </v>
      </c>
      <c r="U12" s="348" t="str">
        <f t="shared" si="3"/>
        <v xml:space="preserve">n/a </v>
      </c>
      <c r="V12" s="348" t="str">
        <f t="shared" si="4"/>
        <v xml:space="preserve">n/a </v>
      </c>
      <c r="W12" s="348" t="str">
        <f t="shared" si="5"/>
        <v xml:space="preserve">n/a </v>
      </c>
      <c r="X12" s="348" t="str">
        <f t="shared" si="6"/>
        <v xml:space="preserve">n/a </v>
      </c>
      <c r="Y12" s="348" t="str">
        <f t="shared" si="7"/>
        <v xml:space="preserve">n/a </v>
      </c>
      <c r="Z12" s="348" t="str">
        <f t="shared" si="8"/>
        <v xml:space="preserve">n/a </v>
      </c>
      <c r="AB12" s="349" t="s">
        <v>169</v>
      </c>
      <c r="AC12" s="349" t="s">
        <v>169</v>
      </c>
      <c r="AD12" s="349" t="s">
        <v>169</v>
      </c>
      <c r="AE12" s="349" t="s">
        <v>169</v>
      </c>
      <c r="AF12" s="349" t="s">
        <v>169</v>
      </c>
      <c r="AG12" s="349" t="s">
        <v>169</v>
      </c>
      <c r="AI12" s="350"/>
    </row>
    <row r="13" spans="2:35" ht="16" customHeight="1" x14ac:dyDescent="0.4">
      <c r="B13" s="341"/>
      <c r="C13" s="342" t="e">
        <f t="array" aca="1" ref="C13" ca="1">_xll.SNL.Clients.Office.Excel.Functions.SPG("$"&amp;$C$2&amp;B13,"SP_PRICE_CLOSE",WORKDAY(E13+1,-1),"Options: NA=NA")</f>
        <v>#NAME?</v>
      </c>
      <c r="E13" s="353"/>
      <c r="F13" s="354"/>
      <c r="G13" s="354"/>
      <c r="H13" s="355"/>
      <c r="I13" s="356"/>
      <c r="J13" s="346" t="e">
        <f t="shared" ca="1" si="0"/>
        <v>#NAME?</v>
      </c>
      <c r="K13" s="357"/>
      <c r="L13" s="357"/>
      <c r="M13" s="357"/>
      <c r="N13" s="357"/>
      <c r="O13" s="357"/>
      <c r="P13" s="357"/>
      <c r="Q13" s="351"/>
      <c r="R13" s="351"/>
      <c r="S13" s="348" t="str">
        <f t="shared" si="1"/>
        <v xml:space="preserve">n/a </v>
      </c>
      <c r="T13" s="348" t="str">
        <f t="shared" si="2"/>
        <v xml:space="preserve">n/a </v>
      </c>
      <c r="U13" s="348" t="str">
        <f t="shared" si="3"/>
        <v xml:space="preserve">n/a </v>
      </c>
      <c r="V13" s="348" t="str">
        <f t="shared" si="4"/>
        <v xml:space="preserve">n/a </v>
      </c>
      <c r="W13" s="348" t="str">
        <f t="shared" si="5"/>
        <v xml:space="preserve">n/a </v>
      </c>
      <c r="X13" s="348" t="str">
        <f t="shared" si="6"/>
        <v xml:space="preserve">n/a </v>
      </c>
      <c r="Y13" s="348" t="str">
        <f t="shared" si="7"/>
        <v xml:space="preserve">n/a </v>
      </c>
      <c r="Z13" s="348" t="str">
        <f t="shared" si="8"/>
        <v xml:space="preserve">n/a </v>
      </c>
      <c r="AB13" s="349" t="s">
        <v>169</v>
      </c>
      <c r="AC13" s="349" t="s">
        <v>169</v>
      </c>
      <c r="AD13" s="349" t="s">
        <v>169</v>
      </c>
      <c r="AE13" s="349" t="s">
        <v>169</v>
      </c>
      <c r="AF13" s="349" t="s">
        <v>169</v>
      </c>
      <c r="AG13" s="349" t="s">
        <v>169</v>
      </c>
      <c r="AI13" s="350"/>
    </row>
    <row r="14" spans="2:35" ht="16" customHeight="1" x14ac:dyDescent="0.4">
      <c r="E14" s="358" t="s">
        <v>100</v>
      </c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9" t="str">
        <f t="shared" ref="S14:Z14" si="9">IFERROR(AVERAGE(S8:S13),"n/a ")</f>
        <v xml:space="preserve">n/a </v>
      </c>
      <c r="T14" s="359" t="str">
        <f t="shared" si="9"/>
        <v xml:space="preserve">n/a </v>
      </c>
      <c r="U14" s="359" t="str">
        <f t="shared" si="9"/>
        <v xml:space="preserve">n/a </v>
      </c>
      <c r="V14" s="359" t="str">
        <f t="shared" si="9"/>
        <v xml:space="preserve">n/a </v>
      </c>
      <c r="W14" s="359" t="str">
        <f t="shared" si="9"/>
        <v xml:space="preserve">n/a </v>
      </c>
      <c r="X14" s="359" t="str">
        <f t="shared" si="9"/>
        <v xml:space="preserve">n/a </v>
      </c>
      <c r="Y14" s="359" t="str">
        <f t="shared" si="9"/>
        <v xml:space="preserve">n/a </v>
      </c>
      <c r="Z14" s="359" t="str">
        <f t="shared" si="9"/>
        <v xml:space="preserve">n/a </v>
      </c>
      <c r="AI14" s="349"/>
    </row>
    <row r="15" spans="2:35" ht="3" customHeight="1" x14ac:dyDescent="0.4">
      <c r="H15" s="360"/>
      <c r="AI15" s="349"/>
    </row>
    <row r="16" spans="2:35" ht="14.5" customHeight="1" x14ac:dyDescent="0.4">
      <c r="E16" s="340" t="s">
        <v>101</v>
      </c>
      <c r="H16" s="360"/>
      <c r="AI16" s="349"/>
    </row>
    <row r="17" spans="2:35" ht="16" customHeight="1" x14ac:dyDescent="0.4">
      <c r="B17" s="341"/>
      <c r="C17" s="352" t="e">
        <f t="array" aca="1" ref="C17" ca="1">_xll.SNL.Clients.Office.Excel.Functions.SPG("$"&amp;$C$2&amp;B17,"SP_PRICE_CLOSE",WORKDAY(E17+1,-1),"Options: NA=NA")</f>
        <v>#NAME?</v>
      </c>
      <c r="E17" s="343"/>
      <c r="H17" s="344"/>
      <c r="I17" s="345"/>
      <c r="J17" s="346" t="e">
        <f t="shared" ref="J17:J22" ca="1" si="10">+I17*C17</f>
        <v>#NAME?</v>
      </c>
      <c r="K17" s="351"/>
      <c r="L17" s="351"/>
      <c r="M17" s="351"/>
      <c r="N17" s="351"/>
      <c r="O17" s="351"/>
      <c r="P17" s="351"/>
      <c r="Q17" s="351"/>
      <c r="R17" s="351"/>
      <c r="S17" s="348" t="str">
        <f t="shared" ref="S17:S22" si="11">IF(K17="","n/a ",(K17*C17)/J17)</f>
        <v xml:space="preserve">n/a </v>
      </c>
      <c r="T17" s="348" t="str">
        <f t="shared" ref="T17:T22" si="12">IF(L17="","n/a ",(L17*C17)/J17)</f>
        <v xml:space="preserve">n/a </v>
      </c>
      <c r="U17" s="348" t="str">
        <f t="shared" ref="U17:U22" si="13">IF(O17="","n/a ",(O17*C17)/J17)</f>
        <v xml:space="preserve">n/a </v>
      </c>
      <c r="V17" s="348" t="str">
        <f t="shared" ref="V17:V22" si="14">IF(P17="","n/a ",(P17*C17)/J17)</f>
        <v xml:space="preserve">n/a </v>
      </c>
      <c r="W17" s="348" t="str">
        <f t="shared" ref="W17:W22" si="15">IF(M17="","n/a ",(M17*C17)/J17)</f>
        <v xml:space="preserve">n/a </v>
      </c>
      <c r="X17" s="348" t="str">
        <f t="shared" ref="X17:X22" si="16">IF(N17="","n/a ",(N17*C17)/J17)</f>
        <v xml:space="preserve">n/a </v>
      </c>
      <c r="Y17" s="348" t="str">
        <f t="shared" ref="Y17:Y22" si="17">IF(Q17="","n/a ",(Q17*C17)/J17)</f>
        <v xml:space="preserve">n/a </v>
      </c>
      <c r="Z17" s="348" t="str">
        <f t="shared" ref="Z17:Z22" si="18">IF(R17="","n/a ",(R17*C17)/J17)</f>
        <v xml:space="preserve">n/a </v>
      </c>
      <c r="AB17" s="349" t="s">
        <v>169</v>
      </c>
      <c r="AC17" s="349" t="s">
        <v>169</v>
      </c>
      <c r="AD17" s="349" t="s">
        <v>169</v>
      </c>
      <c r="AE17" s="349" t="s">
        <v>169</v>
      </c>
      <c r="AF17" s="349" t="s">
        <v>169</v>
      </c>
      <c r="AG17" s="349" t="s">
        <v>169</v>
      </c>
      <c r="AH17" s="361"/>
      <c r="AI17" s="350"/>
    </row>
    <row r="18" spans="2:35" ht="16" customHeight="1" x14ac:dyDescent="0.4">
      <c r="B18" s="341"/>
      <c r="C18" s="352" t="e">
        <f t="array" aca="1" ref="C18" ca="1">_xll.SNL.Clients.Office.Excel.Functions.SPG("$"&amp;$C$2&amp;B18,"SP_PRICE_CLOSE",WORKDAY(E18+1,-1),"Options: NA=NA")</f>
        <v>#NAME?</v>
      </c>
      <c r="E18" s="343"/>
      <c r="H18" s="344"/>
      <c r="I18" s="345"/>
      <c r="J18" s="346" t="e">
        <f t="shared" ca="1" si="10"/>
        <v>#NAME?</v>
      </c>
      <c r="K18" s="351"/>
      <c r="L18" s="351"/>
      <c r="M18" s="351"/>
      <c r="N18" s="351"/>
      <c r="O18" s="351"/>
      <c r="P18" s="351"/>
      <c r="Q18" s="351"/>
      <c r="R18" s="351"/>
      <c r="S18" s="348" t="str">
        <f t="shared" si="11"/>
        <v xml:space="preserve">n/a </v>
      </c>
      <c r="T18" s="348" t="str">
        <f t="shared" si="12"/>
        <v xml:space="preserve">n/a </v>
      </c>
      <c r="U18" s="348" t="str">
        <f t="shared" si="13"/>
        <v xml:space="preserve">n/a </v>
      </c>
      <c r="V18" s="348" t="str">
        <f t="shared" si="14"/>
        <v xml:space="preserve">n/a </v>
      </c>
      <c r="W18" s="348" t="str">
        <f t="shared" si="15"/>
        <v xml:space="preserve">n/a </v>
      </c>
      <c r="X18" s="348" t="str">
        <f t="shared" si="16"/>
        <v xml:space="preserve">n/a </v>
      </c>
      <c r="Y18" s="348" t="str">
        <f t="shared" si="17"/>
        <v xml:space="preserve">n/a </v>
      </c>
      <c r="Z18" s="348" t="str">
        <f t="shared" si="18"/>
        <v xml:space="preserve">n/a </v>
      </c>
      <c r="AB18" s="349" t="s">
        <v>169</v>
      </c>
      <c r="AC18" s="349" t="s">
        <v>169</v>
      </c>
      <c r="AD18" s="349" t="s">
        <v>169</v>
      </c>
      <c r="AE18" s="349" t="s">
        <v>169</v>
      </c>
      <c r="AF18" s="349" t="s">
        <v>169</v>
      </c>
      <c r="AG18" s="349" t="s">
        <v>169</v>
      </c>
      <c r="AH18" s="361"/>
      <c r="AI18" s="350"/>
    </row>
    <row r="19" spans="2:35" ht="16" customHeight="1" x14ac:dyDescent="0.4">
      <c r="B19" s="341"/>
      <c r="C19" s="352" t="e">
        <f t="array" aca="1" ref="C19" ca="1">_xll.SNL.Clients.Office.Excel.Functions.SPG("$"&amp;$C$2&amp;B19,"SP_PRICE_CLOSE",WORKDAY(E19+1,-1),"Options: NA=NA")</f>
        <v>#NAME?</v>
      </c>
      <c r="E19" s="343"/>
      <c r="H19" s="344"/>
      <c r="I19" s="345"/>
      <c r="J19" s="346" t="e">
        <f t="shared" ca="1" si="10"/>
        <v>#NAME?</v>
      </c>
      <c r="K19" s="351"/>
      <c r="L19" s="351"/>
      <c r="M19" s="351"/>
      <c r="N19" s="351"/>
      <c r="O19" s="351"/>
      <c r="P19" s="351"/>
      <c r="Q19" s="351"/>
      <c r="R19" s="351"/>
      <c r="S19" s="348" t="str">
        <f t="shared" si="11"/>
        <v xml:space="preserve">n/a </v>
      </c>
      <c r="T19" s="348" t="str">
        <f t="shared" si="12"/>
        <v xml:space="preserve">n/a </v>
      </c>
      <c r="U19" s="348" t="str">
        <f t="shared" si="13"/>
        <v xml:space="preserve">n/a </v>
      </c>
      <c r="V19" s="348" t="str">
        <f t="shared" si="14"/>
        <v xml:space="preserve">n/a </v>
      </c>
      <c r="W19" s="348" t="str">
        <f t="shared" si="15"/>
        <v xml:space="preserve">n/a </v>
      </c>
      <c r="X19" s="348" t="str">
        <f t="shared" si="16"/>
        <v xml:space="preserve">n/a </v>
      </c>
      <c r="Y19" s="348" t="str">
        <f t="shared" si="17"/>
        <v xml:space="preserve">n/a </v>
      </c>
      <c r="Z19" s="348" t="str">
        <f t="shared" si="18"/>
        <v xml:space="preserve">n/a </v>
      </c>
      <c r="AB19" s="349" t="s">
        <v>169</v>
      </c>
      <c r="AC19" s="349" t="s">
        <v>169</v>
      </c>
      <c r="AD19" s="349" t="s">
        <v>169</v>
      </c>
      <c r="AE19" s="349" t="s">
        <v>169</v>
      </c>
      <c r="AF19" s="349" t="s">
        <v>169</v>
      </c>
      <c r="AG19" s="349" t="s">
        <v>169</v>
      </c>
      <c r="AH19" s="361"/>
      <c r="AI19" s="350"/>
    </row>
    <row r="20" spans="2:35" ht="16" customHeight="1" x14ac:dyDescent="0.4">
      <c r="B20" s="341"/>
      <c r="C20" s="352" t="e">
        <f t="array" aca="1" ref="C20" ca="1">_xll.SNL.Clients.Office.Excel.Functions.SPG("$"&amp;$C$2&amp;B20,"SP_PRICE_CLOSE",WORKDAY(E20+1,-1),"Options: NA=NA")</f>
        <v>#NAME?</v>
      </c>
      <c r="E20" s="343"/>
      <c r="H20" s="344"/>
      <c r="I20" s="345"/>
      <c r="J20" s="346" t="e">
        <f t="shared" ca="1" si="10"/>
        <v>#NAME?</v>
      </c>
      <c r="K20" s="351"/>
      <c r="L20" s="351"/>
      <c r="M20" s="351"/>
      <c r="N20" s="351"/>
      <c r="O20" s="351"/>
      <c r="P20" s="351"/>
      <c r="Q20" s="351"/>
      <c r="R20" s="351"/>
      <c r="S20" s="348" t="str">
        <f t="shared" si="11"/>
        <v xml:space="preserve">n/a </v>
      </c>
      <c r="T20" s="348" t="str">
        <f t="shared" si="12"/>
        <v xml:space="preserve">n/a </v>
      </c>
      <c r="U20" s="348" t="str">
        <f t="shared" si="13"/>
        <v xml:space="preserve">n/a </v>
      </c>
      <c r="V20" s="348" t="str">
        <f t="shared" si="14"/>
        <v xml:space="preserve">n/a </v>
      </c>
      <c r="W20" s="348" t="str">
        <f t="shared" si="15"/>
        <v xml:space="preserve">n/a </v>
      </c>
      <c r="X20" s="348" t="str">
        <f t="shared" si="16"/>
        <v xml:space="preserve">n/a </v>
      </c>
      <c r="Y20" s="348" t="str">
        <f t="shared" si="17"/>
        <v xml:space="preserve">n/a </v>
      </c>
      <c r="Z20" s="348" t="str">
        <f t="shared" si="18"/>
        <v xml:space="preserve">n/a </v>
      </c>
      <c r="AB20" s="349" t="s">
        <v>169</v>
      </c>
      <c r="AC20" s="349" t="s">
        <v>169</v>
      </c>
      <c r="AD20" s="349" t="s">
        <v>169</v>
      </c>
      <c r="AE20" s="349" t="s">
        <v>169</v>
      </c>
      <c r="AF20" s="349" t="s">
        <v>169</v>
      </c>
      <c r="AG20" s="349" t="s">
        <v>169</v>
      </c>
      <c r="AI20" s="350"/>
    </row>
    <row r="21" spans="2:35" ht="16" customHeight="1" x14ac:dyDescent="0.4">
      <c r="B21" s="341"/>
      <c r="C21" s="352" t="e">
        <f t="array" aca="1" ref="C21" ca="1">_xll.SNL.Clients.Office.Excel.Functions.SPG("$"&amp;$C$2&amp;B21,"SP_PRICE_CLOSE",WORKDAY(E21+1,-1),"Options: NA=NA")</f>
        <v>#NAME?</v>
      </c>
      <c r="E21" s="343"/>
      <c r="H21" s="344"/>
      <c r="I21" s="345"/>
      <c r="J21" s="346" t="e">
        <f t="shared" ca="1" si="10"/>
        <v>#NAME?</v>
      </c>
      <c r="K21" s="351"/>
      <c r="L21" s="351"/>
      <c r="M21" s="351"/>
      <c r="N21" s="351"/>
      <c r="O21" s="351"/>
      <c r="P21" s="351"/>
      <c r="Q21" s="351"/>
      <c r="R21" s="351"/>
      <c r="S21" s="348" t="str">
        <f t="shared" si="11"/>
        <v xml:space="preserve">n/a </v>
      </c>
      <c r="T21" s="348" t="str">
        <f t="shared" si="12"/>
        <v xml:space="preserve">n/a </v>
      </c>
      <c r="U21" s="348" t="str">
        <f t="shared" si="13"/>
        <v xml:space="preserve">n/a </v>
      </c>
      <c r="V21" s="348" t="str">
        <f t="shared" si="14"/>
        <v xml:space="preserve">n/a </v>
      </c>
      <c r="W21" s="348" t="str">
        <f t="shared" si="15"/>
        <v xml:space="preserve">n/a </v>
      </c>
      <c r="X21" s="348" t="str">
        <f t="shared" si="16"/>
        <v xml:space="preserve">n/a </v>
      </c>
      <c r="Y21" s="348" t="str">
        <f t="shared" si="17"/>
        <v xml:space="preserve">n/a </v>
      </c>
      <c r="Z21" s="348" t="str">
        <f t="shared" si="18"/>
        <v xml:space="preserve">n/a </v>
      </c>
      <c r="AB21" s="349" t="s">
        <v>169</v>
      </c>
      <c r="AC21" s="349" t="s">
        <v>169</v>
      </c>
      <c r="AD21" s="349" t="s">
        <v>169</v>
      </c>
      <c r="AE21" s="349" t="s">
        <v>169</v>
      </c>
      <c r="AF21" s="349" t="s">
        <v>169</v>
      </c>
      <c r="AG21" s="349" t="s">
        <v>169</v>
      </c>
      <c r="AH21" s="361"/>
      <c r="AI21" s="350"/>
    </row>
    <row r="22" spans="2:35" ht="16" customHeight="1" x14ac:dyDescent="0.4">
      <c r="B22" s="341"/>
      <c r="C22" s="342" t="e">
        <f t="array" aca="1" ref="C22" ca="1">_xll.SNL.Clients.Office.Excel.Functions.SPG("$"&amp;$C$2&amp;B22,"SP_PRICE_CLOSE",WORKDAY(E22+1,-1),"Options: NA=NA")</f>
        <v>#NAME?</v>
      </c>
      <c r="E22" s="343"/>
      <c r="H22" s="344"/>
      <c r="I22" s="345"/>
      <c r="J22" s="346" t="e">
        <f t="shared" ca="1" si="10"/>
        <v>#NAME?</v>
      </c>
      <c r="K22" s="351"/>
      <c r="L22" s="351"/>
      <c r="M22" s="351"/>
      <c r="N22" s="351"/>
      <c r="O22" s="351"/>
      <c r="P22" s="351"/>
      <c r="Q22" s="351"/>
      <c r="R22" s="351"/>
      <c r="S22" s="348" t="str">
        <f t="shared" si="11"/>
        <v xml:space="preserve">n/a </v>
      </c>
      <c r="T22" s="348" t="str">
        <f t="shared" si="12"/>
        <v xml:space="preserve">n/a </v>
      </c>
      <c r="U22" s="348" t="str">
        <f t="shared" si="13"/>
        <v xml:space="preserve">n/a </v>
      </c>
      <c r="V22" s="348" t="str">
        <f t="shared" si="14"/>
        <v xml:space="preserve">n/a </v>
      </c>
      <c r="W22" s="348" t="str">
        <f t="shared" si="15"/>
        <v xml:space="preserve">n/a </v>
      </c>
      <c r="X22" s="348" t="str">
        <f t="shared" si="16"/>
        <v xml:space="preserve">n/a </v>
      </c>
      <c r="Y22" s="348" t="str">
        <f t="shared" si="17"/>
        <v xml:space="preserve">n/a </v>
      </c>
      <c r="Z22" s="348" t="str">
        <f t="shared" si="18"/>
        <v xml:space="preserve">n/a </v>
      </c>
      <c r="AB22" s="349" t="s">
        <v>169</v>
      </c>
      <c r="AC22" s="349" t="s">
        <v>169</v>
      </c>
      <c r="AD22" s="349" t="s">
        <v>169</v>
      </c>
      <c r="AE22" s="349" t="s">
        <v>169</v>
      </c>
      <c r="AF22" s="349" t="s">
        <v>169</v>
      </c>
      <c r="AG22" s="349" t="s">
        <v>169</v>
      </c>
      <c r="AI22" s="350"/>
    </row>
    <row r="23" spans="2:35" ht="16" customHeight="1" x14ac:dyDescent="0.4">
      <c r="E23" s="358" t="s">
        <v>100</v>
      </c>
      <c r="F23" s="358"/>
      <c r="G23" s="358"/>
      <c r="H23" s="358"/>
      <c r="I23" s="358"/>
      <c r="J23" s="358"/>
      <c r="K23" s="358"/>
      <c r="L23" s="358"/>
      <c r="M23" s="358"/>
      <c r="N23" s="358"/>
      <c r="O23" s="358"/>
      <c r="P23" s="358"/>
      <c r="Q23" s="358"/>
      <c r="R23" s="358"/>
      <c r="S23" s="359" t="str">
        <f t="shared" ref="S23:Z23" si="19">IFERROR(AVERAGE(S17:S22),"n/a ")</f>
        <v xml:space="preserve">n/a </v>
      </c>
      <c r="T23" s="359" t="str">
        <f t="shared" si="19"/>
        <v xml:space="preserve">n/a </v>
      </c>
      <c r="U23" s="359" t="str">
        <f t="shared" si="19"/>
        <v xml:space="preserve">n/a </v>
      </c>
      <c r="V23" s="359" t="str">
        <f t="shared" si="19"/>
        <v xml:space="preserve">n/a </v>
      </c>
      <c r="W23" s="359" t="str">
        <f t="shared" si="19"/>
        <v xml:space="preserve">n/a </v>
      </c>
      <c r="X23" s="359" t="str">
        <f t="shared" si="19"/>
        <v xml:space="preserve">n/a </v>
      </c>
      <c r="Y23" s="359" t="str">
        <f t="shared" si="19"/>
        <v xml:space="preserve">n/a </v>
      </c>
      <c r="Z23" s="359" t="str">
        <f t="shared" si="19"/>
        <v xml:space="preserve">n/a </v>
      </c>
    </row>
    <row r="24" spans="2:35" ht="3" customHeight="1" x14ac:dyDescent="0.4">
      <c r="E24" s="354"/>
      <c r="F24" s="354"/>
      <c r="G24" s="354"/>
      <c r="H24" s="362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</row>
    <row r="25" spans="2:35" ht="16" customHeight="1" x14ac:dyDescent="0.4">
      <c r="E25" s="363" t="s">
        <v>103</v>
      </c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4" t="str">
        <f t="shared" ref="S25:Z25" si="20">IFERROR(AVERAGE(S17:S22,S8:S13),"n/a ")</f>
        <v xml:space="preserve">n/a </v>
      </c>
      <c r="T25" s="364" t="str">
        <f t="shared" si="20"/>
        <v xml:space="preserve">n/a </v>
      </c>
      <c r="U25" s="364" t="str">
        <f t="shared" si="20"/>
        <v xml:space="preserve">n/a </v>
      </c>
      <c r="V25" s="364" t="str">
        <f t="shared" si="20"/>
        <v xml:space="preserve">n/a </v>
      </c>
      <c r="W25" s="364" t="str">
        <f t="shared" si="20"/>
        <v xml:space="preserve">n/a </v>
      </c>
      <c r="X25" s="364" t="str">
        <f t="shared" si="20"/>
        <v xml:space="preserve">n/a </v>
      </c>
      <c r="Y25" s="364" t="str">
        <f t="shared" si="20"/>
        <v xml:space="preserve">n/a </v>
      </c>
      <c r="Z25" s="364" t="str">
        <f t="shared" si="20"/>
        <v xml:space="preserve">n/a </v>
      </c>
    </row>
    <row r="26" spans="2:35" ht="16" customHeight="1" x14ac:dyDescent="0.4">
      <c r="E26" s="365" t="s">
        <v>105</v>
      </c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6" t="str">
        <f t="shared" ref="S26:Z26" si="21">IFERROR(MEDIAN(S17:S22,S8:S13),"n/a ")</f>
        <v xml:space="preserve">n/a </v>
      </c>
      <c r="T26" s="366" t="str">
        <f t="shared" si="21"/>
        <v xml:space="preserve">n/a </v>
      </c>
      <c r="U26" s="366" t="str">
        <f t="shared" si="21"/>
        <v xml:space="preserve">n/a </v>
      </c>
      <c r="V26" s="366" t="str">
        <f t="shared" si="21"/>
        <v xml:space="preserve">n/a </v>
      </c>
      <c r="W26" s="366" t="str">
        <f t="shared" si="21"/>
        <v xml:space="preserve">n/a </v>
      </c>
      <c r="X26" s="366" t="str">
        <f t="shared" si="21"/>
        <v xml:space="preserve">n/a </v>
      </c>
      <c r="Y26" s="366" t="str">
        <f t="shared" si="21"/>
        <v xml:space="preserve">n/a </v>
      </c>
      <c r="Z26" s="366" t="str">
        <f t="shared" si="21"/>
        <v xml:space="preserve">n/a </v>
      </c>
    </row>
    <row r="27" spans="2:35" ht="3" customHeight="1" x14ac:dyDescent="0.4">
      <c r="E27" s="367"/>
    </row>
    <row r="29" spans="2:35" ht="16" customHeight="1" x14ac:dyDescent="0.6">
      <c r="E29" s="368" t="s">
        <v>106</v>
      </c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70" t="str">
        <f>IFERROR(_xlfn.PERCENTILE.INC((S8:S13,S17:S22),0.25),"n/a ")</f>
        <v xml:space="preserve">n/a </v>
      </c>
      <c r="T29" s="370" t="str">
        <f>IFERROR(_xlfn.PERCENTILE.INC((T8:T13,T17:T22),0.25),"n/a ")</f>
        <v xml:space="preserve">n/a </v>
      </c>
      <c r="U29" s="370" t="str">
        <f>IFERROR(_xlfn.PERCENTILE.INC((U8:U13,U17:U22),0.25),"n/a ")</f>
        <v xml:space="preserve">n/a </v>
      </c>
      <c r="V29" s="370" t="str">
        <f>IFERROR(_xlfn.PERCENTILE.INC((V8:V13,V17:V22),0.25),"n/a ")</f>
        <v xml:space="preserve">n/a </v>
      </c>
      <c r="W29" s="370" t="str">
        <f>IFERROR(_xlfn.PERCENTILE.INC((W8:W13,W17:W22),0.25),"n/a ")</f>
        <v xml:space="preserve">n/a </v>
      </c>
      <c r="X29" s="370" t="str">
        <f>IFERROR(_xlfn.PERCENTILE.INC((X8:X13,X17:X22),0.25),"n/a ")</f>
        <v xml:space="preserve">n/a </v>
      </c>
      <c r="Y29" s="370" t="str">
        <f>IFERROR(_xlfn.PERCENTILE.INC((Y8:Y13,Y17:Y22),0.25),"n/a ")</f>
        <v xml:space="preserve">n/a </v>
      </c>
      <c r="Z29" s="370" t="str">
        <f>IFERROR(_xlfn.PERCENTILE.INC((Z8:Z13,Z17:Z22),0.25),"n/a ")</f>
        <v xml:space="preserve">n/a </v>
      </c>
    </row>
    <row r="30" spans="2:35" ht="16" customHeight="1" x14ac:dyDescent="0.6">
      <c r="E30" s="371" t="s">
        <v>107</v>
      </c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0" t="str">
        <f>IFERROR(_xlfn.PERCENTILE.INC((S8:S13,S17:S22),0.75),"n/a ")</f>
        <v xml:space="preserve">n/a </v>
      </c>
      <c r="T30" s="370" t="str">
        <f>IFERROR(_xlfn.PERCENTILE.INC((T8:T13,T17:T22),0.75),"n/a ")</f>
        <v xml:space="preserve">n/a </v>
      </c>
      <c r="U30" s="370" t="str">
        <f>IFERROR(_xlfn.PERCENTILE.INC((U8:U13,U17:U22),0.75),"n/a ")</f>
        <v xml:space="preserve">n/a </v>
      </c>
      <c r="V30" s="370" t="str">
        <f>IFERROR(_xlfn.PERCENTILE.INC((V8:V13,V17:V22),0.75),"n/a ")</f>
        <v xml:space="preserve">n/a </v>
      </c>
      <c r="W30" s="370" t="str">
        <f>IFERROR(_xlfn.PERCENTILE.INC((W8:W13,W17:W22),0.75),"n/a ")</f>
        <v xml:space="preserve">n/a </v>
      </c>
      <c r="X30" s="370" t="str">
        <f>IFERROR(_xlfn.PERCENTILE.INC((X8:X13,X17:X22),0.75),"n/a ")</f>
        <v xml:space="preserve">n/a </v>
      </c>
      <c r="Y30" s="370" t="str">
        <f>IFERROR(_xlfn.PERCENTILE.INC((Y8:Y13,Y17:Y22),0.75),"n/a ")</f>
        <v xml:space="preserve">n/a </v>
      </c>
      <c r="Z30" s="370" t="str">
        <f>IFERROR(_xlfn.PERCENTILE.INC((Z8:Z13,Z17:Z22),0.75),"n/a ")</f>
        <v xml:space="preserve">n/a 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29</vt:i4>
      </vt:variant>
    </vt:vector>
  </HeadingPairs>
  <TitlesOfParts>
    <vt:vector size="34" baseType="lpstr">
      <vt:lpstr>captable</vt:lpstr>
      <vt:lpstr>comps</vt:lpstr>
      <vt:lpstr>Ownership</vt:lpstr>
      <vt:lpstr>Bloomberg Output</vt:lpstr>
      <vt:lpstr>precedents</vt:lpstr>
      <vt:lpstr>captable!infor_basic_shares</vt:lpstr>
      <vt:lpstr>captable!infor_cap_output_ccy</vt:lpstr>
      <vt:lpstr>captable!infor_cap_picture_range</vt:lpstr>
      <vt:lpstr>captable!infor_cap_share_inputs</vt:lpstr>
      <vt:lpstr>captable!infor_cap_ticker</vt:lpstr>
      <vt:lpstr>comps!infor_comps_group1_block</vt:lpstr>
      <vt:lpstr>comps!infor_comps_group1_label</vt:lpstr>
      <vt:lpstr>comps!infor_comps_group2_block</vt:lpstr>
      <vt:lpstr>comps!infor_comps_group2_label</vt:lpstr>
      <vt:lpstr>comps!infor_comps_group3_block</vt:lpstr>
      <vt:lpstr>comps!infor_comps_group3_label</vt:lpstr>
      <vt:lpstr>comps!infor_comps_output_ccy</vt:lpstr>
      <vt:lpstr>captable!infor_fx_rate</vt:lpstr>
      <vt:lpstr>captable!infor_ltm_ebitda_valuation</vt:lpstr>
      <vt:lpstr>captable!infor_ltm_revenue_valuation</vt:lpstr>
      <vt:lpstr>'Bloomberg Output'!infor_own_bbg_holder_block</vt:lpstr>
      <vt:lpstr>Ownership!infor_own_bbg_link_block</vt:lpstr>
      <vt:lpstr>Ownership!infor_own_insider_block</vt:lpstr>
      <vt:lpstr>Ownership!infor_own_insiders_picture_range</vt:lpstr>
      <vt:lpstr>Ownership!infor_own_institutions_picture_range</vt:lpstr>
      <vt:lpstr>Ownership!infor_own_total_shares</vt:lpstr>
      <vt:lpstr>precedents!infor_prec_group1_block</vt:lpstr>
      <vt:lpstr>precedents!infor_prec_group1_label</vt:lpstr>
      <vt:lpstr>precedents!infor_prec_group2_block</vt:lpstr>
      <vt:lpstr>precedents!infor_prec_group2_label</vt:lpstr>
      <vt:lpstr>precedents!infor_prec_output_ccy</vt:lpstr>
      <vt:lpstr>captable!infor_share_price</vt:lpstr>
      <vt:lpstr>captable!Print_Area</vt:lpstr>
      <vt:lpstr>comps!Print_Area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 Wilson</dc:creator>
  <cp:lastModifiedBy>Tate Wilson</cp:lastModifiedBy>
  <dcterms:created xsi:type="dcterms:W3CDTF">2026-07-28T15:35:24Z</dcterms:created>
  <dcterms:modified xsi:type="dcterms:W3CDTF">2026-07-28T15:35:29Z</dcterms:modified>
</cp:coreProperties>
</file>