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455" yWindow="-16320" windowWidth="29040" windowHeight="15720" tabRatio="600" firstSheet="0" activeTab="0" autoFilterDateGrouping="1"/>
  </bookViews>
  <sheets>
    <sheet xmlns:r="http://schemas.openxmlformats.org/officeDocument/2006/relationships" name="Ownership" sheetId="1" state="visible" r:id="rId1"/>
    <sheet xmlns:r="http://schemas.openxmlformats.org/officeDocument/2006/relationships" name="Bloomberg Output" sheetId="2" state="visible" r:id="rId2"/>
  </sheets>
  <definedNames/>
  <calcPr calcId="191029" calcMode="manual" fullCalcOnLoad="1" iterate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,_);\(#,##0,\);&quot;-- &quot;"/>
    <numFmt numFmtId="166" formatCode="#,##0.0,_);\(#,##0.0,\);&quot;-- &quot;"/>
    <numFmt numFmtId="167" formatCode="#,##0_);\(#,##0\);&quot;-- &quot;"/>
  </numFmts>
  <fonts count="2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Palatino Linotype"/>
      <family val="1"/>
      <color theme="1"/>
      <sz val="10"/>
    </font>
    <font>
      <name val="Palatino Linotype"/>
      <family val="1"/>
      <b val="1"/>
      <color theme="0"/>
      <sz val="12"/>
    </font>
    <font>
      <name val="Palatino Linotype"/>
      <family val="1"/>
      <b val="1"/>
      <color theme="0"/>
      <sz val="10"/>
    </font>
    <font>
      <name val="Palatino Linotype"/>
      <family val="1"/>
      <b val="1"/>
      <color theme="1"/>
      <sz val="10"/>
    </font>
    <font>
      <name val="Palatino Linotype"/>
      <family val="1"/>
      <i val="1"/>
      <color theme="1"/>
      <sz val="10"/>
    </font>
    <font>
      <name val="Palatino Linotype"/>
      <family val="1"/>
      <color rgb="FF0000FF"/>
      <sz val="10"/>
    </font>
    <font>
      <name val="Palatino Linotype"/>
      <family val="1"/>
      <color rgb="FF000000"/>
      <sz val="10"/>
    </font>
    <font>
      <name val="Palatino Linotype"/>
      <family val="1"/>
      <b val="1"/>
      <i val="1"/>
      <color theme="1"/>
      <sz val="10"/>
    </font>
    <font>
      <name val="Palatino Linotype"/>
      <family val="1"/>
      <b val="1"/>
      <color rgb="FF000000"/>
      <sz val="10"/>
    </font>
    <font>
      <name val="Palatino Linotype"/>
      <family val="1"/>
      <b val="1"/>
      <i val="1"/>
      <color theme="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color rgb="FF000000"/>
      <sz val="11"/>
    </font>
    <font>
      <name val="Palatino Linotype"/>
      <family val="1"/>
      <color rgb="FF008000"/>
      <sz val="10"/>
    </font>
    <font>
      <name val="Arial"/>
      <family val="2"/>
      <color theme="1"/>
      <sz val="9"/>
    </font>
    <font>
      <name val="Calibri"/>
      <family val="2"/>
      <b val="1"/>
      <color indexed="9"/>
      <sz val="11"/>
    </font>
    <font>
      <name val="Palatino Linotype"/>
      <family val="1"/>
      <b val="1"/>
      <color rgb="FFFFFFFF"/>
      <sz val="10"/>
    </font>
    <font>
      <name val="Palatino Linotype"/>
      <family val="1"/>
      <b val="1"/>
      <color theme="0"/>
      <sz val="11"/>
    </font>
    <font>
      <name val="Palatino Linotype"/>
      <family val="1"/>
      <color theme="1"/>
      <sz val="11"/>
    </font>
    <font>
      <name val="Palatino Linotype"/>
      <family val="1"/>
      <b val="1"/>
      <color theme="1"/>
      <sz val="11"/>
    </font>
    <font>
      <name val="Palatino Linotype"/>
      <family val="1"/>
      <color theme="0"/>
      <sz val="10"/>
    </font>
    <font>
      <name val="Palatino Linotype"/>
      <family val="1"/>
      <color rgb="FFFFFFFF"/>
      <sz val="10"/>
    </font>
    <font>
      <name val="Palatino Linotype"/>
      <family val="1"/>
      <i val="1"/>
      <color rgb="FF000000"/>
      <sz val="10"/>
    </font>
  </fonts>
  <fills count="1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5E3E3"/>
        <bgColor rgb="FF000000"/>
      </patternFill>
    </fill>
    <fill>
      <patternFill patternType="solid">
        <fgColor theme="9" tint="0.7999816888943144"/>
        <bgColor indexed="64"/>
      </patternFill>
    </fill>
    <fill>
      <gradientFill type="linear">
        <stop position="0">
          <color theme="4" tint="0.5999938962981048"/>
        </stop>
        <stop position="0.5">
          <color theme="4" tint="0.8000122074037904"/>
        </stop>
        <stop position="1">
          <color theme="4" tint="0.5999938962981048"/>
        </stop>
      </gradientFill>
    </fill>
    <fill>
      <gradientFill type="linear">
        <stop position="0">
          <color rgb="FFFCD5B4"/>
        </stop>
        <stop position="0.5">
          <color rgb="FFFDE9D9"/>
        </stop>
        <stop position="1">
          <color rgb="FFFCD5B4"/>
        </stop>
      </gradientFill>
    </fill>
    <fill>
      <gradientFill type="linear"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patternFill patternType="solid">
        <fgColor rgb="FFFFFFC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0E213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8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indexed="8"/>
      </top>
      <bottom/>
      <diagonal/>
    </border>
    <border>
      <left style="thin">
        <color theme="0"/>
      </left>
      <right/>
      <top style="thin">
        <color indexed="8"/>
      </top>
      <bottom/>
      <diagonal/>
    </border>
    <border>
      <left style="thin">
        <color rgb="FFFFFFFF"/>
      </left>
      <right style="thin">
        <color theme="0"/>
      </right>
      <top style="thin">
        <color indexed="8"/>
      </top>
      <bottom/>
      <diagonal/>
    </border>
    <border>
      <left style="thin">
        <color theme="0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8DB4E2"/>
      </bottom>
      <diagonal/>
    </border>
    <border>
      <left/>
      <right/>
      <top style="thin">
        <color rgb="FF000000"/>
      </top>
      <bottom style="thin">
        <color rgb="FF8DB4E2"/>
      </bottom>
      <diagonal/>
    </border>
    <border>
      <left style="thin">
        <color rgb="FF8DB4E2"/>
      </left>
      <right/>
      <top style="thin">
        <color rgb="FF000000"/>
      </top>
      <bottom style="thin">
        <color rgb="FF8DB4E2"/>
      </bottom>
      <diagonal/>
    </border>
    <border>
      <left style="thin">
        <color rgb="FF8DB4E2"/>
      </left>
      <right style="thin">
        <color rgb="FF8DB4E2"/>
      </right>
      <top style="thin">
        <color rgb="FF000000"/>
      </top>
      <bottom style="thin">
        <color rgb="FF8DB4E2"/>
      </bottom>
      <diagonal/>
    </border>
    <border>
      <left style="thin">
        <color rgb="FF8DB4E2"/>
      </left>
      <right style="thin">
        <color rgb="FF000000"/>
      </right>
      <top style="thin">
        <color rgb="FF000000"/>
      </top>
      <bottom style="thin">
        <color rgb="FF8DB4E2"/>
      </bottom>
      <diagonal/>
    </border>
    <border>
      <left style="thin">
        <color rgb="FF000000"/>
      </left>
      <right/>
      <top style="thin">
        <color rgb="FF8DB4E2"/>
      </top>
      <bottom style="thin">
        <color rgb="FF8DB4E2"/>
      </bottom>
      <diagonal/>
    </border>
    <border>
      <left/>
      <right/>
      <top style="thin">
        <color rgb="FF8DB4E2"/>
      </top>
      <bottom style="thin">
        <color rgb="FF8DB4E2"/>
      </bottom>
      <diagonal/>
    </border>
    <border>
      <left style="thin">
        <color rgb="FF8DB4E2"/>
      </left>
      <right/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thin">
        <color rgb="FF000000"/>
      </right>
      <top style="thin">
        <color rgb="FF8DB4E2"/>
      </top>
      <bottom style="thin">
        <color rgb="FF8DB4E2"/>
      </bottom>
      <diagonal/>
    </border>
    <border>
      <left style="thin">
        <color rgb="FF000000"/>
      </left>
      <right/>
      <top style="thin">
        <color rgb="FF8DB4E2"/>
      </top>
      <bottom style="thin">
        <color rgb="FF000000"/>
      </bottom>
      <diagonal/>
    </border>
    <border>
      <left/>
      <right/>
      <top style="thin">
        <color rgb="FF8DB4E2"/>
      </top>
      <bottom style="thin">
        <color rgb="FF000000"/>
      </bottom>
      <diagonal/>
    </border>
    <border>
      <left style="thin">
        <color rgb="FF8DB4E2"/>
      </left>
      <right/>
      <top style="thin">
        <color rgb="FF8DB4E2"/>
      </top>
      <bottom style="thin">
        <color rgb="FF000000"/>
      </bottom>
      <diagonal/>
    </border>
    <border>
      <left style="thin">
        <color rgb="FF8DB4E2"/>
      </left>
      <right style="thin">
        <color rgb="FF8DB4E2"/>
      </right>
      <top style="thin">
        <color rgb="FF8DB4E2"/>
      </top>
      <bottom style="thin">
        <color rgb="FF000000"/>
      </bottom>
      <diagonal/>
    </border>
    <border>
      <left style="thin">
        <color rgb="FF8DB4E2"/>
      </left>
      <right style="thin">
        <color rgb="FF000000"/>
      </right>
      <top style="thin">
        <color rgb="FF8DB4E2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8"/>
      </top>
      <bottom style="thin">
        <color rgb="FF000000"/>
      </bottom>
      <diagonal/>
    </border>
    <border>
      <left/>
      <right/>
      <top style="thin">
        <color indexed="8"/>
      </top>
      <bottom style="thin">
        <color rgb="FF000000"/>
      </bottom>
      <diagonal/>
    </border>
    <border>
      <left/>
      <right style="thin">
        <color theme="0"/>
      </right>
      <top style="thin">
        <color indexed="8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theme="0"/>
      </right>
      <top style="thin">
        <color indexed="8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theme="0"/>
      </left>
      <right style="thin">
        <color theme="0"/>
      </right>
      <top style="thin">
        <color indexed="8"/>
      </top>
      <bottom style="thin">
        <color rgb="FF000000"/>
      </bottom>
      <diagonal/>
    </border>
  </borders>
  <cellStyleXfs count="7">
    <xf numFmtId="0" fontId="1" fillId="0" borderId="0"/>
    <xf numFmtId="9" fontId="1" fillId="0" borderId="0"/>
    <xf numFmtId="0" fontId="1" fillId="0" borderId="0"/>
    <xf numFmtId="0" fontId="20" fillId="0" borderId="0"/>
    <xf numFmtId="0" fontId="21" fillId="11" borderId="0"/>
    <xf numFmtId="0" fontId="18" fillId="0" borderId="0"/>
    <xf numFmtId="0" fontId="1" fillId="0" borderId="0"/>
  </cellStyleXfs>
  <cellXfs count="13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164" fontId="4" fillId="3" borderId="0" applyAlignment="1" pivotButton="0" quotePrefix="0" xfId="1">
      <alignment horizontal="right" vertical="center"/>
    </xf>
    <xf numFmtId="0" fontId="4" fillId="3" borderId="0" applyAlignment="1" pivotButton="0" quotePrefix="0" xfId="0">
      <alignment horizontal="right" vertical="center"/>
    </xf>
    <xf numFmtId="164" fontId="4" fillId="0" borderId="0" applyAlignment="1" pivotButton="0" quotePrefix="0" xfId="1">
      <alignment horizontal="righ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indent="1"/>
    </xf>
    <xf numFmtId="0" fontId="14" fillId="0" borderId="0" applyAlignment="1" pivotButton="0" quotePrefix="0" xfId="0">
      <alignment horizontal="right" indent="1"/>
    </xf>
    <xf numFmtId="0" fontId="15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top"/>
    </xf>
    <xf numFmtId="0" fontId="14" fillId="0" borderId="0" pivotButton="0" quotePrefix="0" xfId="0"/>
    <xf numFmtId="0" fontId="16" fillId="9" borderId="3" applyAlignment="1" pivotButton="0" quotePrefix="0" xfId="0">
      <alignment horizontal="center" vertical="center"/>
    </xf>
    <xf numFmtId="0" fontId="16" fillId="9" borderId="4" applyAlignment="1" pivotButton="0" quotePrefix="0" xfId="0">
      <alignment horizontal="center" vertical="center"/>
    </xf>
    <xf numFmtId="0" fontId="16" fillId="9" borderId="5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 indent="1"/>
    </xf>
    <xf numFmtId="0" fontId="14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3" fontId="17" fillId="0" borderId="10" pivotButton="0" quotePrefix="0" xfId="0"/>
    <xf numFmtId="14" fontId="17" fillId="0" borderId="10" pivotButton="0" quotePrefix="0" xfId="0"/>
    <xf numFmtId="0" fontId="0" fillId="0" borderId="10" pivotButton="0" quotePrefix="0" xfId="0"/>
    <xf numFmtId="0" fontId="17" fillId="0" borderId="10" pivotButton="0" quotePrefix="0" xfId="0"/>
    <xf numFmtId="0" fontId="17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3" fontId="17" fillId="0" borderId="15" pivotButton="0" quotePrefix="0" xfId="0"/>
    <xf numFmtId="14" fontId="17" fillId="0" borderId="15" pivotButton="0" quotePrefix="0" xfId="0"/>
    <xf numFmtId="0" fontId="0" fillId="0" borderId="15" pivotButton="0" quotePrefix="0" xfId="0"/>
    <xf numFmtId="0" fontId="17" fillId="0" borderId="15" pivotButton="0" quotePrefix="0" xfId="0"/>
    <xf numFmtId="0" fontId="17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3" fontId="17" fillId="0" borderId="20" pivotButton="0" quotePrefix="0" xfId="0"/>
    <xf numFmtId="14" fontId="17" fillId="0" borderId="20" pivotButton="0" quotePrefix="0" xfId="0"/>
    <xf numFmtId="0" fontId="0" fillId="0" borderId="20" pivotButton="0" quotePrefix="0" xfId="0"/>
    <xf numFmtId="0" fontId="17" fillId="0" borderId="20" pivotButton="0" quotePrefix="0" xfId="0"/>
    <xf numFmtId="0" fontId="17" fillId="0" borderId="21" pivotButton="0" quotePrefix="0" xfId="0"/>
    <xf numFmtId="0" fontId="22" fillId="12" borderId="0" applyAlignment="1" pivotButton="0" quotePrefix="0" xfId="0">
      <alignment vertical="center"/>
    </xf>
    <xf numFmtId="0" fontId="27" fillId="12" borderId="0" applyAlignment="1" pivotButton="0" quotePrefix="0" xfId="0">
      <alignment vertical="center"/>
    </xf>
    <xf numFmtId="164" fontId="22" fillId="12" borderId="0" applyAlignment="1" pivotButton="0" quotePrefix="0" xfId="1">
      <alignment vertical="center"/>
    </xf>
    <xf numFmtId="0" fontId="4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Continuous" vertical="center"/>
    </xf>
    <xf numFmtId="0" fontId="2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center"/>
    </xf>
    <xf numFmtId="0" fontId="2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right" vertical="center"/>
    </xf>
    <xf numFmtId="166" fontId="8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right" vertical="center"/>
    </xf>
    <xf numFmtId="165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vertical="center"/>
    </xf>
    <xf numFmtId="167" fontId="7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vertical="center"/>
    </xf>
    <xf numFmtId="165" fontId="5" fillId="0" borderId="0" applyAlignment="1" pivotButton="0" quotePrefix="0" xfId="0">
      <alignment horizontal="right" vertical="center"/>
    </xf>
    <xf numFmtId="164" fontId="9" fillId="0" borderId="0" applyAlignment="1" pivotButton="0" quotePrefix="0" xfId="1">
      <alignment horizontal="right" vertical="center"/>
    </xf>
    <xf numFmtId="164" fontId="2" fillId="0" borderId="0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9" fillId="4" borderId="1" applyAlignment="1" pivotButton="0" quotePrefix="0" xfId="1">
      <alignment horizontal="right" vertical="center"/>
    </xf>
    <xf numFmtId="165" fontId="5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165" fontId="4" fillId="0" borderId="0" applyAlignment="1" pivotButton="0" quotePrefix="0" xfId="0">
      <alignment horizontal="right" vertical="center"/>
    </xf>
    <xf numFmtId="164" fontId="11" fillId="0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164" fontId="2" fillId="0" borderId="0" applyAlignment="1" pivotButton="0" quotePrefix="0" xfId="1">
      <alignment horizontal="left" vertical="center"/>
    </xf>
    <xf numFmtId="164" fontId="6" fillId="0" borderId="0" applyAlignment="1" pivotButton="0" quotePrefix="0" xfId="1">
      <alignment vertical="center"/>
    </xf>
    <xf numFmtId="3" fontId="2" fillId="0" borderId="0" applyAlignment="1" pivotButton="0" quotePrefix="0" xfId="0">
      <alignment vertical="center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0">
      <alignment vertical="center"/>
    </xf>
    <xf numFmtId="9" fontId="6" fillId="0" borderId="0" applyAlignment="1" pivotButton="0" quotePrefix="0" xfId="1">
      <alignment vertical="center"/>
    </xf>
    <xf numFmtId="0" fontId="4" fillId="2" borderId="0" applyAlignment="1" pivotButton="0" quotePrefix="0" xfId="0">
      <alignment vertical="center"/>
    </xf>
    <xf numFmtId="164" fontId="4" fillId="2" borderId="0" applyAlignment="1" pivotButton="0" quotePrefix="0" xfId="1">
      <alignment vertical="center"/>
    </xf>
    <xf numFmtId="165" fontId="7" fillId="0" borderId="0" applyAlignment="1" pivotButton="0" quotePrefix="0" xfId="0">
      <alignment horizontal="right" vertical="center"/>
    </xf>
    <xf numFmtId="15" fontId="7" fillId="0" borderId="0" applyAlignment="1" pivotButton="0" quotePrefix="0" xfId="0">
      <alignment horizontal="right" vertical="center"/>
    </xf>
    <xf numFmtId="167" fontId="8" fillId="10" borderId="22" applyAlignment="1" pivotButton="0" quotePrefix="0" xfId="0">
      <alignment horizontal="right" vertical="center"/>
    </xf>
    <xf numFmtId="3" fontId="8" fillId="0" borderId="0" applyAlignment="1" pivotButton="0" quotePrefix="0" xfId="0">
      <alignment vertical="center"/>
    </xf>
    <xf numFmtId="167" fontId="8" fillId="0" borderId="0" applyAlignment="1" pivotButton="0" quotePrefix="0" xfId="0">
      <alignment horizontal="right" vertical="center"/>
    </xf>
    <xf numFmtId="167" fontId="7" fillId="10" borderId="22" applyAlignment="1" pivotButton="0" quotePrefix="0" xfId="0">
      <alignment horizontal="right" vertical="center"/>
    </xf>
    <xf numFmtId="0" fontId="19" fillId="0" borderId="0" applyAlignment="1" pivotButton="0" quotePrefix="0" xfId="0">
      <alignment vertical="center"/>
    </xf>
    <xf numFmtId="3" fontId="19" fillId="0" borderId="0" applyAlignment="1" pivotButton="0" quotePrefix="0" xfId="0">
      <alignment vertical="center"/>
    </xf>
    <xf numFmtId="167" fontId="8" fillId="13" borderId="24" applyAlignment="1" pivotButton="0" quotePrefix="0" xfId="0">
      <alignment horizontal="right" vertical="center"/>
    </xf>
    <xf numFmtId="3" fontId="8" fillId="0" borderId="2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7" fontId="8" fillId="10" borderId="25" applyAlignment="1" pivotButton="0" quotePrefix="0" xfId="0">
      <alignment horizontal="right" vertical="center"/>
    </xf>
    <xf numFmtId="167" fontId="8" fillId="10" borderId="26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/>
    </xf>
    <xf numFmtId="164" fontId="6" fillId="0" borderId="0" applyAlignment="1" pivotButton="0" quotePrefix="0" xfId="1">
      <alignment vertical="center"/>
    </xf>
    <xf numFmtId="165" fontId="10" fillId="5" borderId="2" applyAlignment="1" pivotButton="0" quotePrefix="0" xfId="0">
      <alignment horizontal="right" vertical="center"/>
    </xf>
    <xf numFmtId="164" fontId="8" fillId="0" borderId="0" applyAlignment="1" pivotButton="0" quotePrefix="0" xfId="1">
      <alignment horizontal="right" vertical="center"/>
    </xf>
    <xf numFmtId="164" fontId="28" fillId="0" borderId="0" applyAlignment="1" pivotButton="0" quotePrefix="0" xfId="1">
      <alignment horizontal="right" vertical="center"/>
    </xf>
    <xf numFmtId="0" fontId="4" fillId="14" borderId="37" applyAlignment="1" pivotButton="0" quotePrefix="0" xfId="0">
      <alignment vertical="center"/>
    </xf>
    <xf numFmtId="164" fontId="11" fillId="14" borderId="37" applyAlignment="1" pivotButton="0" quotePrefix="0" xfId="1">
      <alignment horizontal="right" vertical="center"/>
    </xf>
    <xf numFmtId="165" fontId="8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35" pivotButton="0" quotePrefix="0" xfId="0"/>
    <xf numFmtId="0" fontId="13" fillId="8" borderId="32" applyAlignment="1" pivotButton="0" quotePrefix="0" xfId="0">
      <alignment horizontal="center" vertical="top"/>
    </xf>
    <xf numFmtId="0" fontId="13" fillId="8" borderId="36" applyAlignment="1" pivotButton="0" quotePrefix="0" xfId="0">
      <alignment horizontal="center" vertical="top"/>
    </xf>
    <xf numFmtId="0" fontId="0" fillId="6" borderId="34" pivotButton="0" quotePrefix="0" xfId="0"/>
    <xf numFmtId="0" fontId="0" fillId="6" borderId="35" pivotButton="0" quotePrefix="0" xfId="0"/>
    <xf numFmtId="0" fontId="13" fillId="8" borderId="33" applyAlignment="1" pivotButton="0" quotePrefix="0" xfId="0">
      <alignment horizontal="center" vertical="top"/>
    </xf>
    <xf numFmtId="0" fontId="0" fillId="6" borderId="30" pivotButton="0" quotePrefix="0" xfId="0"/>
    <xf numFmtId="0" fontId="0" fillId="6" borderId="31" pivotButton="0" quotePrefix="0" xfId="0"/>
    <xf numFmtId="0" fontId="16" fillId="9" borderId="27" applyAlignment="1" pivotButton="0" quotePrefix="0" xfId="0">
      <alignment horizontal="center" vertical="center"/>
    </xf>
    <xf numFmtId="0" fontId="16" fillId="9" borderId="28" applyAlignment="1" pivotButton="0" quotePrefix="0" xfId="0">
      <alignment horizontal="center" vertical="center"/>
    </xf>
    <xf numFmtId="0" fontId="16" fillId="9" borderId="29" applyAlignment="1" pivotButton="0" quotePrefix="0" xfId="0">
      <alignment horizontal="center" vertical="center"/>
    </xf>
    <xf numFmtId="0" fontId="0" fillId="7" borderId="34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66" fontId="8" fillId="0" borderId="0" applyAlignment="1" pivotButton="0" quotePrefix="0" xfId="0">
      <alignment vertical="center"/>
    </xf>
    <xf numFmtId="167" fontId="7" fillId="0" borderId="0" applyAlignment="1" pivotButton="0" quotePrefix="0" xfId="0">
      <alignment horizontal="right" vertical="center"/>
    </xf>
    <xf numFmtId="167" fontId="8" fillId="10" borderId="22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167" fontId="7" fillId="10" borderId="22" applyAlignment="1" pivotButton="0" quotePrefix="0" xfId="0">
      <alignment horizontal="right" vertical="center"/>
    </xf>
    <xf numFmtId="167" fontId="8" fillId="13" borderId="24" applyAlignment="1" pivotButton="0" quotePrefix="0" xfId="0">
      <alignment horizontal="right" vertical="center"/>
    </xf>
    <xf numFmtId="167" fontId="8" fillId="10" borderId="25" applyAlignment="1" pivotButton="0" quotePrefix="0" xfId="0">
      <alignment horizontal="right" vertical="center"/>
    </xf>
    <xf numFmtId="167" fontId="8" fillId="10" borderId="26" applyAlignment="1" pivotButton="0" quotePrefix="0" xfId="0">
      <alignment horizontal="right" vertical="center"/>
    </xf>
    <xf numFmtId="0" fontId="0" fillId="0" borderId="35" pivotButton="0" quotePrefix="0" xfId="0"/>
    <xf numFmtId="0" fontId="13" fillId="8" borderId="38" applyAlignment="1" pivotButton="0" quotePrefix="0" xfId="0">
      <alignment horizontal="center" vertical="top"/>
    </xf>
    <xf numFmtId="0" fontId="0" fillId="0" borderId="36" pivotButton="0" quotePrefix="0" xfId="0"/>
    <xf numFmtId="0" fontId="0" fillId="6" borderId="41" pivotButton="0" quotePrefix="0" xfId="0"/>
    <xf numFmtId="0" fontId="13" fillId="8" borderId="42" applyAlignment="1" pivotButton="0" quotePrefix="0" xfId="0">
      <alignment horizontal="center" vertical="top"/>
    </xf>
    <xf numFmtId="0" fontId="0" fillId="0" borderId="33" pivotButton="0" quotePrefix="0" xfId="0"/>
    <xf numFmtId="0" fontId="0" fillId="0" borderId="30" pivotButton="0" quotePrefix="0" xfId="0"/>
    <xf numFmtId="0" fontId="0" fillId="0" borderId="31" pivotButton="0" quotePrefix="0" xfId="0"/>
    <xf numFmtId="0" fontId="16" fillId="9" borderId="4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</cellXfs>
  <cellStyles count="7">
    <cellStyle name="Normal" xfId="0" builtinId="0"/>
    <cellStyle name="Percent" xfId="1" builtinId="5"/>
    <cellStyle name="Normal 2 2" xfId="2"/>
    <cellStyle name="Normal 5" xfId="3"/>
    <cellStyle name="blp_column_header" xfId="4"/>
    <cellStyle name="Normal 2" xfId="5"/>
    <cellStyle name="Normal 12" xfId="6"/>
  </cellStyles>
  <dxfs count="3">
    <dxf>
      <font>
        <color rgb="FFFF0000"/>
      </font>
    </dxf>
    <dxf>
      <font>
        <color rgb="FF00B050"/>
      </font>
    </dxf>
    <dxf>
      <numFmt numFmtId="168" formatCode="&quot;&lt;0.1%&quot;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absolute">
    <from>
      <col>1</col>
      <colOff>0</colOff>
      <row>1</row>
      <rowOff>0</rowOff>
    </from>
    <to>
      <col>4</col>
      <colOff>9525</colOff>
      <row>3</row>
      <rowOff>180975</rowOff>
    </to>
    <pic>
      <nvPicPr>
        <cNvPr id="2" name="Bloomber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3825" y="66675"/>
          <a:ext cx="1981200" cy="561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3</col>
      <colOff>703250</colOff>
      <row>1</row>
      <rowOff>0</rowOff>
    </from>
    <to>
      <col>14</col>
      <colOff>876605</colOff>
      <row>4</row>
      <rowOff>0</rowOff>
    </to>
    <pic>
      <nvPicPr>
        <cNvPr id="3" name="BannerTitl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017700" y="66675"/>
          <a:ext cx="9879330" cy="571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INFOR (New)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E213F"/>
      </a:accent1>
      <a:accent2>
        <a:srgbClr val="46566E"/>
      </a:accent2>
      <a:accent3>
        <a:srgbClr val="ADB9CA"/>
      </a:accent3>
      <a:accent4>
        <a:srgbClr val="A4844B"/>
      </a:accent4>
      <a:accent5>
        <a:srgbClr val="767171"/>
      </a:accent5>
      <a:accent6>
        <a:srgbClr val="E5E3E3"/>
      </a:accent6>
      <a:hlink>
        <a:srgbClr val="800000"/>
      </a:hlink>
      <a:folHlink>
        <a:srgbClr val="3333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CE214"/>
  <sheetViews>
    <sheetView showGridLines="0" tabSelected="1" zoomScaleNormal="100" workbookViewId="0">
      <selection activeCell="A1" sqref="A1"/>
    </sheetView>
  </sheetViews>
  <sheetFormatPr baseColWidth="8" defaultColWidth="8.83984375" defaultRowHeight="14.4"/>
  <cols>
    <col width="6.68359375" customWidth="1" style="1" min="1" max="1"/>
    <col width="18.68359375" customWidth="1" style="1" min="2" max="2"/>
    <col width="9.68359375" customWidth="1" style="1" min="3" max="5"/>
    <col width="10.83984375" customWidth="1" style="1" min="6" max="6"/>
    <col width="11.83984375" customWidth="1" style="97" min="7" max="7"/>
    <col width="10.68359375" customWidth="1" style="97" min="8" max="9"/>
    <col width="10.68359375" customWidth="1" style="1" min="10" max="11"/>
    <col width="8.83984375" customWidth="1" style="1" min="12" max="16"/>
    <col width="8.83984375" customWidth="1" style="1" min="17" max="18"/>
    <col width="8.83984375" customWidth="1" style="1" min="19" max="23"/>
    <col width="8.83984375" customWidth="1" style="1" min="24" max="16384"/>
  </cols>
  <sheetData>
    <row r="2" ht="18" customHeight="1">
      <c r="B2" s="105" t="inlineStr">
        <is>
          <t>Ownership</t>
        </is>
      </c>
      <c r="H2" s="45" t="n"/>
      <c r="I2" s="45" t="n"/>
      <c r="K2" s="46" t="n"/>
      <c r="L2" s="47" t="n"/>
      <c r="M2" s="47" t="n"/>
      <c r="N2" s="47" t="n"/>
      <c r="O2" s="45" t="n"/>
      <c r="P2" s="45" t="n"/>
      <c r="Q2" s="48" t="n"/>
      <c r="R2" s="48" t="n"/>
      <c r="S2" s="48" t="n"/>
      <c r="T2" s="48" t="n"/>
      <c r="U2" s="48" t="n"/>
      <c r="V2" s="48" t="n"/>
      <c r="W2" s="48" t="n"/>
    </row>
    <row r="3" ht="4" customHeight="1">
      <c r="B3" s="49" t="n"/>
      <c r="C3" s="49" t="n"/>
      <c r="D3" s="49" t="n"/>
      <c r="E3" s="49" t="n"/>
      <c r="F3" s="50" t="n"/>
      <c r="G3" s="52" t="n"/>
      <c r="H3" s="52" t="n"/>
      <c r="I3" s="52" t="n"/>
      <c r="K3" s="49" t="n"/>
      <c r="L3" s="49" t="n"/>
      <c r="M3" s="49" t="n"/>
      <c r="N3" s="49" t="n"/>
      <c r="O3" s="50" t="n"/>
      <c r="P3" s="52" t="n"/>
    </row>
    <row r="4" ht="21" customHeight="1">
      <c r="B4" s="2" t="inlineStr">
        <is>
          <t>Select Insiders</t>
        </is>
      </c>
      <c r="C4" s="2" t="n"/>
      <c r="D4" s="2" t="n"/>
      <c r="E4" s="2" t="n"/>
      <c r="F4" s="4" t="inlineStr">
        <is>
          <t xml:space="preserve">(000s) </t>
        </is>
      </c>
      <c r="G4" s="3" t="inlineStr">
        <is>
          <t xml:space="preserve">% </t>
        </is>
      </c>
      <c r="H4" s="7" t="n"/>
      <c r="I4" s="5" t="n"/>
      <c r="K4" s="53" t="n"/>
      <c r="L4" s="6" t="n"/>
      <c r="M4" s="6" t="n"/>
      <c r="N4" s="6" t="n"/>
      <c r="O4" s="7" t="n"/>
      <c r="P4" s="5" t="n"/>
      <c r="R4" s="49" t="n"/>
      <c r="S4" s="49" t="n"/>
    </row>
    <row r="5" ht="21" customHeight="1">
      <c r="A5" s="54" t="n">
        <v>1</v>
      </c>
      <c r="B5" s="1">
        <f>_xlfn.XLOOKUP(F5,$I$39:$I$178,$J$39:$J$178)</f>
        <v/>
      </c>
      <c r="F5" s="104">
        <f>LARGE($I$39:$I$65,A5)</f>
        <v/>
      </c>
      <c r="G5" s="101">
        <f>F5/$F$35</f>
        <v/>
      </c>
      <c r="H5" s="120" t="n"/>
      <c r="I5" s="58" t="n"/>
      <c r="K5" s="53" t="n"/>
      <c r="O5" s="59" t="n"/>
      <c r="P5" s="58" t="n"/>
      <c r="S5" s="60" t="n"/>
      <c r="U5" s="121" t="n"/>
    </row>
    <row r="6" ht="21" customHeight="1">
      <c r="A6" s="54" t="n">
        <v>2</v>
      </c>
      <c r="B6" s="1">
        <f>_xlfn.XLOOKUP(F6,$I$39:$I$178,$J$39:$J$178)</f>
        <v/>
      </c>
      <c r="F6" s="104">
        <f>LARGE($I$39:$I$65,A6)</f>
        <v/>
      </c>
      <c r="G6" s="58">
        <f>F6/$F$35</f>
        <v/>
      </c>
      <c r="H6" s="120" t="n"/>
      <c r="I6" s="58" t="n"/>
      <c r="K6" s="53" t="n"/>
      <c r="O6" s="59" t="n"/>
      <c r="P6" s="58" t="n"/>
      <c r="S6" s="60" t="n"/>
      <c r="U6" s="121" t="n"/>
    </row>
    <row r="7" ht="21" customHeight="1">
      <c r="A7" s="54" t="n">
        <v>3</v>
      </c>
      <c r="B7" s="1">
        <f>_xlfn.XLOOKUP(F7,$I$39:$I$178,$J$39:$J$178)</f>
        <v/>
      </c>
      <c r="F7" s="104">
        <f>LARGE($I$39:$I$65,A7)</f>
        <v/>
      </c>
      <c r="G7" s="58">
        <f>F7/$F$35</f>
        <v/>
      </c>
      <c r="H7" s="120" t="n"/>
      <c r="I7" s="58" t="n"/>
      <c r="K7" s="62" t="n"/>
      <c r="O7" s="59" t="n"/>
      <c r="P7" s="58" t="n"/>
      <c r="S7" s="60" t="n"/>
      <c r="U7" s="121" t="n"/>
    </row>
    <row r="8" ht="21" customHeight="1">
      <c r="A8" s="54" t="n">
        <v>4</v>
      </c>
      <c r="B8" s="1">
        <f>_xlfn.XLOOKUP(F8,$I$39:$I$178,$J$39:$J$178)</f>
        <v/>
      </c>
      <c r="F8" s="104">
        <f>LARGE($I$39:$I$65,A8)</f>
        <v/>
      </c>
      <c r="G8" s="58">
        <f>F8/$F$35</f>
        <v/>
      </c>
      <c r="H8" s="120" t="n"/>
      <c r="I8" s="58" t="n"/>
      <c r="K8" s="62" t="n"/>
      <c r="O8" s="59" t="n"/>
      <c r="P8" s="58" t="n"/>
      <c r="S8" s="60" t="n"/>
      <c r="U8" s="121" t="n"/>
    </row>
    <row r="9" ht="21" customHeight="1">
      <c r="A9" s="54" t="n">
        <v>5</v>
      </c>
      <c r="B9" s="1">
        <f>_xlfn.XLOOKUP(F9,$I$39:$I$178,$J$39:$J$178)</f>
        <v/>
      </c>
      <c r="F9" s="104">
        <f>LARGE($I$39:$I$65,A9)</f>
        <v/>
      </c>
      <c r="G9" s="58">
        <f>F9/$F$35</f>
        <v/>
      </c>
      <c r="H9" s="120" t="n"/>
      <c r="I9" s="58" t="n"/>
      <c r="K9" s="62" t="n"/>
      <c r="O9" s="59" t="n"/>
      <c r="P9" s="58" t="n"/>
      <c r="S9" s="60" t="n"/>
      <c r="U9" s="121" t="n"/>
    </row>
    <row r="10" ht="21" customHeight="1">
      <c r="A10" s="54" t="n">
        <v>6</v>
      </c>
      <c r="B10" s="1">
        <f>_xlfn.XLOOKUP(F10,$I$39:$I$178,$J$39:$J$178)</f>
        <v/>
      </c>
      <c r="F10" s="104">
        <f>LARGE($I$39:$I$65,A10)</f>
        <v/>
      </c>
      <c r="G10" s="58">
        <f>F10/$F$35</f>
        <v/>
      </c>
      <c r="H10" s="120" t="n"/>
      <c r="I10" s="58" t="n"/>
      <c r="K10" s="62" t="n"/>
      <c r="O10" s="59" t="n"/>
      <c r="P10" s="58" t="n"/>
      <c r="S10" s="60" t="n"/>
      <c r="U10" s="121" t="n"/>
    </row>
    <row r="11" ht="21" customHeight="1">
      <c r="A11" s="54" t="n">
        <v>7</v>
      </c>
      <c r="B11" s="1">
        <f>_xlfn.XLOOKUP(F11,$I$39:$I$178,$J$39:$J$178)</f>
        <v/>
      </c>
      <c r="F11" s="104">
        <f>LARGE($I$39:$I$65,A11)</f>
        <v/>
      </c>
      <c r="G11" s="58">
        <f>F11/$F$35</f>
        <v/>
      </c>
      <c r="H11" s="120" t="n"/>
      <c r="I11" s="58" t="n"/>
      <c r="K11" s="62" t="n"/>
      <c r="O11" s="59" t="n"/>
      <c r="P11" s="58" t="n"/>
      <c r="S11" s="60" t="n"/>
      <c r="U11" s="121" t="n"/>
    </row>
    <row r="12" ht="21" customHeight="1">
      <c r="A12" s="54" t="n">
        <v>8</v>
      </c>
      <c r="B12" s="1">
        <f>_xlfn.XLOOKUP(F12,$I$39:$I$178,$J$39:$J$178)</f>
        <v/>
      </c>
      <c r="F12" s="104">
        <f>LARGE($I$39:$I$65,A12)</f>
        <v/>
      </c>
      <c r="G12" s="58">
        <f>F12/$F$35</f>
        <v/>
      </c>
      <c r="H12" s="120" t="n"/>
      <c r="I12" s="58" t="n"/>
      <c r="K12" s="53" t="n"/>
      <c r="O12" s="59" t="n"/>
      <c r="P12" s="58" t="n"/>
      <c r="S12" s="60" t="n"/>
      <c r="U12" s="121" t="n"/>
    </row>
    <row r="13" ht="21" customHeight="1">
      <c r="A13" s="54" t="n">
        <v>9</v>
      </c>
      <c r="B13" s="1">
        <f>_xlfn.XLOOKUP(F13,$I$39:$I$178,$J$39:$J$178)</f>
        <v/>
      </c>
      <c r="F13" s="104">
        <f>LARGE($I$39:$I$65,A13)</f>
        <v/>
      </c>
      <c r="G13" s="58">
        <f>F13/$F$35</f>
        <v/>
      </c>
      <c r="H13" s="120" t="n"/>
      <c r="I13" s="58" t="n"/>
      <c r="K13" s="53" t="n"/>
      <c r="O13" s="59" t="n"/>
      <c r="P13" s="58" t="n"/>
      <c r="S13" s="60" t="n"/>
      <c r="U13" s="121" t="n"/>
    </row>
    <row r="14" ht="21" customHeight="1">
      <c r="A14" s="54" t="n">
        <v>10</v>
      </c>
      <c r="B14" s="1">
        <f>_xlfn.XLOOKUP(F14,$I$39:$I$178,$J$39:$J$178)</f>
        <v/>
      </c>
      <c r="F14" s="104">
        <f>LARGE($I$39:$I$65,A14)</f>
        <v/>
      </c>
      <c r="G14" s="58">
        <f>F14/$F$35</f>
        <v/>
      </c>
      <c r="H14" s="120" t="n"/>
      <c r="I14" s="58" t="n"/>
      <c r="K14" s="53" t="n"/>
      <c r="O14" s="59" t="n"/>
      <c r="P14" s="58" t="n"/>
      <c r="S14" s="60" t="n"/>
      <c r="U14" s="121" t="n"/>
    </row>
    <row r="15" ht="21" customHeight="1">
      <c r="A15" s="54" t="n">
        <v>11</v>
      </c>
      <c r="B15" s="1">
        <f>_xlfn.XLOOKUP(F15,$I$39:$I$178,$J$39:$J$178)</f>
        <v/>
      </c>
      <c r="F15" s="104">
        <f>LARGE($I$39:$I$65,A15)</f>
        <v/>
      </c>
      <c r="G15" s="58">
        <f>F15/$F$35</f>
        <v/>
      </c>
      <c r="H15" s="120" t="n"/>
      <c r="I15" s="58" t="n"/>
      <c r="K15" s="53" t="n"/>
      <c r="O15" s="59" t="n"/>
      <c r="P15" s="58" t="n"/>
      <c r="S15" s="60" t="n"/>
      <c r="U15" s="121" t="n"/>
    </row>
    <row r="16" ht="21" customHeight="1">
      <c r="A16" s="54" t="n">
        <v>12</v>
      </c>
      <c r="B16" s="1">
        <f>_xlfn.XLOOKUP(F16,$I$39:$I$178,$J$39:$J$178)</f>
        <v/>
      </c>
      <c r="F16" s="104">
        <f>LARGE($I$39:$I$65,A16)</f>
        <v/>
      </c>
      <c r="G16" s="58">
        <f>F16/$F$35</f>
        <v/>
      </c>
      <c r="H16" s="120" t="n"/>
      <c r="I16" s="58" t="n"/>
      <c r="K16" s="63" t="n"/>
      <c r="L16" s="49" t="n"/>
      <c r="M16" s="49" t="n"/>
      <c r="N16" s="49" t="n"/>
      <c r="O16" s="64" t="n"/>
      <c r="P16" s="65" t="n"/>
      <c r="Q16" s="66" t="n"/>
      <c r="S16" s="60" t="n"/>
      <c r="U16" s="121" t="n"/>
    </row>
    <row r="17" ht="21" customHeight="1">
      <c r="A17" s="54" t="n"/>
      <c r="B17" s="67" t="inlineStr">
        <is>
          <t>Subtotal</t>
        </is>
      </c>
      <c r="C17" s="67" t="n"/>
      <c r="D17" s="67" t="n"/>
      <c r="E17" s="67" t="n"/>
      <c r="F17" s="99">
        <f>SUM(F5:F16)</f>
        <v/>
      </c>
      <c r="G17" s="68">
        <f>F17/$F$35</f>
        <v/>
      </c>
      <c r="H17" s="120" t="n"/>
      <c r="I17" s="58" t="n"/>
      <c r="K17" s="63" t="n"/>
      <c r="L17" s="49" t="n"/>
      <c r="M17" s="49" t="n"/>
      <c r="N17" s="49" t="n"/>
      <c r="O17" s="64" t="n"/>
      <c r="P17" s="65" t="n"/>
      <c r="Q17" s="66" t="n"/>
      <c r="S17" s="60" t="n"/>
      <c r="U17" s="121" t="n"/>
    </row>
    <row r="18" ht="21" customHeight="1">
      <c r="B18" s="58" t="n"/>
      <c r="C18" s="58" t="n"/>
      <c r="D18" s="58" t="n"/>
      <c r="E18" s="58" t="n"/>
      <c r="F18" s="58" t="n"/>
      <c r="G18" s="58" t="n"/>
      <c r="H18" s="55" t="n"/>
      <c r="I18" s="58" t="n"/>
      <c r="K18" s="53" t="n"/>
      <c r="O18" s="59" t="n"/>
      <c r="P18" s="58" t="n"/>
      <c r="S18" s="60" t="n"/>
      <c r="U18" s="121" t="n"/>
    </row>
    <row r="19" ht="21" customHeight="1">
      <c r="B19" s="2" t="inlineStr">
        <is>
          <t>Select Institutions</t>
        </is>
      </c>
      <c r="C19" s="2" t="n"/>
      <c r="D19" s="2" t="n"/>
      <c r="E19" s="2" t="n"/>
      <c r="F19" s="4" t="inlineStr">
        <is>
          <t xml:space="preserve">(000s) </t>
        </is>
      </c>
      <c r="G19" s="3" t="inlineStr">
        <is>
          <t xml:space="preserve">% </t>
        </is>
      </c>
      <c r="H19" s="69" t="n"/>
      <c r="I19" s="65" t="n"/>
      <c r="K19" s="70" t="n"/>
      <c r="L19" s="6" t="n"/>
      <c r="M19" s="6" t="n"/>
      <c r="N19" s="6" t="n"/>
      <c r="O19" s="71" t="n"/>
      <c r="P19" s="72" t="n"/>
      <c r="S19" s="121" t="n"/>
      <c r="U19" s="121" t="n"/>
      <c r="W19" s="97" t="n"/>
    </row>
    <row r="20" ht="21" customHeight="1">
      <c r="A20" s="54" t="n">
        <v>1</v>
      </c>
      <c r="B20" s="1">
        <f>_xlfn.XLOOKUP(F20,$I$39:$I$178,$J$39:$J$178)</f>
        <v/>
      </c>
      <c r="F20" s="104">
        <f>LARGE($I$68:$I$185,A20)</f>
        <v/>
      </c>
      <c r="G20" s="101">
        <f>F20/$F$35</f>
        <v/>
      </c>
      <c r="H20" s="69" t="n"/>
      <c r="I20" s="65" t="n"/>
      <c r="K20" s="70" t="n"/>
      <c r="L20" s="6" t="n"/>
      <c r="M20" s="6" t="n"/>
      <c r="N20" s="6" t="n"/>
      <c r="O20" s="71" t="n"/>
      <c r="P20" s="72" t="n"/>
      <c r="S20" s="121" t="n"/>
      <c r="U20" s="121" t="n"/>
      <c r="W20" s="97" t="n"/>
    </row>
    <row r="21" ht="21" customHeight="1">
      <c r="A21" s="54" t="n">
        <v>2</v>
      </c>
      <c r="B21" s="1">
        <f>_xlfn.XLOOKUP(F21,$I$39:$I$178,$J$39:$J$178)</f>
        <v/>
      </c>
      <c r="F21" s="104">
        <f>LARGE($I$68:$I$185,A21)</f>
        <v/>
      </c>
      <c r="G21" s="58">
        <f>F21/$F$35</f>
        <v/>
      </c>
      <c r="H21" s="69" t="n"/>
      <c r="I21" s="65" t="n"/>
      <c r="K21" s="70" t="n"/>
      <c r="L21" s="6" t="n"/>
      <c r="M21" s="6" t="n"/>
      <c r="N21" s="6" t="n"/>
      <c r="O21" s="71" t="n"/>
      <c r="P21" s="72" t="n"/>
      <c r="S21" s="121" t="n"/>
      <c r="U21" s="121" t="n"/>
      <c r="W21" s="97" t="n"/>
    </row>
    <row r="22" ht="21" customHeight="1">
      <c r="A22" s="54" t="n">
        <v>3</v>
      </c>
      <c r="B22" s="1">
        <f>_xlfn.XLOOKUP(F22,$I$39:$I$178,$J$39:$J$178)</f>
        <v/>
      </c>
      <c r="F22" s="104">
        <f>LARGE($I$68:$I$185,A22)</f>
        <v/>
      </c>
      <c r="G22" s="58">
        <f>F22/$F$35</f>
        <v/>
      </c>
      <c r="H22" s="69" t="n"/>
      <c r="I22" s="65" t="n"/>
      <c r="K22" s="70" t="n"/>
      <c r="L22" s="6" t="n"/>
      <c r="M22" s="6" t="n"/>
      <c r="N22" s="6" t="n"/>
      <c r="O22" s="71" t="n"/>
      <c r="P22" s="72" t="n"/>
      <c r="S22" s="121" t="n"/>
      <c r="U22" s="121" t="n"/>
      <c r="W22" s="97" t="n"/>
    </row>
    <row r="23" ht="21" customHeight="1">
      <c r="A23" s="54" t="n">
        <v>4</v>
      </c>
      <c r="B23" s="1">
        <f>_xlfn.XLOOKUP(F23,$I$39:$I$178,$J$39:$J$178)</f>
        <v/>
      </c>
      <c r="F23" s="104">
        <f>LARGE($I$68:$I$185,A23)</f>
        <v/>
      </c>
      <c r="G23" s="58">
        <f>F23/$F$35</f>
        <v/>
      </c>
      <c r="H23" s="69" t="n"/>
      <c r="I23" s="65" t="n"/>
      <c r="K23" s="70" t="n"/>
      <c r="L23" s="6" t="n"/>
      <c r="M23" s="6" t="n"/>
      <c r="N23" s="6" t="n"/>
      <c r="O23" s="71" t="n"/>
      <c r="P23" s="72" t="n"/>
      <c r="S23" s="121" t="n"/>
      <c r="U23" s="121" t="n"/>
      <c r="W23" s="97" t="n"/>
    </row>
    <row r="24" ht="21" customHeight="1">
      <c r="A24" s="54" t="n">
        <v>5</v>
      </c>
      <c r="B24" s="1">
        <f>_xlfn.XLOOKUP(F24,$I$39:$I$178,$J$39:$J$178)</f>
        <v/>
      </c>
      <c r="F24" s="104">
        <f>LARGE($I$68:$I$185,A24)</f>
        <v/>
      </c>
      <c r="G24" s="58">
        <f>F24/$F$35</f>
        <v/>
      </c>
      <c r="H24" s="69" t="n"/>
      <c r="I24" s="65" t="n"/>
      <c r="K24" s="70" t="n"/>
      <c r="L24" s="6" t="n"/>
      <c r="M24" s="6" t="n"/>
      <c r="N24" s="6" t="n"/>
      <c r="O24" s="71" t="n"/>
      <c r="P24" s="72" t="n"/>
      <c r="S24" s="121" t="n"/>
      <c r="U24" s="121" t="n"/>
      <c r="W24" s="97" t="n"/>
    </row>
    <row r="25" ht="21" customHeight="1">
      <c r="A25" s="54" t="n">
        <v>6</v>
      </c>
      <c r="B25" s="1">
        <f>_xlfn.XLOOKUP(F25,$I$39:$I$178,$J$39:$J$178)</f>
        <v/>
      </c>
      <c r="F25" s="104">
        <f>LARGE($I$68:$I$185,A25)</f>
        <v/>
      </c>
      <c r="G25" s="58">
        <f>F25/$F$35</f>
        <v/>
      </c>
      <c r="H25" s="69" t="n"/>
      <c r="I25" s="65" t="n"/>
      <c r="K25" s="70" t="n"/>
      <c r="L25" s="6" t="n"/>
      <c r="M25" s="6" t="n"/>
      <c r="N25" s="6" t="n"/>
      <c r="O25" s="71" t="n"/>
      <c r="P25" s="72" t="n"/>
      <c r="S25" s="121" t="n"/>
      <c r="U25" s="121" t="n"/>
      <c r="W25" s="97" t="n"/>
    </row>
    <row r="26" ht="21" customHeight="1">
      <c r="A26" s="54" t="n">
        <v>7</v>
      </c>
      <c r="B26" s="1">
        <f>_xlfn.XLOOKUP(F26,$I$39:$I$178,$J$39:$J$178)</f>
        <v/>
      </c>
      <c r="F26" s="104">
        <f>LARGE($I$68:$I$185,A26)</f>
        <v/>
      </c>
      <c r="G26" s="58">
        <f>F26/$F$35</f>
        <v/>
      </c>
      <c r="H26" s="69" t="n"/>
      <c r="I26" s="65" t="n"/>
      <c r="K26" s="70" t="n"/>
      <c r="L26" s="6" t="n"/>
      <c r="M26" s="6" t="n"/>
      <c r="N26" s="6" t="n"/>
      <c r="O26" s="71" t="n"/>
      <c r="P26" s="72" t="n"/>
      <c r="S26" s="121" t="n"/>
      <c r="U26" s="121" t="n"/>
      <c r="W26" s="97" t="n"/>
    </row>
    <row r="27" ht="21" customHeight="1">
      <c r="A27" s="54" t="n">
        <v>8</v>
      </c>
      <c r="B27" s="1">
        <f>_xlfn.XLOOKUP(F27,$I$39:$I$178,$J$39:$J$178)</f>
        <v/>
      </c>
      <c r="F27" s="104">
        <f>LARGE($I$68:$I$185,A27)</f>
        <v/>
      </c>
      <c r="G27" s="58">
        <f>F27/$F$35</f>
        <v/>
      </c>
      <c r="H27" s="69" t="n"/>
      <c r="I27" s="65" t="n"/>
      <c r="K27" s="70" t="n"/>
      <c r="L27" s="6" t="n"/>
      <c r="M27" s="6" t="n"/>
      <c r="N27" s="6" t="n"/>
      <c r="O27" s="71" t="n"/>
      <c r="P27" s="72" t="n"/>
      <c r="S27" s="121" t="n"/>
      <c r="U27" s="121" t="n"/>
      <c r="W27" s="97" t="n"/>
    </row>
    <row r="28" ht="21" customHeight="1">
      <c r="A28" s="54" t="n">
        <v>9</v>
      </c>
      <c r="B28" s="1">
        <f>_xlfn.XLOOKUP(F28,$I$39:$I$178,$J$39:$J$178)</f>
        <v/>
      </c>
      <c r="F28" s="104">
        <f>LARGE($I$68:$I$185,A28)</f>
        <v/>
      </c>
      <c r="G28" s="58">
        <f>F28/$F$35</f>
        <v/>
      </c>
      <c r="H28" s="69" t="n"/>
      <c r="I28" s="65" t="n"/>
      <c r="K28" s="70" t="n"/>
      <c r="L28" s="6" t="n"/>
      <c r="M28" s="6" t="n"/>
      <c r="N28" s="6" t="n"/>
      <c r="O28" s="71" t="n"/>
      <c r="P28" s="72" t="n"/>
      <c r="S28" s="121" t="n"/>
      <c r="U28" s="121" t="n"/>
      <c r="W28" s="97" t="n"/>
    </row>
    <row r="29" ht="21" customHeight="1">
      <c r="A29" s="54" t="n">
        <v>10</v>
      </c>
      <c r="B29" s="1">
        <f>_xlfn.XLOOKUP(F29,$I$39:$I$178,$J$39:$J$178)</f>
        <v/>
      </c>
      <c r="F29" s="104">
        <f>LARGE($I$68:$I$185,A29)</f>
        <v/>
      </c>
      <c r="G29" s="58">
        <f>F29/$F$35</f>
        <v/>
      </c>
      <c r="H29" s="69" t="n"/>
      <c r="I29" s="65" t="n"/>
      <c r="K29" s="70" t="n"/>
      <c r="L29" s="6" t="n"/>
      <c r="M29" s="6" t="n"/>
      <c r="N29" s="6" t="n"/>
      <c r="O29" s="71" t="n"/>
      <c r="P29" s="72" t="n"/>
      <c r="S29" s="121" t="n"/>
      <c r="U29" s="121" t="n"/>
      <c r="W29" s="97" t="n"/>
    </row>
    <row r="30" ht="21" customHeight="1">
      <c r="A30" s="54" t="n">
        <v>11</v>
      </c>
      <c r="B30" s="1">
        <f>_xlfn.XLOOKUP(F30,$I$39:$I$178,$J$39:$J$178)</f>
        <v/>
      </c>
      <c r="F30" s="104">
        <f>LARGE($I$68:$I$185,A30)</f>
        <v/>
      </c>
      <c r="G30" s="58">
        <f>F30/$F$35</f>
        <v/>
      </c>
      <c r="H30" s="69" t="n"/>
      <c r="I30" s="65" t="n"/>
      <c r="K30" s="70" t="n"/>
      <c r="L30" s="6" t="n"/>
      <c r="M30" s="6" t="n"/>
      <c r="N30" s="6" t="n"/>
      <c r="O30" s="71" t="n"/>
      <c r="P30" s="72" t="n"/>
      <c r="S30" s="121" t="n"/>
      <c r="U30" s="121" t="n"/>
      <c r="W30" s="97" t="n"/>
    </row>
    <row r="31" ht="21" customHeight="1">
      <c r="A31" s="54" t="n">
        <v>12</v>
      </c>
      <c r="B31" s="1">
        <f>_xlfn.XLOOKUP(F31,$I$39:$I$178,$J$39:$J$178)</f>
        <v/>
      </c>
      <c r="F31" s="104">
        <f>LARGE($I$68:$I$185,A31)</f>
        <v/>
      </c>
      <c r="G31" s="58">
        <f>F31/$F$35</f>
        <v/>
      </c>
      <c r="H31" s="69" t="n"/>
      <c r="I31" s="65" t="n"/>
      <c r="K31" s="70" t="n"/>
      <c r="L31" s="6" t="n"/>
      <c r="M31" s="6" t="n"/>
      <c r="N31" s="6" t="n"/>
      <c r="O31" s="71" t="n"/>
      <c r="P31" s="72" t="n"/>
      <c r="S31" s="121" t="n"/>
      <c r="U31" s="121" t="n"/>
      <c r="W31" s="97" t="n"/>
    </row>
    <row r="32" ht="21" customHeight="1">
      <c r="B32" s="67" t="inlineStr">
        <is>
          <t>Subtotal</t>
        </is>
      </c>
      <c r="C32" s="67" t="n"/>
      <c r="D32" s="67" t="n"/>
      <c r="E32" s="67" t="n"/>
      <c r="F32" s="99">
        <f>SUM(F20:F31)</f>
        <v/>
      </c>
      <c r="G32" s="68">
        <f>F32/$F$35</f>
        <v/>
      </c>
      <c r="H32" s="69" t="n"/>
      <c r="I32" s="65" t="n"/>
      <c r="K32" s="70" t="n"/>
      <c r="L32" s="6" t="n"/>
      <c r="M32" s="6" t="n"/>
      <c r="N32" s="6" t="n"/>
      <c r="O32" s="71" t="n"/>
      <c r="P32" s="72" t="n"/>
      <c r="S32" s="121" t="n"/>
      <c r="U32" s="121" t="n"/>
      <c r="W32" s="97" t="n"/>
    </row>
    <row r="33" ht="21" customHeight="1">
      <c r="B33" s="74" t="inlineStr">
        <is>
          <t>Other Shareholders</t>
        </is>
      </c>
      <c r="C33" s="58" t="n"/>
      <c r="D33" s="58" t="n"/>
      <c r="E33" s="58" t="n"/>
      <c r="F33" s="100">
        <f>+F35-F32-F17</f>
        <v/>
      </c>
      <c r="G33" s="58">
        <f>F33/$F$35</f>
        <v/>
      </c>
      <c r="H33" s="69" t="n"/>
      <c r="I33" s="65" t="n"/>
      <c r="K33" s="70" t="n"/>
      <c r="L33" s="6" t="n"/>
      <c r="M33" s="6" t="n"/>
      <c r="N33" s="6" t="n"/>
      <c r="O33" s="71" t="n"/>
      <c r="P33" s="72" t="n"/>
      <c r="S33" s="121" t="n"/>
      <c r="U33" s="121" t="n"/>
      <c r="W33" s="97" t="n"/>
    </row>
    <row r="34" ht="3" customHeight="1">
      <c r="B34" s="58" t="n"/>
      <c r="C34" s="58" t="n"/>
      <c r="D34" s="58" t="n"/>
      <c r="E34" s="58" t="n"/>
      <c r="F34" s="58" t="n"/>
      <c r="G34" s="58" t="n"/>
      <c r="H34" s="69" t="n"/>
      <c r="I34" s="65" t="n"/>
      <c r="K34" s="70" t="n"/>
      <c r="L34" s="6" t="n"/>
      <c r="M34" s="6" t="n"/>
      <c r="N34" s="6" t="n"/>
      <c r="O34" s="71" t="n"/>
      <c r="P34" s="72" t="n"/>
      <c r="S34" s="121" t="n"/>
      <c r="U34" s="121" t="n"/>
      <c r="W34" s="97" t="n"/>
    </row>
    <row r="35" ht="21" customHeight="1">
      <c r="B35" s="102" t="inlineStr">
        <is>
          <t>Total Basic Shares Outstanding</t>
        </is>
      </c>
      <c r="C35" s="102" t="n"/>
      <c r="D35" s="102" t="n"/>
      <c r="E35" s="102" t="n"/>
      <c r="F35" s="102" t="n"/>
      <c r="G35" s="103">
        <f>F35/$F$35</f>
        <v/>
      </c>
      <c r="H35" s="98" t="n"/>
      <c r="I35" s="98" t="n"/>
      <c r="K35" s="53" t="n"/>
      <c r="W35" s="97" t="n"/>
    </row>
    <row r="36" ht="21" customHeight="1">
      <c r="F36" s="76" t="n"/>
      <c r="G36" s="98" t="n"/>
      <c r="H36" s="98" t="n"/>
      <c r="I36" s="98" t="n"/>
      <c r="K36" s="53" t="n"/>
      <c r="S36" s="60" t="n"/>
      <c r="U36" s="121" t="n"/>
    </row>
    <row r="37" ht="21" customHeight="1">
      <c r="F37" s="76" t="n"/>
      <c r="G37" s="98" t="n"/>
      <c r="H37" s="98" t="n"/>
      <c r="I37" s="1" t="n"/>
      <c r="K37" s="78" t="n"/>
      <c r="L37" s="78" t="n"/>
      <c r="M37" s="78" t="n"/>
      <c r="N37" s="78" t="n"/>
      <c r="O37" s="79" t="n"/>
      <c r="P37" s="98" t="n"/>
      <c r="S37" s="60" t="n"/>
      <c r="U37" s="121" t="n"/>
    </row>
    <row r="38" ht="14.5" customHeight="1">
      <c r="B38" s="80" t="inlineStr">
        <is>
          <t>SEDI Name</t>
        </is>
      </c>
      <c r="C38" s="80" t="n"/>
      <c r="D38" s="80" t="n"/>
      <c r="E38" s="80" t="n"/>
      <c r="F38" s="80" t="inlineStr">
        <is>
          <t>Basic</t>
        </is>
      </c>
      <c r="G38" s="80" t="inlineStr">
        <is>
          <t>Date</t>
        </is>
      </c>
      <c r="H38" s="81" t="inlineStr">
        <is>
          <t>Include</t>
        </is>
      </c>
      <c r="I38" s="80" t="inlineStr">
        <is>
          <t>Adj. #</t>
        </is>
      </c>
      <c r="J38" s="80" t="inlineStr">
        <is>
          <t>Adj. Name</t>
        </is>
      </c>
      <c r="K38" s="80" t="n"/>
      <c r="L38" s="80" t="n"/>
      <c r="M38" s="80" t="n"/>
      <c r="N38" s="80" t="n"/>
      <c r="O38" s="82" t="n"/>
      <c r="S38" s="60" t="n"/>
      <c r="U38" s="121" t="n"/>
    </row>
    <row r="39" ht="14.5" customHeight="1">
      <c r="F39" s="121" t="n"/>
      <c r="G39" s="83" t="n"/>
      <c r="H39" s="122" t="n">
        <v>1</v>
      </c>
      <c r="I39" s="85">
        <f>H39*F39</f>
        <v/>
      </c>
      <c r="O39" s="76" t="n"/>
      <c r="S39" s="60" t="n"/>
      <c r="U39" s="121" t="n"/>
    </row>
    <row r="40" ht="14.5" customHeight="1">
      <c r="F40" s="121" t="n"/>
      <c r="G40" s="83" t="n"/>
      <c r="H40" s="122" t="n">
        <v>1</v>
      </c>
      <c r="I40" s="85">
        <f>H40*F40</f>
        <v/>
      </c>
      <c r="O40" s="76" t="n"/>
    </row>
    <row r="41" ht="14.5" customHeight="1">
      <c r="F41" s="123" t="n"/>
      <c r="G41" s="83" t="n"/>
      <c r="H41" s="122" t="n">
        <v>1</v>
      </c>
      <c r="I41" s="85">
        <f>H41*F41</f>
        <v/>
      </c>
      <c r="O41" s="76" t="n"/>
    </row>
    <row r="42" ht="14.5" customHeight="1">
      <c r="F42" s="123" t="n"/>
      <c r="G42" s="83" t="n"/>
      <c r="H42" s="122" t="n">
        <v>1</v>
      </c>
      <c r="I42" s="85">
        <f>H42*F42</f>
        <v/>
      </c>
      <c r="O42" s="76" t="n"/>
    </row>
    <row r="43" ht="14.5" customHeight="1">
      <c r="F43" s="123" t="n"/>
      <c r="G43" s="83" t="n"/>
      <c r="H43" s="122" t="n">
        <v>1</v>
      </c>
      <c r="I43" s="85">
        <f>H43*F43</f>
        <v/>
      </c>
      <c r="O43" s="76" t="n"/>
    </row>
    <row r="44" ht="14.5" customHeight="1">
      <c r="F44" s="121" t="n"/>
      <c r="G44" s="83" t="n"/>
      <c r="H44" s="122" t="n">
        <v>1</v>
      </c>
      <c r="I44" s="85">
        <f>H44*F44</f>
        <v/>
      </c>
      <c r="O44" s="76" t="n"/>
      <c r="U44" s="76" t="n"/>
    </row>
    <row r="45" ht="14.5" customHeight="1">
      <c r="F45" s="121" t="n"/>
      <c r="G45" s="83" t="n"/>
      <c r="H45" s="122" t="n">
        <v>1</v>
      </c>
      <c r="I45" s="85">
        <f>H45*F45</f>
        <v/>
      </c>
      <c r="O45" s="76" t="n"/>
    </row>
    <row r="46" ht="14.5" customHeight="1">
      <c r="F46" s="121" t="n"/>
      <c r="G46" s="83" t="n"/>
      <c r="H46" s="122" t="n">
        <v>1</v>
      </c>
      <c r="I46" s="85">
        <f>H46*F46</f>
        <v/>
      </c>
      <c r="O46" s="76" t="n"/>
    </row>
    <row r="47" ht="14.5" customHeight="1">
      <c r="F47" s="123" t="n"/>
      <c r="G47" s="83" t="n"/>
      <c r="H47" s="122" t="n">
        <v>1</v>
      </c>
      <c r="I47" s="85">
        <f>H47*F47</f>
        <v/>
      </c>
      <c r="O47" s="76" t="n"/>
    </row>
    <row r="48" ht="14.5" customHeight="1">
      <c r="F48" s="123" t="n"/>
      <c r="G48" s="83" t="n"/>
      <c r="H48" s="122" t="n">
        <v>1</v>
      </c>
      <c r="I48" s="85">
        <f>H48*F48</f>
        <v/>
      </c>
      <c r="O48" s="76" t="n"/>
    </row>
    <row r="49" ht="14.5" customHeight="1">
      <c r="F49" s="121" t="n"/>
      <c r="G49" s="83" t="n"/>
      <c r="H49" s="122" t="n">
        <v>1</v>
      </c>
      <c r="I49" s="85">
        <f>H49*F49</f>
        <v/>
      </c>
      <c r="O49" s="76" t="n"/>
    </row>
    <row r="50" ht="14.5" customHeight="1">
      <c r="F50" s="121" t="n"/>
      <c r="G50" s="83" t="n"/>
      <c r="H50" s="122" t="n">
        <v>1</v>
      </c>
      <c r="I50" s="85">
        <f>H50*F50</f>
        <v/>
      </c>
      <c r="O50" s="76" t="n"/>
    </row>
    <row r="51" ht="14.5" customHeight="1">
      <c r="F51" s="121" t="n"/>
      <c r="G51" s="83" t="n"/>
      <c r="H51" s="122" t="n">
        <v>1</v>
      </c>
      <c r="I51" s="85">
        <f>H51*F51</f>
        <v/>
      </c>
      <c r="O51" s="76" t="n"/>
    </row>
    <row r="52" ht="14.5" customHeight="1">
      <c r="F52" s="121" t="n"/>
      <c r="G52" s="83" t="n"/>
      <c r="H52" s="122" t="n">
        <v>1</v>
      </c>
      <c r="I52" s="85">
        <f>H52*F52</f>
        <v/>
      </c>
      <c r="O52" s="76" t="n"/>
    </row>
    <row r="53" ht="14.5" customHeight="1">
      <c r="F53" s="121" t="n"/>
      <c r="G53" s="83" t="n"/>
      <c r="H53" s="122" t="n">
        <v>1</v>
      </c>
      <c r="I53" s="85">
        <f>H53*F53</f>
        <v/>
      </c>
      <c r="O53" s="76" t="n"/>
    </row>
    <row r="54" ht="14.5" customHeight="1">
      <c r="F54" s="121" t="n"/>
      <c r="G54" s="83" t="n"/>
      <c r="H54" s="122" t="n">
        <v>1</v>
      </c>
      <c r="I54" s="85">
        <f>H54*F54</f>
        <v/>
      </c>
      <c r="O54" s="76" t="n"/>
    </row>
    <row r="55" ht="14.5" customHeight="1">
      <c r="F55" s="121" t="n"/>
      <c r="G55" s="83" t="n"/>
      <c r="H55" s="122" t="n">
        <v>1</v>
      </c>
      <c r="I55" s="85">
        <f>H55*F55</f>
        <v/>
      </c>
      <c r="O55" s="76" t="n"/>
    </row>
    <row r="56" ht="14.5" customHeight="1">
      <c r="F56" s="121" t="n"/>
      <c r="G56" s="83" t="n"/>
      <c r="H56" s="122" t="n">
        <v>1</v>
      </c>
      <c r="I56" s="85">
        <f>H56*F56</f>
        <v/>
      </c>
      <c r="O56" s="76" t="n"/>
    </row>
    <row r="57" ht="14.5" customHeight="1">
      <c r="F57" s="121" t="n"/>
      <c r="G57" s="83" t="n"/>
      <c r="H57" s="122" t="n">
        <v>1</v>
      </c>
      <c r="I57" s="85">
        <f>H57*F57</f>
        <v/>
      </c>
      <c r="O57" s="76" t="n"/>
    </row>
    <row r="58" ht="14.5" customHeight="1">
      <c r="F58" s="121" t="n"/>
      <c r="G58" s="83" t="n"/>
      <c r="H58" s="124" t="n">
        <v>1</v>
      </c>
      <c r="I58" s="85">
        <f>H58*F58</f>
        <v/>
      </c>
      <c r="O58" s="76" t="n"/>
    </row>
    <row r="59" ht="14.5" customHeight="1">
      <c r="F59" s="121" t="n"/>
      <c r="G59" s="83" t="n"/>
      <c r="H59" s="124" t="n">
        <v>1</v>
      </c>
      <c r="I59" s="85">
        <f>H59*F59</f>
        <v/>
      </c>
      <c r="O59" s="76" t="n"/>
    </row>
    <row r="60" ht="14.5" customHeight="1">
      <c r="F60" s="121" t="n"/>
      <c r="G60" s="83" t="n"/>
      <c r="H60" s="124" t="n">
        <v>1</v>
      </c>
      <c r="I60" s="85">
        <f>H60*F60</f>
        <v/>
      </c>
      <c r="O60" s="76" t="n"/>
    </row>
    <row r="61" ht="14.5" customHeight="1">
      <c r="F61" s="121" t="n"/>
      <c r="G61" s="83" t="n"/>
      <c r="H61" s="124" t="n">
        <v>1</v>
      </c>
      <c r="I61" s="85">
        <f>H61*F61</f>
        <v/>
      </c>
      <c r="O61" s="76" t="n"/>
    </row>
    <row r="62" ht="14.5" customHeight="1">
      <c r="F62" s="121" t="n"/>
      <c r="G62" s="83" t="n"/>
      <c r="H62" s="124" t="n">
        <v>1</v>
      </c>
      <c r="I62" s="85">
        <f>H62*F62</f>
        <v/>
      </c>
      <c r="O62" s="76" t="n"/>
    </row>
    <row r="63" ht="14.5" customHeight="1">
      <c r="F63" s="121" t="n"/>
      <c r="G63" s="83" t="n"/>
      <c r="H63" s="124" t="n">
        <v>1</v>
      </c>
      <c r="I63" s="85">
        <f>H63*F63</f>
        <v/>
      </c>
      <c r="O63" s="76" t="n"/>
    </row>
    <row r="64" ht="14.5" customHeight="1">
      <c r="F64" s="121" t="n"/>
      <c r="G64" s="83" t="n"/>
      <c r="H64" s="124" t="n">
        <v>1</v>
      </c>
      <c r="I64" s="85">
        <f>H64*F64</f>
        <v/>
      </c>
      <c r="O64" s="76" t="n"/>
    </row>
    <row r="65" ht="14.5" customHeight="1">
      <c r="F65" s="121" t="n"/>
      <c r="G65" s="83" t="n"/>
      <c r="H65" s="124" t="n">
        <v>1</v>
      </c>
      <c r="I65" s="85">
        <f>H65*F65</f>
        <v/>
      </c>
      <c r="O65" s="76" t="n"/>
    </row>
    <row r="66" ht="14.5" customHeight="1">
      <c r="F66" s="121" t="n"/>
      <c r="G66" s="83" t="n"/>
      <c r="H66" s="1" t="n"/>
      <c r="I66" s="85" t="n"/>
      <c r="O66" s="76" t="n"/>
    </row>
    <row r="67" ht="14.5" customHeight="1">
      <c r="B67" s="42" t="inlineStr">
        <is>
          <t>From Bloomberg</t>
        </is>
      </c>
      <c r="C67" s="42" t="n"/>
      <c r="D67" s="42" t="n"/>
      <c r="E67" s="42" t="n"/>
      <c r="F67" s="42" t="inlineStr">
        <is>
          <t>Basic</t>
        </is>
      </c>
      <c r="G67" s="42" t="inlineStr">
        <is>
          <t>Date</t>
        </is>
      </c>
      <c r="H67" s="44" t="inlineStr">
        <is>
          <t>Include</t>
        </is>
      </c>
      <c r="I67" s="42" t="inlineStr">
        <is>
          <t>Adj. #</t>
        </is>
      </c>
      <c r="J67" s="42" t="inlineStr">
        <is>
          <t>Adj. Name</t>
        </is>
      </c>
      <c r="K67" s="43" t="n"/>
      <c r="L67" s="43" t="n"/>
      <c r="M67" s="43" t="n"/>
      <c r="N67" s="43" t="n"/>
      <c r="O67" s="76" t="n"/>
    </row>
    <row r="68" ht="14.5" customHeight="1">
      <c r="B68" s="88">
        <f>'Bloomberg Output'!C14</f>
        <v/>
      </c>
      <c r="C68" s="88" t="n"/>
      <c r="D68" s="88" t="n"/>
      <c r="E68" s="88" t="n"/>
      <c r="F68" s="89">
        <f>+_xlfn.XLOOKUP($B68,'Bloomberg Output'!$C$14:$C$131,'Bloomberg Output'!$L$14:$L$131)</f>
        <v/>
      </c>
      <c r="G68" s="89">
        <f>+_xlfn.XLOOKUP($B68,'Bloomberg Output'!$C$14:$C$131,'Bloomberg Output'!$N$14:$N$131)</f>
        <v/>
      </c>
      <c r="H68" s="125" t="n">
        <v>1</v>
      </c>
      <c r="I68" s="91">
        <f>H68*F68</f>
        <v/>
      </c>
      <c r="J68" s="92" t="n"/>
      <c r="K68" s="93" t="n"/>
      <c r="L68" s="93" t="n"/>
      <c r="M68" s="93" t="n"/>
      <c r="N68" s="93" t="n"/>
      <c r="O68" s="85" t="n"/>
      <c r="P68" s="93" t="n"/>
      <c r="Q68" s="93" t="n"/>
      <c r="R68" s="93" t="n"/>
      <c r="S68" s="93" t="n"/>
      <c r="T68" s="93" t="n"/>
      <c r="U68" s="93" t="n"/>
      <c r="V68" s="93" t="n"/>
      <c r="W68" s="93" t="n"/>
      <c r="X68" s="93" t="n"/>
      <c r="Y68" s="93" t="n"/>
      <c r="Z68" s="93" t="n"/>
      <c r="AA68" s="93" t="n"/>
      <c r="AB68" s="93" t="n"/>
      <c r="AC68" s="93" t="n"/>
      <c r="AD68" s="93" t="n"/>
      <c r="AE68" s="93" t="n"/>
      <c r="AF68" s="93" t="n"/>
      <c r="AG68" s="93" t="n"/>
      <c r="AH68" s="93" t="n"/>
      <c r="AI68" s="93" t="n"/>
      <c r="AJ68" s="93" t="n"/>
      <c r="AK68" s="93" t="n"/>
      <c r="AL68" s="93" t="n"/>
      <c r="AM68" s="93" t="n"/>
      <c r="AN68" s="93" t="n"/>
      <c r="AO68" s="93" t="n"/>
      <c r="AP68" s="93" t="n"/>
      <c r="AQ68" s="93" t="n"/>
      <c r="AR68" s="93" t="n"/>
      <c r="AS68" s="93" t="n"/>
      <c r="AT68" s="93" t="n"/>
      <c r="AU68" s="93" t="n"/>
      <c r="AV68" s="93" t="n"/>
      <c r="AW68" s="93" t="n"/>
      <c r="AX68" s="93" t="n"/>
      <c r="AY68" s="93" t="n"/>
      <c r="AZ68" s="93" t="n"/>
      <c r="BA68" s="93" t="n"/>
      <c r="BB68" s="93" t="n"/>
      <c r="BC68" s="93" t="n"/>
      <c r="BD68" s="93" t="n"/>
      <c r="BE68" s="93" t="n"/>
      <c r="BF68" s="93" t="n"/>
      <c r="BG68" s="93" t="n"/>
      <c r="BH68" s="93" t="n"/>
      <c r="BI68" s="93" t="n"/>
      <c r="BJ68" s="93" t="n"/>
      <c r="BK68" s="93" t="n"/>
      <c r="BL68" s="93" t="n"/>
      <c r="BM68" s="93" t="n"/>
      <c r="BN68" s="93" t="n"/>
      <c r="BO68" s="93" t="n"/>
      <c r="BP68" s="93" t="n"/>
      <c r="BQ68" s="93" t="n"/>
      <c r="BR68" s="93" t="n"/>
      <c r="BS68" s="93" t="n"/>
      <c r="BT68" s="93" t="n"/>
      <c r="BU68" s="93" t="n"/>
      <c r="BV68" s="93" t="n"/>
      <c r="BW68" s="93" t="n"/>
      <c r="BX68" s="93" t="n"/>
      <c r="BY68" s="93" t="n"/>
      <c r="BZ68" s="93" t="n"/>
      <c r="CA68" s="93" t="n"/>
      <c r="CB68" s="93" t="n"/>
      <c r="CC68" s="93" t="n"/>
      <c r="CD68" s="93" t="n"/>
      <c r="CE68" s="93" t="n"/>
    </row>
    <row r="69" ht="14.5" customHeight="1">
      <c r="B69" s="88">
        <f>'Bloomberg Output'!C15</f>
        <v/>
      </c>
      <c r="C69" s="88" t="n"/>
      <c r="D69" s="88" t="n"/>
      <c r="E69" s="88" t="n"/>
      <c r="F69" s="89">
        <f>+_xlfn.XLOOKUP($B69,'Bloomberg Output'!$C$14:$C$131,'Bloomberg Output'!$L$14:$L$131)</f>
        <v/>
      </c>
      <c r="G69" s="89">
        <f>+_xlfn.XLOOKUP($B69,'Bloomberg Output'!$C$14:$C$131,'Bloomberg Output'!$N$14:$N$131)</f>
        <v/>
      </c>
      <c r="H69" s="126" t="n">
        <v>1</v>
      </c>
      <c r="I69" s="85">
        <f>H69*F69</f>
        <v/>
      </c>
      <c r="J69" s="92" t="n"/>
    </row>
    <row r="70" ht="14.5" customHeight="1">
      <c r="B70" s="88">
        <f>'Bloomberg Output'!C16</f>
        <v/>
      </c>
      <c r="C70" s="88" t="n"/>
      <c r="D70" s="88" t="n"/>
      <c r="E70" s="88" t="n"/>
      <c r="F70" s="89">
        <f>+_xlfn.XLOOKUP($B70,'Bloomberg Output'!$C$14:$C$131,'Bloomberg Output'!$L$14:$L$131)</f>
        <v/>
      </c>
      <c r="G70" s="89">
        <f>+_xlfn.XLOOKUP($B70,'Bloomberg Output'!$C$14:$C$131,'Bloomberg Output'!$N$14:$N$131)</f>
        <v/>
      </c>
      <c r="H70" s="127" t="n">
        <v>1</v>
      </c>
      <c r="I70" s="85">
        <f>H70*F70</f>
        <v/>
      </c>
      <c r="J70" s="92" t="n"/>
    </row>
    <row r="71" ht="14.5" customHeight="1">
      <c r="B71" s="88">
        <f>'Bloomberg Output'!C17</f>
        <v/>
      </c>
      <c r="C71" s="88" t="n"/>
      <c r="D71" s="88" t="n"/>
      <c r="E71" s="88" t="n"/>
      <c r="F71" s="89">
        <f>+_xlfn.XLOOKUP($B71,'Bloomberg Output'!$C$14:$C$131,'Bloomberg Output'!$L$14:$L$131)</f>
        <v/>
      </c>
      <c r="G71" s="89">
        <f>+_xlfn.XLOOKUP($B71,'Bloomberg Output'!$C$14:$C$131,'Bloomberg Output'!$N$14:$N$131)</f>
        <v/>
      </c>
      <c r="H71" s="127" t="n">
        <v>1</v>
      </c>
      <c r="I71" s="85">
        <f>H71*F71</f>
        <v/>
      </c>
      <c r="J71" s="92" t="n"/>
    </row>
    <row r="72" ht="14.5" customHeight="1">
      <c r="B72" s="88">
        <f>'Bloomberg Output'!C18</f>
        <v/>
      </c>
      <c r="C72" s="88" t="n"/>
      <c r="D72" s="88" t="n"/>
      <c r="E72" s="88" t="n"/>
      <c r="F72" s="89">
        <f>+_xlfn.XLOOKUP($B72,'Bloomberg Output'!$C$14:$C$131,'Bloomberg Output'!$L$14:$L$131)</f>
        <v/>
      </c>
      <c r="G72" s="89">
        <f>+_xlfn.XLOOKUP($B72,'Bloomberg Output'!$C$14:$C$131,'Bloomberg Output'!$N$14:$N$131)</f>
        <v/>
      </c>
      <c r="H72" s="127" t="n">
        <v>1</v>
      </c>
      <c r="I72" s="85">
        <f>H72*F72</f>
        <v/>
      </c>
      <c r="J72" s="92" t="n"/>
    </row>
    <row r="73" ht="14.5" customHeight="1">
      <c r="B73" s="88">
        <f>'Bloomberg Output'!C19</f>
        <v/>
      </c>
      <c r="C73" s="88" t="n"/>
      <c r="D73" s="88" t="n"/>
      <c r="E73" s="88" t="n"/>
      <c r="F73" s="89">
        <f>+_xlfn.XLOOKUP($B73,'Bloomberg Output'!$C$14:$C$131,'Bloomberg Output'!$L$14:$L$131)</f>
        <v/>
      </c>
      <c r="G73" s="89">
        <f>+_xlfn.XLOOKUP($B73,'Bloomberg Output'!$C$14:$C$131,'Bloomberg Output'!$N$14:$N$131)</f>
        <v/>
      </c>
      <c r="H73" s="127" t="n">
        <v>1</v>
      </c>
      <c r="I73" s="85">
        <f>H73*F73</f>
        <v/>
      </c>
      <c r="J73" s="92" t="n"/>
    </row>
    <row r="74" ht="14.5" customHeight="1">
      <c r="B74" s="88">
        <f>'Bloomberg Output'!C20</f>
        <v/>
      </c>
      <c r="C74" s="88" t="n"/>
      <c r="D74" s="88" t="n"/>
      <c r="E74" s="88" t="n"/>
      <c r="F74" s="89">
        <f>+_xlfn.XLOOKUP($B74,'Bloomberg Output'!$C$14:$C$131,'Bloomberg Output'!$L$14:$L$131)</f>
        <v/>
      </c>
      <c r="G74" s="89">
        <f>+_xlfn.XLOOKUP($B74,'Bloomberg Output'!$C$14:$C$131,'Bloomberg Output'!$N$14:$N$131)</f>
        <v/>
      </c>
      <c r="H74" s="127" t="n">
        <v>1</v>
      </c>
      <c r="I74" s="85">
        <f>H74*F74</f>
        <v/>
      </c>
      <c r="J74" s="92" t="n"/>
    </row>
    <row r="75" ht="14.5" customHeight="1">
      <c r="B75" s="88">
        <f>'Bloomberg Output'!C21</f>
        <v/>
      </c>
      <c r="C75" s="88" t="n"/>
      <c r="D75" s="88" t="n"/>
      <c r="E75" s="88" t="n"/>
      <c r="F75" s="89">
        <f>+_xlfn.XLOOKUP($B75,'Bloomberg Output'!$C$14:$C$131,'Bloomberg Output'!$L$14:$L$131)</f>
        <v/>
      </c>
      <c r="G75" s="89">
        <f>+_xlfn.XLOOKUP($B75,'Bloomberg Output'!$C$14:$C$131,'Bloomberg Output'!$N$14:$N$131)</f>
        <v/>
      </c>
      <c r="H75" s="127" t="n">
        <v>1</v>
      </c>
      <c r="I75" s="85">
        <f>H75*F75</f>
        <v/>
      </c>
      <c r="J75" s="92" t="n"/>
    </row>
    <row r="76" ht="14.5" customHeight="1">
      <c r="B76" s="88">
        <f>'Bloomberg Output'!C22</f>
        <v/>
      </c>
      <c r="C76" s="88" t="n"/>
      <c r="D76" s="88" t="n"/>
      <c r="E76" s="88" t="n"/>
      <c r="F76" s="89">
        <f>+_xlfn.XLOOKUP($B76,'Bloomberg Output'!$C$14:$C$131,'Bloomberg Output'!$L$14:$L$131)</f>
        <v/>
      </c>
      <c r="G76" s="89">
        <f>+_xlfn.XLOOKUP($B76,'Bloomberg Output'!$C$14:$C$131,'Bloomberg Output'!$N$14:$N$131)</f>
        <v/>
      </c>
      <c r="H76" s="127" t="n">
        <v>1</v>
      </c>
      <c r="I76" s="85">
        <f>H76*F76</f>
        <v/>
      </c>
      <c r="J76" s="92" t="n"/>
    </row>
    <row r="77" ht="14.5" customHeight="1">
      <c r="B77" s="88">
        <f>'Bloomberg Output'!C23</f>
        <v/>
      </c>
      <c r="C77" s="88" t="n"/>
      <c r="D77" s="88" t="n"/>
      <c r="E77" s="88" t="n"/>
      <c r="F77" s="89">
        <f>+_xlfn.XLOOKUP($B77,'Bloomberg Output'!$C$14:$C$131,'Bloomberg Output'!$L$14:$L$131)</f>
        <v/>
      </c>
      <c r="G77" s="89">
        <f>+_xlfn.XLOOKUP($B77,'Bloomberg Output'!$C$14:$C$131,'Bloomberg Output'!$N$14:$N$131)</f>
        <v/>
      </c>
      <c r="H77" s="127" t="n">
        <v>1</v>
      </c>
      <c r="I77" s="85">
        <f>H77*F77</f>
        <v/>
      </c>
      <c r="J77" s="92" t="n"/>
    </row>
    <row r="78" ht="14.5" customHeight="1">
      <c r="B78" s="88">
        <f>'Bloomberg Output'!C24</f>
        <v/>
      </c>
      <c r="C78" s="88" t="n"/>
      <c r="D78" s="88" t="n"/>
      <c r="E78" s="88" t="n"/>
      <c r="F78" s="89">
        <f>+_xlfn.XLOOKUP($B78,'Bloomberg Output'!$C$14:$C$131,'Bloomberg Output'!$L$14:$L$131)</f>
        <v/>
      </c>
      <c r="G78" s="89">
        <f>+_xlfn.XLOOKUP($B78,'Bloomberg Output'!$C$14:$C$131,'Bloomberg Output'!$N$14:$N$131)</f>
        <v/>
      </c>
      <c r="H78" s="127" t="n">
        <v>1</v>
      </c>
      <c r="I78" s="85">
        <f>H78*F78</f>
        <v/>
      </c>
      <c r="J78" s="92" t="n"/>
    </row>
    <row r="79" ht="14.5" customHeight="1">
      <c r="B79" s="88">
        <f>'Bloomberg Output'!C25</f>
        <v/>
      </c>
      <c r="C79" s="88" t="n"/>
      <c r="D79" s="88" t="n"/>
      <c r="E79" s="88" t="n"/>
      <c r="F79" s="89">
        <f>+_xlfn.XLOOKUP($B79,'Bloomberg Output'!$C$14:$C$131,'Bloomberg Output'!$L$14:$L$131)</f>
        <v/>
      </c>
      <c r="G79" s="89">
        <f>+_xlfn.XLOOKUP($B79,'Bloomberg Output'!$C$14:$C$131,'Bloomberg Output'!$N$14:$N$131)</f>
        <v/>
      </c>
      <c r="H79" s="127" t="n">
        <v>1</v>
      </c>
      <c r="I79" s="85">
        <f>H79*F79</f>
        <v/>
      </c>
      <c r="J79" s="92" t="n"/>
    </row>
    <row r="80" ht="14.5" customHeight="1">
      <c r="B80" s="88">
        <f>'Bloomberg Output'!C26</f>
        <v/>
      </c>
      <c r="C80" s="88" t="n"/>
      <c r="D80" s="88" t="n"/>
      <c r="E80" s="88" t="n"/>
      <c r="F80" s="89">
        <f>+_xlfn.XLOOKUP($B80,'Bloomberg Output'!$C$14:$C$131,'Bloomberg Output'!$L$14:$L$131)</f>
        <v/>
      </c>
      <c r="G80" s="89">
        <f>+_xlfn.XLOOKUP($B80,'Bloomberg Output'!$C$14:$C$131,'Bloomberg Output'!$N$14:$N$131)</f>
        <v/>
      </c>
      <c r="H80" s="127" t="n">
        <v>1</v>
      </c>
      <c r="I80" s="85">
        <f>H80*F80</f>
        <v/>
      </c>
      <c r="J80" s="92" t="n"/>
    </row>
    <row r="81" ht="14.5" customHeight="1">
      <c r="B81" s="88">
        <f>'Bloomberg Output'!C27</f>
        <v/>
      </c>
      <c r="C81" s="88" t="n"/>
      <c r="D81" s="88" t="n"/>
      <c r="E81" s="88" t="n"/>
      <c r="F81" s="89">
        <f>+_xlfn.XLOOKUP($B81,'Bloomberg Output'!$C$14:$C$131,'Bloomberg Output'!$L$14:$L$131)</f>
        <v/>
      </c>
      <c r="G81" s="89">
        <f>+_xlfn.XLOOKUP($B81,'Bloomberg Output'!$C$14:$C$131,'Bloomberg Output'!$N$14:$N$131)</f>
        <v/>
      </c>
      <c r="H81" s="127" t="n">
        <v>1</v>
      </c>
      <c r="I81" s="85">
        <f>H81*F81</f>
        <v/>
      </c>
      <c r="J81" s="92" t="n"/>
    </row>
    <row r="82" ht="14.5" customHeight="1">
      <c r="B82" s="88">
        <f>'Bloomberg Output'!C28</f>
        <v/>
      </c>
      <c r="C82" s="88" t="n"/>
      <c r="D82" s="88" t="n"/>
      <c r="E82" s="88" t="n"/>
      <c r="F82" s="89">
        <f>+_xlfn.XLOOKUP($B82,'Bloomberg Output'!$C$14:$C$131,'Bloomberg Output'!$L$14:$L$131)</f>
        <v/>
      </c>
      <c r="G82" s="89">
        <f>+_xlfn.XLOOKUP($B82,'Bloomberg Output'!$C$14:$C$131,'Bloomberg Output'!$N$14:$N$131)</f>
        <v/>
      </c>
      <c r="H82" s="127" t="n">
        <v>1</v>
      </c>
      <c r="I82" s="85">
        <f>H82*F82</f>
        <v/>
      </c>
      <c r="J82" s="92" t="n"/>
    </row>
    <row r="83" ht="14.5" customHeight="1">
      <c r="B83" s="88">
        <f>'Bloomberg Output'!C29</f>
        <v/>
      </c>
      <c r="C83" s="88" t="n"/>
      <c r="D83" s="88" t="n"/>
      <c r="E83" s="88" t="n"/>
      <c r="F83" s="89">
        <f>+_xlfn.XLOOKUP($B83,'Bloomberg Output'!$C$14:$C$131,'Bloomberg Output'!$L$14:$L$131)</f>
        <v/>
      </c>
      <c r="G83" s="89">
        <f>+_xlfn.XLOOKUP($B83,'Bloomberg Output'!$C$14:$C$131,'Bloomberg Output'!$N$14:$N$131)</f>
        <v/>
      </c>
      <c r="H83" s="127" t="n">
        <v>1</v>
      </c>
      <c r="I83" s="85">
        <f>H83*F83</f>
        <v/>
      </c>
      <c r="J83" s="92" t="n"/>
    </row>
    <row r="84" ht="14.5" customHeight="1">
      <c r="B84" s="88">
        <f>'Bloomberg Output'!C30</f>
        <v/>
      </c>
      <c r="C84" s="88" t="n"/>
      <c r="D84" s="88" t="n"/>
      <c r="E84" s="88" t="n"/>
      <c r="F84" s="89">
        <f>+_xlfn.XLOOKUP($B84,'Bloomberg Output'!$C$14:$C$131,'Bloomberg Output'!$L$14:$L$131)</f>
        <v/>
      </c>
      <c r="G84" s="89">
        <f>+_xlfn.XLOOKUP($B84,'Bloomberg Output'!$C$14:$C$131,'Bloomberg Output'!$N$14:$N$131)</f>
        <v/>
      </c>
      <c r="H84" s="127" t="n">
        <v>1</v>
      </c>
      <c r="I84" s="85">
        <f>H84*F84</f>
        <v/>
      </c>
      <c r="J84" s="92" t="n"/>
    </row>
    <row r="85" ht="14.5" customHeight="1">
      <c r="B85" s="88">
        <f>'Bloomberg Output'!C31</f>
        <v/>
      </c>
      <c r="C85" s="88" t="n"/>
      <c r="D85" s="88" t="n"/>
      <c r="E85" s="88" t="n"/>
      <c r="F85" s="89">
        <f>+_xlfn.XLOOKUP($B85,'Bloomberg Output'!$C$14:$C$131,'Bloomberg Output'!$L$14:$L$131)</f>
        <v/>
      </c>
      <c r="G85" s="89">
        <f>+_xlfn.XLOOKUP($B85,'Bloomberg Output'!$C$14:$C$131,'Bloomberg Output'!$N$14:$N$131)</f>
        <v/>
      </c>
      <c r="H85" s="127" t="n">
        <v>1</v>
      </c>
      <c r="I85" s="85">
        <f>H85*F85</f>
        <v/>
      </c>
      <c r="J85" s="92" t="n"/>
    </row>
    <row r="86" ht="14.5" customHeight="1">
      <c r="B86" s="88">
        <f>'Bloomberg Output'!C32</f>
        <v/>
      </c>
      <c r="C86" s="88" t="n"/>
      <c r="D86" s="88" t="n"/>
      <c r="E86" s="88" t="n"/>
      <c r="F86" s="89">
        <f>+_xlfn.XLOOKUP($B86,'Bloomberg Output'!$C$14:$C$131,'Bloomberg Output'!$L$14:$L$131)</f>
        <v/>
      </c>
      <c r="G86" s="89">
        <f>+_xlfn.XLOOKUP($B86,'Bloomberg Output'!$C$14:$C$131,'Bloomberg Output'!$N$14:$N$131)</f>
        <v/>
      </c>
      <c r="H86" s="127" t="n">
        <v>1</v>
      </c>
      <c r="I86" s="85">
        <f>H86*F86</f>
        <v/>
      </c>
      <c r="J86" s="92" t="n"/>
    </row>
    <row r="87" ht="14.5" customHeight="1">
      <c r="B87" s="88">
        <f>'Bloomberg Output'!C33</f>
        <v/>
      </c>
      <c r="C87" s="88" t="n"/>
      <c r="D87" s="88" t="n"/>
      <c r="E87" s="88" t="n"/>
      <c r="F87" s="89">
        <f>+_xlfn.XLOOKUP($B87,'Bloomberg Output'!$C$14:$C$131,'Bloomberg Output'!$L$14:$L$131)</f>
        <v/>
      </c>
      <c r="G87" s="89">
        <f>+_xlfn.XLOOKUP($B87,'Bloomberg Output'!$C$14:$C$131,'Bloomberg Output'!$N$14:$N$131)</f>
        <v/>
      </c>
      <c r="H87" s="127" t="n">
        <v>1</v>
      </c>
      <c r="I87" s="85">
        <f>H87*F87</f>
        <v/>
      </c>
      <c r="J87" s="92" t="n"/>
    </row>
    <row r="88" ht="14.5" customHeight="1">
      <c r="B88" s="88">
        <f>'Bloomberg Output'!C34</f>
        <v/>
      </c>
      <c r="C88" s="88" t="n"/>
      <c r="D88" s="88" t="n"/>
      <c r="E88" s="88" t="n"/>
      <c r="F88" s="89">
        <f>+_xlfn.XLOOKUP($B88,'Bloomberg Output'!$C$14:$C$131,'Bloomberg Output'!$L$14:$L$131)</f>
        <v/>
      </c>
      <c r="G88" s="89">
        <f>+_xlfn.XLOOKUP($B88,'Bloomberg Output'!$C$14:$C$131,'Bloomberg Output'!$N$14:$N$131)</f>
        <v/>
      </c>
      <c r="H88" s="127" t="n">
        <v>1</v>
      </c>
      <c r="I88" s="85">
        <f>H88*F88</f>
        <v/>
      </c>
      <c r="J88" s="92" t="n"/>
    </row>
    <row r="89" ht="14.5" customHeight="1">
      <c r="B89" s="88">
        <f>'Bloomberg Output'!C35</f>
        <v/>
      </c>
      <c r="C89" s="88" t="n"/>
      <c r="D89" s="88" t="n"/>
      <c r="E89" s="88" t="n"/>
      <c r="F89" s="89">
        <f>+_xlfn.XLOOKUP($B89,'Bloomberg Output'!$C$14:$C$131,'Bloomberg Output'!$L$14:$L$131)</f>
        <v/>
      </c>
      <c r="G89" s="89">
        <f>+_xlfn.XLOOKUP($B89,'Bloomberg Output'!$C$14:$C$131,'Bloomberg Output'!$N$14:$N$131)</f>
        <v/>
      </c>
      <c r="H89" s="127" t="n">
        <v>1</v>
      </c>
      <c r="I89" s="85">
        <f>H89*F89</f>
        <v/>
      </c>
      <c r="J89" s="92" t="n"/>
    </row>
    <row r="90" ht="14.5" customHeight="1">
      <c r="B90" s="88">
        <f>'Bloomberg Output'!C36</f>
        <v/>
      </c>
      <c r="C90" s="88" t="n"/>
      <c r="D90" s="88" t="n"/>
      <c r="E90" s="88" t="n"/>
      <c r="F90" s="89">
        <f>+_xlfn.XLOOKUP($B90,'Bloomberg Output'!$C$14:$C$131,'Bloomberg Output'!$L$14:$L$131)</f>
        <v/>
      </c>
      <c r="G90" s="89">
        <f>+_xlfn.XLOOKUP($B90,'Bloomberg Output'!$C$14:$C$131,'Bloomberg Output'!$N$14:$N$131)</f>
        <v/>
      </c>
      <c r="H90" s="127" t="n">
        <v>1</v>
      </c>
      <c r="I90" s="85">
        <f>H90*F90</f>
        <v/>
      </c>
      <c r="J90" s="92" t="n"/>
    </row>
    <row r="91" ht="14.5" customHeight="1">
      <c r="B91" s="88">
        <f>'Bloomberg Output'!C37</f>
        <v/>
      </c>
      <c r="C91" s="88" t="n"/>
      <c r="D91" s="88" t="n"/>
      <c r="E91" s="88" t="n"/>
      <c r="F91" s="89">
        <f>+_xlfn.XLOOKUP($B91,'Bloomberg Output'!$C$14:$C$131,'Bloomberg Output'!$L$14:$L$131)</f>
        <v/>
      </c>
      <c r="G91" s="89">
        <f>+_xlfn.XLOOKUP($B91,'Bloomberg Output'!$C$14:$C$131,'Bloomberg Output'!$N$14:$N$131)</f>
        <v/>
      </c>
      <c r="H91" s="127" t="n">
        <v>1</v>
      </c>
      <c r="I91" s="85">
        <f>H91*F91</f>
        <v/>
      </c>
      <c r="J91" s="92" t="n"/>
    </row>
    <row r="92" ht="14.5" customHeight="1">
      <c r="B92" s="88">
        <f>'Bloomberg Output'!C38</f>
        <v/>
      </c>
      <c r="C92" s="88" t="n"/>
      <c r="D92" s="88" t="n"/>
      <c r="E92" s="88" t="n"/>
      <c r="F92" s="89">
        <f>+_xlfn.XLOOKUP($B92,'Bloomberg Output'!$C$14:$C$131,'Bloomberg Output'!$L$14:$L$131)</f>
        <v/>
      </c>
      <c r="G92" s="89">
        <f>+_xlfn.XLOOKUP($B92,'Bloomberg Output'!$C$14:$C$131,'Bloomberg Output'!$N$14:$N$131)</f>
        <v/>
      </c>
      <c r="H92" s="127" t="n">
        <v>1</v>
      </c>
      <c r="I92" s="85">
        <f>H92*F92</f>
        <v/>
      </c>
      <c r="J92" s="92" t="n"/>
    </row>
    <row r="93" ht="14.5" customHeight="1">
      <c r="B93" s="88">
        <f>'Bloomberg Output'!C39</f>
        <v/>
      </c>
      <c r="C93" s="88" t="n"/>
      <c r="D93" s="88" t="n"/>
      <c r="E93" s="88" t="n"/>
      <c r="F93" s="89">
        <f>+_xlfn.XLOOKUP($B93,'Bloomberg Output'!$C$14:$C$131,'Bloomberg Output'!$L$14:$L$131)</f>
        <v/>
      </c>
      <c r="G93" s="89">
        <f>+_xlfn.XLOOKUP($B93,'Bloomberg Output'!$C$14:$C$131,'Bloomberg Output'!$N$14:$N$131)</f>
        <v/>
      </c>
      <c r="H93" s="127" t="n">
        <v>1</v>
      </c>
      <c r="I93" s="85">
        <f>H93*F93</f>
        <v/>
      </c>
      <c r="J93" s="92" t="n"/>
    </row>
    <row r="94" ht="14.5" customHeight="1">
      <c r="B94" s="88">
        <f>'Bloomberg Output'!C40</f>
        <v/>
      </c>
      <c r="C94" s="88" t="n"/>
      <c r="D94" s="88" t="n"/>
      <c r="E94" s="88" t="n"/>
      <c r="F94" s="89">
        <f>+_xlfn.XLOOKUP($B94,'Bloomberg Output'!$C$14:$C$131,'Bloomberg Output'!$L$14:$L$131)</f>
        <v/>
      </c>
      <c r="G94" s="89">
        <f>+_xlfn.XLOOKUP($B94,'Bloomberg Output'!$C$14:$C$131,'Bloomberg Output'!$N$14:$N$131)</f>
        <v/>
      </c>
      <c r="H94" s="127" t="n">
        <v>1</v>
      </c>
      <c r="I94" s="85">
        <f>H94*F94</f>
        <v/>
      </c>
      <c r="J94" s="92" t="n"/>
    </row>
    <row r="95" ht="14.5" customHeight="1">
      <c r="B95" s="88">
        <f>'Bloomberg Output'!C41</f>
        <v/>
      </c>
      <c r="C95" s="88" t="n"/>
      <c r="D95" s="88" t="n"/>
      <c r="E95" s="88" t="n"/>
      <c r="F95" s="89">
        <f>+_xlfn.XLOOKUP($B95,'Bloomberg Output'!$C$14:$C$131,'Bloomberg Output'!$L$14:$L$131)</f>
        <v/>
      </c>
      <c r="G95" s="89">
        <f>+_xlfn.XLOOKUP($B95,'Bloomberg Output'!$C$14:$C$131,'Bloomberg Output'!$N$14:$N$131)</f>
        <v/>
      </c>
      <c r="H95" s="127" t="n">
        <v>1</v>
      </c>
      <c r="I95" s="85">
        <f>H95*F95</f>
        <v/>
      </c>
      <c r="J95" s="92" t="n"/>
    </row>
    <row r="96" ht="14.5" customHeight="1">
      <c r="B96" s="88">
        <f>'Bloomberg Output'!C42</f>
        <v/>
      </c>
      <c r="C96" s="88" t="n"/>
      <c r="D96" s="88" t="n"/>
      <c r="E96" s="88" t="n"/>
      <c r="F96" s="89">
        <f>+_xlfn.XLOOKUP($B96,'Bloomberg Output'!$C$14:$C$131,'Bloomberg Output'!$L$14:$L$131)</f>
        <v/>
      </c>
      <c r="G96" s="89">
        <f>+_xlfn.XLOOKUP($B96,'Bloomberg Output'!$C$14:$C$131,'Bloomberg Output'!$N$14:$N$131)</f>
        <v/>
      </c>
      <c r="H96" s="127" t="n">
        <v>1</v>
      </c>
      <c r="I96" s="85">
        <f>H96*F96</f>
        <v/>
      </c>
      <c r="J96" s="92" t="n"/>
    </row>
    <row r="97" ht="14.5" customHeight="1">
      <c r="B97" s="88">
        <f>'Bloomberg Output'!C43</f>
        <v/>
      </c>
      <c r="C97" s="88" t="n"/>
      <c r="D97" s="88" t="n"/>
      <c r="E97" s="88" t="n"/>
      <c r="F97" s="89">
        <f>+_xlfn.XLOOKUP($B97,'Bloomberg Output'!$C$14:$C$131,'Bloomberg Output'!$L$14:$L$131)</f>
        <v/>
      </c>
      <c r="G97" s="89">
        <f>+_xlfn.XLOOKUP($B97,'Bloomberg Output'!$C$14:$C$131,'Bloomberg Output'!$N$14:$N$131)</f>
        <v/>
      </c>
      <c r="H97" s="127" t="n">
        <v>1</v>
      </c>
      <c r="I97" s="85">
        <f>H97*F97</f>
        <v/>
      </c>
      <c r="J97" s="92" t="n"/>
    </row>
    <row r="98" ht="14.5" customHeight="1">
      <c r="B98" s="88">
        <f>'Bloomberg Output'!C44</f>
        <v/>
      </c>
      <c r="C98" s="88" t="n"/>
      <c r="D98" s="88" t="n"/>
      <c r="E98" s="88" t="n"/>
      <c r="F98" s="89">
        <f>+_xlfn.XLOOKUP($B98,'Bloomberg Output'!$C$14:$C$131,'Bloomberg Output'!$L$14:$L$131)</f>
        <v/>
      </c>
      <c r="G98" s="89">
        <f>+_xlfn.XLOOKUP($B98,'Bloomberg Output'!$C$14:$C$131,'Bloomberg Output'!$N$14:$N$131)</f>
        <v/>
      </c>
      <c r="H98" s="127" t="n">
        <v>1</v>
      </c>
      <c r="I98" s="85">
        <f>H98*F98</f>
        <v/>
      </c>
      <c r="J98" s="92" t="n"/>
    </row>
    <row r="99" ht="14.5" customHeight="1">
      <c r="B99" s="88">
        <f>'Bloomberg Output'!C45</f>
        <v/>
      </c>
      <c r="C99" s="88" t="n"/>
      <c r="D99" s="88" t="n"/>
      <c r="E99" s="88" t="n"/>
      <c r="F99" s="89">
        <f>+_xlfn.XLOOKUP($B99,'Bloomberg Output'!$C$14:$C$131,'Bloomberg Output'!$L$14:$L$131)</f>
        <v/>
      </c>
      <c r="G99" s="89">
        <f>+_xlfn.XLOOKUP($B99,'Bloomberg Output'!$C$14:$C$131,'Bloomberg Output'!$N$14:$N$131)</f>
        <v/>
      </c>
      <c r="H99" s="127" t="n">
        <v>1</v>
      </c>
      <c r="I99" s="85">
        <f>H99*F99</f>
        <v/>
      </c>
      <c r="J99" s="92" t="n"/>
    </row>
    <row r="100" ht="14.5" customHeight="1">
      <c r="B100" s="88">
        <f>'Bloomberg Output'!C46</f>
        <v/>
      </c>
      <c r="C100" s="88" t="n"/>
      <c r="D100" s="88" t="n"/>
      <c r="E100" s="88" t="n"/>
      <c r="F100" s="89">
        <f>+_xlfn.XLOOKUP($B100,'Bloomberg Output'!$C$14:$C$131,'Bloomberg Output'!$L$14:$L$131)</f>
        <v/>
      </c>
      <c r="G100" s="89">
        <f>+_xlfn.XLOOKUP($B100,'Bloomberg Output'!$C$14:$C$131,'Bloomberg Output'!$N$14:$N$131)</f>
        <v/>
      </c>
      <c r="H100" s="127" t="n">
        <v>1</v>
      </c>
      <c r="I100" s="85">
        <f>H100*F100</f>
        <v/>
      </c>
      <c r="J100" s="92" t="n"/>
    </row>
    <row r="101" ht="14.5" customHeight="1">
      <c r="B101" s="88">
        <f>'Bloomberg Output'!C47</f>
        <v/>
      </c>
      <c r="C101" s="88" t="n"/>
      <c r="D101" s="88" t="n"/>
      <c r="E101" s="88" t="n"/>
      <c r="F101" s="89">
        <f>+_xlfn.XLOOKUP($B101,'Bloomberg Output'!$C$14:$C$131,'Bloomberg Output'!$L$14:$L$131)</f>
        <v/>
      </c>
      <c r="G101" s="89">
        <f>+_xlfn.XLOOKUP($B101,'Bloomberg Output'!$C$14:$C$131,'Bloomberg Output'!$N$14:$N$131)</f>
        <v/>
      </c>
      <c r="H101" s="127" t="n">
        <v>1</v>
      </c>
      <c r="I101" s="85">
        <f>H101*F101</f>
        <v/>
      </c>
      <c r="J101" s="92" t="n"/>
    </row>
    <row r="102" ht="14.5" customHeight="1">
      <c r="B102" s="88">
        <f>'Bloomberg Output'!C48</f>
        <v/>
      </c>
      <c r="C102" s="88" t="n"/>
      <c r="D102" s="88" t="n"/>
      <c r="E102" s="88" t="n"/>
      <c r="F102" s="89">
        <f>+_xlfn.XLOOKUP($B102,'Bloomberg Output'!$C$14:$C$131,'Bloomberg Output'!$L$14:$L$131)</f>
        <v/>
      </c>
      <c r="G102" s="89">
        <f>+_xlfn.XLOOKUP($B102,'Bloomberg Output'!$C$14:$C$131,'Bloomberg Output'!$N$14:$N$131)</f>
        <v/>
      </c>
      <c r="H102" s="127" t="n">
        <v>1</v>
      </c>
      <c r="I102" s="85">
        <f>H102*F102</f>
        <v/>
      </c>
      <c r="J102" s="92" t="n"/>
    </row>
    <row r="103" ht="14.5" customHeight="1">
      <c r="B103" s="88">
        <f>'Bloomberg Output'!C49</f>
        <v/>
      </c>
      <c r="C103" s="88" t="n"/>
      <c r="D103" s="88" t="n"/>
      <c r="E103" s="88" t="n"/>
      <c r="F103" s="89">
        <f>+_xlfn.XLOOKUP($B103,'Bloomberg Output'!$C$14:$C$131,'Bloomberg Output'!$L$14:$L$131)</f>
        <v/>
      </c>
      <c r="G103" s="89">
        <f>+_xlfn.XLOOKUP($B103,'Bloomberg Output'!$C$14:$C$131,'Bloomberg Output'!$N$14:$N$131)</f>
        <v/>
      </c>
      <c r="H103" s="127" t="n">
        <v>1</v>
      </c>
      <c r="I103" s="85">
        <f>H103*F103</f>
        <v/>
      </c>
      <c r="J103" s="92" t="n"/>
    </row>
    <row r="104" ht="14.5" customHeight="1">
      <c r="B104" s="88">
        <f>'Bloomberg Output'!C50</f>
        <v/>
      </c>
      <c r="C104" s="88" t="n"/>
      <c r="D104" s="88" t="n"/>
      <c r="E104" s="88" t="n"/>
      <c r="F104" s="89">
        <f>+_xlfn.XLOOKUP($B104,'Bloomberg Output'!$C$14:$C$131,'Bloomberg Output'!$L$14:$L$131)</f>
        <v/>
      </c>
      <c r="G104" s="89">
        <f>+_xlfn.XLOOKUP($B104,'Bloomberg Output'!$C$14:$C$131,'Bloomberg Output'!$N$14:$N$131)</f>
        <v/>
      </c>
      <c r="H104" s="127" t="n">
        <v>1</v>
      </c>
      <c r="I104" s="85">
        <f>H104*F104</f>
        <v/>
      </c>
      <c r="J104" s="92" t="n"/>
    </row>
    <row r="105" ht="14.5" customHeight="1">
      <c r="B105" s="88">
        <f>'Bloomberg Output'!C51</f>
        <v/>
      </c>
      <c r="C105" s="88" t="n"/>
      <c r="D105" s="88" t="n"/>
      <c r="E105" s="88" t="n"/>
      <c r="F105" s="89">
        <f>+_xlfn.XLOOKUP($B105,'Bloomberg Output'!$C$14:$C$131,'Bloomberg Output'!$L$14:$L$131)</f>
        <v/>
      </c>
      <c r="G105" s="89">
        <f>+_xlfn.XLOOKUP($B105,'Bloomberg Output'!$C$14:$C$131,'Bloomberg Output'!$N$14:$N$131)</f>
        <v/>
      </c>
      <c r="H105" s="127" t="n">
        <v>1</v>
      </c>
      <c r="I105" s="85">
        <f>H105*F105</f>
        <v/>
      </c>
      <c r="J105" s="92" t="n"/>
    </row>
    <row r="106" ht="14.5" customHeight="1">
      <c r="B106" s="88">
        <f>'Bloomberg Output'!C52</f>
        <v/>
      </c>
      <c r="C106" s="88" t="n"/>
      <c r="D106" s="88" t="n"/>
      <c r="E106" s="88" t="n"/>
      <c r="F106" s="89">
        <f>+_xlfn.XLOOKUP($B106,'Bloomberg Output'!$C$14:$C$131,'Bloomberg Output'!$L$14:$L$131)</f>
        <v/>
      </c>
      <c r="G106" s="89">
        <f>+_xlfn.XLOOKUP($B106,'Bloomberg Output'!$C$14:$C$131,'Bloomberg Output'!$N$14:$N$131)</f>
        <v/>
      </c>
      <c r="H106" s="127" t="n">
        <v>1</v>
      </c>
      <c r="I106" s="85">
        <f>H106*F106</f>
        <v/>
      </c>
      <c r="J106" s="92" t="n"/>
    </row>
    <row r="107" ht="14.5" customHeight="1">
      <c r="B107" s="88">
        <f>'Bloomberg Output'!C53</f>
        <v/>
      </c>
      <c r="C107" s="88" t="n"/>
      <c r="D107" s="88" t="n"/>
      <c r="E107" s="88" t="n"/>
      <c r="F107" s="89">
        <f>+_xlfn.XLOOKUP($B107,'Bloomberg Output'!$C$14:$C$131,'Bloomberg Output'!$L$14:$L$131)</f>
        <v/>
      </c>
      <c r="G107" s="89">
        <f>+_xlfn.XLOOKUP($B107,'Bloomberg Output'!$C$14:$C$131,'Bloomberg Output'!$N$14:$N$131)</f>
        <v/>
      </c>
      <c r="H107" s="127" t="n">
        <v>1</v>
      </c>
      <c r="I107" s="85">
        <f>H107*F107</f>
        <v/>
      </c>
      <c r="J107" s="92" t="n"/>
    </row>
    <row r="108" ht="14.5" customHeight="1">
      <c r="B108" s="88">
        <f>'Bloomberg Output'!C54</f>
        <v/>
      </c>
      <c r="C108" s="88" t="n"/>
      <c r="D108" s="88" t="n"/>
      <c r="E108" s="88" t="n"/>
      <c r="F108" s="89">
        <f>+_xlfn.XLOOKUP($B108,'Bloomberg Output'!$C$14:$C$131,'Bloomberg Output'!$L$14:$L$131)</f>
        <v/>
      </c>
      <c r="G108" s="89">
        <f>+_xlfn.XLOOKUP($B108,'Bloomberg Output'!$C$14:$C$131,'Bloomberg Output'!$N$14:$N$131)</f>
        <v/>
      </c>
      <c r="H108" s="127" t="n">
        <v>1</v>
      </c>
      <c r="I108" s="85">
        <f>H108*F108</f>
        <v/>
      </c>
      <c r="J108" s="92" t="n"/>
    </row>
    <row r="109" ht="14.5" customHeight="1">
      <c r="B109" s="88">
        <f>'Bloomberg Output'!C55</f>
        <v/>
      </c>
      <c r="C109" s="88" t="n"/>
      <c r="D109" s="88" t="n"/>
      <c r="E109" s="88" t="n"/>
      <c r="F109" s="89">
        <f>+_xlfn.XLOOKUP($B109,'Bloomberg Output'!$C$14:$C$131,'Bloomberg Output'!$L$14:$L$131)</f>
        <v/>
      </c>
      <c r="G109" s="89">
        <f>+_xlfn.XLOOKUP($B109,'Bloomberg Output'!$C$14:$C$131,'Bloomberg Output'!$N$14:$N$131)</f>
        <v/>
      </c>
      <c r="H109" s="127" t="n">
        <v>1</v>
      </c>
      <c r="I109" s="85">
        <f>H109*F109</f>
        <v/>
      </c>
      <c r="J109" s="92" t="n"/>
    </row>
    <row r="110" ht="14.5" customHeight="1">
      <c r="B110" s="88">
        <f>'Bloomberg Output'!C56</f>
        <v/>
      </c>
      <c r="C110" s="88" t="n"/>
      <c r="D110" s="88" t="n"/>
      <c r="E110" s="88" t="n"/>
      <c r="F110" s="89">
        <f>+_xlfn.XLOOKUP($B110,'Bloomberg Output'!$C$14:$C$131,'Bloomberg Output'!$L$14:$L$131)</f>
        <v/>
      </c>
      <c r="G110" s="89">
        <f>+_xlfn.XLOOKUP($B110,'Bloomberg Output'!$C$14:$C$131,'Bloomberg Output'!$N$14:$N$131)</f>
        <v/>
      </c>
      <c r="H110" s="127" t="n">
        <v>1</v>
      </c>
      <c r="I110" s="85">
        <f>H110*F110</f>
        <v/>
      </c>
      <c r="J110" s="92" t="n"/>
    </row>
    <row r="111" ht="14.5" customHeight="1">
      <c r="B111" s="88">
        <f>'Bloomberg Output'!C57</f>
        <v/>
      </c>
      <c r="C111" s="88" t="n"/>
      <c r="D111" s="88" t="n"/>
      <c r="E111" s="88" t="n"/>
      <c r="F111" s="89">
        <f>+_xlfn.XLOOKUP($B111,'Bloomberg Output'!$C$14:$C$131,'Bloomberg Output'!$L$14:$L$131)</f>
        <v/>
      </c>
      <c r="G111" s="89">
        <f>+_xlfn.XLOOKUP($B111,'Bloomberg Output'!$C$14:$C$131,'Bloomberg Output'!$N$14:$N$131)</f>
        <v/>
      </c>
      <c r="H111" s="127" t="n">
        <v>1</v>
      </c>
      <c r="I111" s="85">
        <f>H111*F111</f>
        <v/>
      </c>
      <c r="J111" s="92" t="n"/>
    </row>
    <row r="112" ht="14.5" customHeight="1">
      <c r="B112" s="88">
        <f>'Bloomberg Output'!C58</f>
        <v/>
      </c>
      <c r="C112" s="88" t="n"/>
      <c r="D112" s="88" t="n"/>
      <c r="E112" s="88" t="n"/>
      <c r="F112" s="89">
        <f>+_xlfn.XLOOKUP($B112,'Bloomberg Output'!$C$14:$C$131,'Bloomberg Output'!$L$14:$L$131)</f>
        <v/>
      </c>
      <c r="G112" s="89">
        <f>+_xlfn.XLOOKUP($B112,'Bloomberg Output'!$C$14:$C$131,'Bloomberg Output'!$N$14:$N$131)</f>
        <v/>
      </c>
      <c r="H112" s="127" t="n">
        <v>1</v>
      </c>
      <c r="I112" s="85">
        <f>H112*F112</f>
        <v/>
      </c>
      <c r="J112" s="92" t="n"/>
    </row>
    <row r="113" ht="14.5" customHeight="1">
      <c r="B113" s="88">
        <f>'Bloomberg Output'!C59</f>
        <v/>
      </c>
      <c r="C113" s="88" t="n"/>
      <c r="D113" s="88" t="n"/>
      <c r="E113" s="88" t="n"/>
      <c r="F113" s="89">
        <f>+_xlfn.XLOOKUP($B113,'Bloomberg Output'!$C$14:$C$131,'Bloomberg Output'!$L$14:$L$131)</f>
        <v/>
      </c>
      <c r="G113" s="89">
        <f>+_xlfn.XLOOKUP($B113,'Bloomberg Output'!$C$14:$C$131,'Bloomberg Output'!$N$14:$N$131)</f>
        <v/>
      </c>
      <c r="H113" s="127" t="n">
        <v>1</v>
      </c>
      <c r="I113" s="85">
        <f>H113*F113</f>
        <v/>
      </c>
      <c r="J113" s="92" t="n"/>
    </row>
    <row r="114" ht="14.5" customHeight="1">
      <c r="B114" s="88">
        <f>'Bloomberg Output'!C60</f>
        <v/>
      </c>
      <c r="C114" s="88" t="n"/>
      <c r="D114" s="88" t="n"/>
      <c r="E114" s="88" t="n"/>
      <c r="F114" s="89">
        <f>+_xlfn.XLOOKUP($B114,'Bloomberg Output'!$C$14:$C$131,'Bloomberg Output'!$L$14:$L$131)</f>
        <v/>
      </c>
      <c r="G114" s="89">
        <f>+_xlfn.XLOOKUP($B114,'Bloomberg Output'!$C$14:$C$131,'Bloomberg Output'!$N$14:$N$131)</f>
        <v/>
      </c>
      <c r="H114" s="127" t="n">
        <v>1</v>
      </c>
      <c r="I114" s="85">
        <f>H114*F114</f>
        <v/>
      </c>
      <c r="J114" s="92" t="n"/>
    </row>
    <row r="115" ht="14.5" customHeight="1">
      <c r="B115" s="88">
        <f>'Bloomberg Output'!C61</f>
        <v/>
      </c>
      <c r="C115" s="88" t="n"/>
      <c r="D115" s="88" t="n"/>
      <c r="E115" s="88" t="n"/>
      <c r="F115" s="89">
        <f>+_xlfn.XLOOKUP($B115,'Bloomberg Output'!$C$14:$C$131,'Bloomberg Output'!$L$14:$L$131)</f>
        <v/>
      </c>
      <c r="G115" s="89">
        <f>+_xlfn.XLOOKUP($B115,'Bloomberg Output'!$C$14:$C$131,'Bloomberg Output'!$N$14:$N$131)</f>
        <v/>
      </c>
      <c r="H115" s="127" t="n">
        <v>1</v>
      </c>
      <c r="I115" s="85">
        <f>H115*F115</f>
        <v/>
      </c>
      <c r="J115" s="92" t="n"/>
    </row>
    <row r="116" ht="14.5" customHeight="1">
      <c r="B116" s="88">
        <f>'Bloomberg Output'!C62</f>
        <v/>
      </c>
      <c r="C116" s="88" t="n"/>
      <c r="D116" s="88" t="n"/>
      <c r="E116" s="88" t="n"/>
      <c r="F116" s="89">
        <f>+_xlfn.XLOOKUP($B116,'Bloomberg Output'!$C$14:$C$131,'Bloomberg Output'!$L$14:$L$131)</f>
        <v/>
      </c>
      <c r="G116" s="89">
        <f>+_xlfn.XLOOKUP($B116,'Bloomberg Output'!$C$14:$C$131,'Bloomberg Output'!$N$14:$N$131)</f>
        <v/>
      </c>
      <c r="H116" s="127" t="n">
        <v>1</v>
      </c>
      <c r="I116" s="85">
        <f>H116*F116</f>
        <v/>
      </c>
      <c r="J116" s="92" t="n"/>
    </row>
    <row r="117" ht="14.5" customHeight="1">
      <c r="B117" s="88">
        <f>'Bloomberg Output'!C63</f>
        <v/>
      </c>
      <c r="C117" s="88" t="n"/>
      <c r="D117" s="88" t="n"/>
      <c r="E117" s="88" t="n"/>
      <c r="F117" s="89">
        <f>+_xlfn.XLOOKUP($B117,'Bloomberg Output'!$C$14:$C$131,'Bloomberg Output'!$L$14:$L$131)</f>
        <v/>
      </c>
      <c r="G117" s="89">
        <f>+_xlfn.XLOOKUP($B117,'Bloomberg Output'!$C$14:$C$131,'Bloomberg Output'!$N$14:$N$131)</f>
        <v/>
      </c>
      <c r="H117" s="127" t="n">
        <v>1</v>
      </c>
      <c r="I117" s="85">
        <f>H117*F117</f>
        <v/>
      </c>
      <c r="J117" s="92" t="n"/>
    </row>
    <row r="118" ht="14.5" customHeight="1">
      <c r="B118" s="88">
        <f>'Bloomberg Output'!C64</f>
        <v/>
      </c>
      <c r="C118" s="88" t="n"/>
      <c r="D118" s="88" t="n"/>
      <c r="E118" s="88" t="n"/>
      <c r="F118" s="89">
        <f>+_xlfn.XLOOKUP($B118,'Bloomberg Output'!$C$14:$C$131,'Bloomberg Output'!$L$14:$L$131)</f>
        <v/>
      </c>
      <c r="G118" s="89">
        <f>+_xlfn.XLOOKUP($B118,'Bloomberg Output'!$C$14:$C$131,'Bloomberg Output'!$N$14:$N$131)</f>
        <v/>
      </c>
      <c r="H118" s="127" t="n">
        <v>1</v>
      </c>
      <c r="I118" s="85">
        <f>H118*F118</f>
        <v/>
      </c>
      <c r="J118" s="92" t="n"/>
    </row>
    <row r="119" ht="14.5" customHeight="1">
      <c r="B119" s="88">
        <f>'Bloomberg Output'!C65</f>
        <v/>
      </c>
      <c r="C119" s="88" t="n"/>
      <c r="D119" s="88" t="n"/>
      <c r="E119" s="88" t="n"/>
      <c r="F119" s="89">
        <f>+_xlfn.XLOOKUP($B119,'Bloomberg Output'!$C$14:$C$131,'Bloomberg Output'!$L$14:$L$131)</f>
        <v/>
      </c>
      <c r="G119" s="89">
        <f>+_xlfn.XLOOKUP($B119,'Bloomberg Output'!$C$14:$C$131,'Bloomberg Output'!$N$14:$N$131)</f>
        <v/>
      </c>
      <c r="H119" s="127" t="n">
        <v>1</v>
      </c>
      <c r="I119" s="85">
        <f>H119*F119</f>
        <v/>
      </c>
      <c r="J119" s="92" t="n"/>
    </row>
    <row r="120" ht="14.5" customHeight="1">
      <c r="B120" s="88">
        <f>'Bloomberg Output'!C66</f>
        <v/>
      </c>
      <c r="C120" s="88" t="n"/>
      <c r="D120" s="88" t="n"/>
      <c r="E120" s="88" t="n"/>
      <c r="F120" s="89">
        <f>+_xlfn.XLOOKUP($B120,'Bloomberg Output'!$C$14:$C$131,'Bloomberg Output'!$L$14:$L$131)</f>
        <v/>
      </c>
      <c r="G120" s="89">
        <f>+_xlfn.XLOOKUP($B120,'Bloomberg Output'!$C$14:$C$131,'Bloomberg Output'!$N$14:$N$131)</f>
        <v/>
      </c>
      <c r="H120" s="127" t="n">
        <v>1</v>
      </c>
      <c r="I120" s="85">
        <f>H120*F120</f>
        <v/>
      </c>
      <c r="J120" s="92" t="n"/>
    </row>
    <row r="121" ht="14.5" customHeight="1">
      <c r="B121" s="88">
        <f>'Bloomberg Output'!C67</f>
        <v/>
      </c>
      <c r="C121" s="88" t="n"/>
      <c r="D121" s="88" t="n"/>
      <c r="E121" s="88" t="n"/>
      <c r="F121" s="89">
        <f>+_xlfn.XLOOKUP($B121,'Bloomberg Output'!$C$14:$C$131,'Bloomberg Output'!$L$14:$L$131)</f>
        <v/>
      </c>
      <c r="G121" s="89">
        <f>+_xlfn.XLOOKUP($B121,'Bloomberg Output'!$C$14:$C$131,'Bloomberg Output'!$N$14:$N$131)</f>
        <v/>
      </c>
      <c r="H121" s="127" t="n">
        <v>1</v>
      </c>
      <c r="I121" s="85">
        <f>H121*F121</f>
        <v/>
      </c>
      <c r="J121" s="92" t="n"/>
    </row>
    <row r="122" ht="14.5" customHeight="1">
      <c r="B122" s="88">
        <f>'Bloomberg Output'!C68</f>
        <v/>
      </c>
      <c r="C122" s="88" t="n"/>
      <c r="D122" s="88" t="n"/>
      <c r="E122" s="88" t="n"/>
      <c r="F122" s="89">
        <f>+_xlfn.XLOOKUP($B122,'Bloomberg Output'!$C$14:$C$131,'Bloomberg Output'!$L$14:$L$131)</f>
        <v/>
      </c>
      <c r="G122" s="89">
        <f>+_xlfn.XLOOKUP($B122,'Bloomberg Output'!$C$14:$C$131,'Bloomberg Output'!$N$14:$N$131)</f>
        <v/>
      </c>
      <c r="H122" s="127" t="n">
        <v>1</v>
      </c>
      <c r="I122" s="85">
        <f>H122*F122</f>
        <v/>
      </c>
      <c r="J122" s="92" t="n"/>
    </row>
    <row r="123" ht="14.5" customHeight="1">
      <c r="B123" s="88">
        <f>'Bloomberg Output'!C69</f>
        <v/>
      </c>
      <c r="C123" s="88" t="n"/>
      <c r="D123" s="88" t="n"/>
      <c r="E123" s="88" t="n"/>
      <c r="F123" s="89">
        <f>+_xlfn.XLOOKUP($B123,'Bloomberg Output'!$C$14:$C$131,'Bloomberg Output'!$L$14:$L$131)</f>
        <v/>
      </c>
      <c r="G123" s="89">
        <f>+_xlfn.XLOOKUP($B123,'Bloomberg Output'!$C$14:$C$131,'Bloomberg Output'!$N$14:$N$131)</f>
        <v/>
      </c>
      <c r="H123" s="127" t="n">
        <v>1</v>
      </c>
      <c r="I123" s="85">
        <f>H123*F123</f>
        <v/>
      </c>
      <c r="J123" s="92" t="n"/>
    </row>
    <row r="124" ht="14.5" customHeight="1">
      <c r="B124" s="88">
        <f>'Bloomberg Output'!C70</f>
        <v/>
      </c>
      <c r="C124" s="88" t="n"/>
      <c r="D124" s="88" t="n"/>
      <c r="E124" s="88" t="n"/>
      <c r="F124" s="89">
        <f>+_xlfn.XLOOKUP($B124,'Bloomberg Output'!$C$14:$C$131,'Bloomberg Output'!$L$14:$L$131)</f>
        <v/>
      </c>
      <c r="G124" s="89">
        <f>+_xlfn.XLOOKUP($B124,'Bloomberg Output'!$C$14:$C$131,'Bloomberg Output'!$N$14:$N$131)</f>
        <v/>
      </c>
      <c r="H124" s="127" t="n">
        <v>1</v>
      </c>
      <c r="I124" s="85">
        <f>H124*F124</f>
        <v/>
      </c>
      <c r="J124" s="92" t="n"/>
    </row>
    <row r="125" ht="14.5" customHeight="1">
      <c r="B125" s="88">
        <f>'Bloomberg Output'!C71</f>
        <v/>
      </c>
      <c r="C125" s="88" t="n"/>
      <c r="D125" s="88" t="n"/>
      <c r="E125" s="88" t="n"/>
      <c r="F125" s="89">
        <f>+_xlfn.XLOOKUP($B125,'Bloomberg Output'!$C$14:$C$131,'Bloomberg Output'!$L$14:$L$131)</f>
        <v/>
      </c>
      <c r="G125" s="89">
        <f>+_xlfn.XLOOKUP($B125,'Bloomberg Output'!$C$14:$C$131,'Bloomberg Output'!$N$14:$N$131)</f>
        <v/>
      </c>
      <c r="H125" s="127" t="n">
        <v>1</v>
      </c>
      <c r="I125" s="85">
        <f>H125*F125</f>
        <v/>
      </c>
      <c r="J125" s="92" t="n"/>
    </row>
    <row r="126" ht="14.5" customHeight="1">
      <c r="B126" s="88">
        <f>'Bloomberg Output'!C72</f>
        <v/>
      </c>
      <c r="C126" s="88" t="n"/>
      <c r="D126" s="88" t="n"/>
      <c r="E126" s="88" t="n"/>
      <c r="F126" s="89">
        <f>+_xlfn.XLOOKUP($B126,'Bloomberg Output'!$C$14:$C$131,'Bloomberg Output'!$L$14:$L$131)</f>
        <v/>
      </c>
      <c r="G126" s="89">
        <f>+_xlfn.XLOOKUP($B126,'Bloomberg Output'!$C$14:$C$131,'Bloomberg Output'!$N$14:$N$131)</f>
        <v/>
      </c>
      <c r="H126" s="127" t="n">
        <v>1</v>
      </c>
      <c r="I126" s="85">
        <f>H126*F126</f>
        <v/>
      </c>
      <c r="J126" s="92" t="n"/>
    </row>
    <row r="127" ht="14.5" customHeight="1">
      <c r="B127" s="88">
        <f>'Bloomberg Output'!C73</f>
        <v/>
      </c>
      <c r="C127" s="88" t="n"/>
      <c r="D127" s="88" t="n"/>
      <c r="E127" s="88" t="n"/>
      <c r="F127" s="89">
        <f>+_xlfn.XLOOKUP($B127,'Bloomberg Output'!$C$14:$C$131,'Bloomberg Output'!$L$14:$L$131)</f>
        <v/>
      </c>
      <c r="G127" s="89">
        <f>+_xlfn.XLOOKUP($B127,'Bloomberg Output'!$C$14:$C$131,'Bloomberg Output'!$N$14:$N$131)</f>
        <v/>
      </c>
      <c r="H127" s="127" t="n">
        <v>1</v>
      </c>
      <c r="I127" s="85">
        <f>H127*F127</f>
        <v/>
      </c>
      <c r="J127" s="92" t="n"/>
    </row>
    <row r="128" ht="14.5" customHeight="1">
      <c r="B128" s="88">
        <f>'Bloomberg Output'!C74</f>
        <v/>
      </c>
      <c r="C128" s="88" t="n"/>
      <c r="D128" s="88" t="n"/>
      <c r="E128" s="88" t="n"/>
      <c r="F128" s="89">
        <f>+_xlfn.XLOOKUP($B128,'Bloomberg Output'!$C$14:$C$131,'Bloomberg Output'!$L$14:$L$131)</f>
        <v/>
      </c>
      <c r="G128" s="89">
        <f>+_xlfn.XLOOKUP($B128,'Bloomberg Output'!$C$14:$C$131,'Bloomberg Output'!$N$14:$N$131)</f>
        <v/>
      </c>
      <c r="H128" s="127" t="n">
        <v>1</v>
      </c>
      <c r="I128" s="85">
        <f>H128*F128</f>
        <v/>
      </c>
      <c r="J128" s="92" t="n"/>
    </row>
    <row r="129" ht="14.5" customHeight="1">
      <c r="B129" s="88">
        <f>'Bloomberg Output'!C75</f>
        <v/>
      </c>
      <c r="C129" s="88" t="n"/>
      <c r="D129" s="88" t="n"/>
      <c r="E129" s="88" t="n"/>
      <c r="F129" s="89">
        <f>+_xlfn.XLOOKUP($B129,'Bloomberg Output'!$C$14:$C$131,'Bloomberg Output'!$L$14:$L$131)</f>
        <v/>
      </c>
      <c r="G129" s="89">
        <f>+_xlfn.XLOOKUP($B129,'Bloomberg Output'!$C$14:$C$131,'Bloomberg Output'!$N$14:$N$131)</f>
        <v/>
      </c>
      <c r="H129" s="127" t="n">
        <v>1</v>
      </c>
      <c r="I129" s="85">
        <f>H129*F129</f>
        <v/>
      </c>
      <c r="J129" s="92" t="n"/>
    </row>
    <row r="130" ht="14.5" customHeight="1">
      <c r="B130" s="88">
        <f>'Bloomberg Output'!C76</f>
        <v/>
      </c>
      <c r="C130" s="88" t="n"/>
      <c r="D130" s="88" t="n"/>
      <c r="E130" s="88" t="n"/>
      <c r="F130" s="89">
        <f>+_xlfn.XLOOKUP($B130,'Bloomberg Output'!$C$14:$C$131,'Bloomberg Output'!$L$14:$L$131)</f>
        <v/>
      </c>
      <c r="G130" s="89">
        <f>+_xlfn.XLOOKUP($B130,'Bloomberg Output'!$C$14:$C$131,'Bloomberg Output'!$N$14:$N$131)</f>
        <v/>
      </c>
      <c r="H130" s="127" t="n">
        <v>1</v>
      </c>
      <c r="I130" s="85">
        <f>H130*F130</f>
        <v/>
      </c>
      <c r="J130" s="92" t="n"/>
    </row>
    <row r="131" ht="14.5" customHeight="1">
      <c r="B131" s="88">
        <f>'Bloomberg Output'!C77</f>
        <v/>
      </c>
      <c r="C131" s="88" t="n"/>
      <c r="D131" s="88" t="n"/>
      <c r="E131" s="88" t="n"/>
      <c r="F131" s="89">
        <f>+_xlfn.XLOOKUP($B131,'Bloomberg Output'!$C$14:$C$131,'Bloomberg Output'!$L$14:$L$131)</f>
        <v/>
      </c>
      <c r="G131" s="89">
        <f>+_xlfn.XLOOKUP($B131,'Bloomberg Output'!$C$14:$C$131,'Bloomberg Output'!$N$14:$N$131)</f>
        <v/>
      </c>
      <c r="H131" s="127" t="n">
        <v>1</v>
      </c>
      <c r="I131" s="85">
        <f>H131*F131</f>
        <v/>
      </c>
      <c r="J131" s="92" t="n"/>
    </row>
    <row r="132" ht="14.5" customHeight="1">
      <c r="B132" s="88">
        <f>'Bloomberg Output'!C78</f>
        <v/>
      </c>
      <c r="C132" s="88" t="n"/>
      <c r="D132" s="88" t="n"/>
      <c r="E132" s="88" t="n"/>
      <c r="F132" s="89">
        <f>+_xlfn.XLOOKUP($B132,'Bloomberg Output'!$C$14:$C$131,'Bloomberg Output'!$L$14:$L$131)</f>
        <v/>
      </c>
      <c r="G132" s="89">
        <f>+_xlfn.XLOOKUP($B132,'Bloomberg Output'!$C$14:$C$131,'Bloomberg Output'!$N$14:$N$131)</f>
        <v/>
      </c>
      <c r="H132" s="127" t="n">
        <v>1</v>
      </c>
      <c r="I132" s="85">
        <f>H132*F132</f>
        <v/>
      </c>
      <c r="J132" s="92" t="n"/>
    </row>
    <row r="133" ht="14.5" customHeight="1">
      <c r="B133" s="88">
        <f>'Bloomberg Output'!C79</f>
        <v/>
      </c>
      <c r="C133" s="88" t="n"/>
      <c r="D133" s="88" t="n"/>
      <c r="E133" s="88" t="n"/>
      <c r="F133" s="89">
        <f>+_xlfn.XLOOKUP($B133,'Bloomberg Output'!$C$14:$C$131,'Bloomberg Output'!$L$14:$L$131)</f>
        <v/>
      </c>
      <c r="G133" s="89">
        <f>+_xlfn.XLOOKUP($B133,'Bloomberg Output'!$C$14:$C$131,'Bloomberg Output'!$N$14:$N$131)</f>
        <v/>
      </c>
      <c r="H133" s="127" t="n">
        <v>1</v>
      </c>
      <c r="I133" s="85">
        <f>H133*F133</f>
        <v/>
      </c>
      <c r="J133" s="92" t="n"/>
    </row>
    <row r="134" ht="14.5" customHeight="1">
      <c r="B134" s="88">
        <f>'Bloomberg Output'!C80</f>
        <v/>
      </c>
      <c r="C134" s="88" t="n"/>
      <c r="D134" s="88" t="n"/>
      <c r="E134" s="88" t="n"/>
      <c r="F134" s="89">
        <f>+_xlfn.XLOOKUP($B134,'Bloomberg Output'!$C$14:$C$131,'Bloomberg Output'!$L$14:$L$131)</f>
        <v/>
      </c>
      <c r="G134" s="89">
        <f>+_xlfn.XLOOKUP($B134,'Bloomberg Output'!$C$14:$C$131,'Bloomberg Output'!$N$14:$N$131)</f>
        <v/>
      </c>
      <c r="H134" s="127" t="n">
        <v>1</v>
      </c>
      <c r="I134" s="85">
        <f>H134*F134</f>
        <v/>
      </c>
      <c r="J134" s="92" t="n"/>
    </row>
    <row r="135" ht="14.5" customHeight="1">
      <c r="B135" s="88">
        <f>'Bloomberg Output'!C81</f>
        <v/>
      </c>
      <c r="C135" s="88" t="n"/>
      <c r="D135" s="88" t="n"/>
      <c r="E135" s="88" t="n"/>
      <c r="F135" s="89">
        <f>+_xlfn.XLOOKUP($B135,'Bloomberg Output'!$C$14:$C$131,'Bloomberg Output'!$L$14:$L$131)</f>
        <v/>
      </c>
      <c r="G135" s="89">
        <f>+_xlfn.XLOOKUP($B135,'Bloomberg Output'!$C$14:$C$131,'Bloomberg Output'!$N$14:$N$131)</f>
        <v/>
      </c>
      <c r="H135" s="127" t="n">
        <v>1</v>
      </c>
      <c r="I135" s="85">
        <f>H135*F135</f>
        <v/>
      </c>
      <c r="J135" s="92" t="n"/>
    </row>
    <row r="136" ht="14.5" customHeight="1">
      <c r="B136" s="88">
        <f>'Bloomberg Output'!C82</f>
        <v/>
      </c>
      <c r="C136" s="88" t="n"/>
      <c r="D136" s="88" t="n"/>
      <c r="E136" s="88" t="n"/>
      <c r="F136" s="89">
        <f>+_xlfn.XLOOKUP($B136,'Bloomberg Output'!$C$14:$C$131,'Bloomberg Output'!$L$14:$L$131)</f>
        <v/>
      </c>
      <c r="G136" s="89">
        <f>+_xlfn.XLOOKUP($B136,'Bloomberg Output'!$C$14:$C$131,'Bloomberg Output'!$N$14:$N$131)</f>
        <v/>
      </c>
      <c r="H136" s="127" t="n">
        <v>1</v>
      </c>
      <c r="I136" s="85">
        <f>H136*F136</f>
        <v/>
      </c>
      <c r="J136" s="92" t="n"/>
    </row>
    <row r="137" ht="14.5" customHeight="1">
      <c r="B137" s="88">
        <f>'Bloomberg Output'!C83</f>
        <v/>
      </c>
      <c r="C137" s="88" t="n"/>
      <c r="D137" s="88" t="n"/>
      <c r="E137" s="88" t="n"/>
      <c r="F137" s="89">
        <f>+_xlfn.XLOOKUP($B137,'Bloomberg Output'!$C$14:$C$131,'Bloomberg Output'!$L$14:$L$131)</f>
        <v/>
      </c>
      <c r="G137" s="89">
        <f>+_xlfn.XLOOKUP($B137,'Bloomberg Output'!$C$14:$C$131,'Bloomberg Output'!$N$14:$N$131)</f>
        <v/>
      </c>
      <c r="H137" s="127" t="n">
        <v>1</v>
      </c>
      <c r="I137" s="85">
        <f>H137*F137</f>
        <v/>
      </c>
      <c r="J137" s="92" t="n"/>
    </row>
    <row r="138" ht="14.5" customHeight="1">
      <c r="B138" s="88">
        <f>'Bloomberg Output'!C84</f>
        <v/>
      </c>
      <c r="C138" s="88" t="n"/>
      <c r="D138" s="88" t="n"/>
      <c r="E138" s="88" t="n"/>
      <c r="F138" s="89">
        <f>+_xlfn.XLOOKUP($B138,'Bloomberg Output'!$C$14:$C$131,'Bloomberg Output'!$L$14:$L$131)</f>
        <v/>
      </c>
      <c r="G138" s="89">
        <f>+_xlfn.XLOOKUP($B138,'Bloomberg Output'!$C$14:$C$131,'Bloomberg Output'!$N$14:$N$131)</f>
        <v/>
      </c>
      <c r="H138" s="127" t="n">
        <v>1</v>
      </c>
      <c r="I138" s="85">
        <f>H138*F138</f>
        <v/>
      </c>
      <c r="J138" s="92" t="n"/>
    </row>
    <row r="139" ht="14.5" customHeight="1">
      <c r="B139" s="88">
        <f>'Bloomberg Output'!C85</f>
        <v/>
      </c>
      <c r="C139" s="88" t="n"/>
      <c r="D139" s="88" t="n"/>
      <c r="E139" s="88" t="n"/>
      <c r="F139" s="89">
        <f>+_xlfn.XLOOKUP($B139,'Bloomberg Output'!$C$14:$C$131,'Bloomberg Output'!$L$14:$L$131)</f>
        <v/>
      </c>
      <c r="G139" s="89">
        <f>+_xlfn.XLOOKUP($B139,'Bloomberg Output'!$C$14:$C$131,'Bloomberg Output'!$N$14:$N$131)</f>
        <v/>
      </c>
      <c r="H139" s="127" t="n">
        <v>1</v>
      </c>
      <c r="I139" s="85">
        <f>H139*F139</f>
        <v/>
      </c>
      <c r="J139" s="92" t="n"/>
    </row>
    <row r="140" ht="14.5" customHeight="1">
      <c r="B140" s="88">
        <f>'Bloomberg Output'!C86</f>
        <v/>
      </c>
      <c r="C140" s="88" t="n"/>
      <c r="D140" s="88" t="n"/>
      <c r="E140" s="88" t="n"/>
      <c r="F140" s="89">
        <f>+_xlfn.XLOOKUP($B140,'Bloomberg Output'!$C$14:$C$131,'Bloomberg Output'!$L$14:$L$131)</f>
        <v/>
      </c>
      <c r="G140" s="89">
        <f>+_xlfn.XLOOKUP($B140,'Bloomberg Output'!$C$14:$C$131,'Bloomberg Output'!$N$14:$N$131)</f>
        <v/>
      </c>
      <c r="H140" s="127" t="n">
        <v>1</v>
      </c>
      <c r="I140" s="85">
        <f>H140*F140</f>
        <v/>
      </c>
      <c r="J140" s="92" t="n"/>
    </row>
    <row r="141" ht="14.5" customHeight="1">
      <c r="B141" s="88">
        <f>'Bloomberg Output'!C87</f>
        <v/>
      </c>
      <c r="C141" s="88" t="n"/>
      <c r="D141" s="88" t="n"/>
      <c r="E141" s="88" t="n"/>
      <c r="F141" s="89">
        <f>+_xlfn.XLOOKUP($B141,'Bloomberg Output'!$C$14:$C$131,'Bloomberg Output'!$L$14:$L$131)</f>
        <v/>
      </c>
      <c r="G141" s="89">
        <f>+_xlfn.XLOOKUP($B141,'Bloomberg Output'!$C$14:$C$131,'Bloomberg Output'!$N$14:$N$131)</f>
        <v/>
      </c>
      <c r="H141" s="127" t="n">
        <v>1</v>
      </c>
      <c r="I141" s="85">
        <f>H141*F141</f>
        <v/>
      </c>
      <c r="J141" s="92" t="n"/>
    </row>
    <row r="142" ht="14.5" customHeight="1">
      <c r="B142" s="88">
        <f>'Bloomberg Output'!C88</f>
        <v/>
      </c>
      <c r="C142" s="88" t="n"/>
      <c r="D142" s="88" t="n"/>
      <c r="E142" s="88" t="n"/>
      <c r="F142" s="89">
        <f>+_xlfn.XLOOKUP($B142,'Bloomberg Output'!$C$14:$C$131,'Bloomberg Output'!$L$14:$L$131)</f>
        <v/>
      </c>
      <c r="G142" s="89">
        <f>+_xlfn.XLOOKUP($B142,'Bloomberg Output'!$C$14:$C$131,'Bloomberg Output'!$N$14:$N$131)</f>
        <v/>
      </c>
      <c r="H142" s="127" t="n">
        <v>1</v>
      </c>
      <c r="I142" s="85">
        <f>H142*F142</f>
        <v/>
      </c>
      <c r="J142" s="92" t="n"/>
    </row>
    <row r="143" ht="14.5" customHeight="1">
      <c r="B143" s="88">
        <f>'Bloomberg Output'!C89</f>
        <v/>
      </c>
      <c r="C143" s="88" t="n"/>
      <c r="D143" s="88" t="n"/>
      <c r="E143" s="88" t="n"/>
      <c r="F143" s="89">
        <f>+_xlfn.XLOOKUP($B143,'Bloomberg Output'!$C$14:$C$131,'Bloomberg Output'!$L$14:$L$131)</f>
        <v/>
      </c>
      <c r="G143" s="89">
        <f>+_xlfn.XLOOKUP($B143,'Bloomberg Output'!$C$14:$C$131,'Bloomberg Output'!$N$14:$N$131)</f>
        <v/>
      </c>
      <c r="H143" s="127" t="n">
        <v>1</v>
      </c>
      <c r="I143" s="85">
        <f>H143*F143</f>
        <v/>
      </c>
      <c r="J143" s="92" t="n"/>
    </row>
    <row r="144" ht="14.5" customHeight="1">
      <c r="B144" s="88">
        <f>'Bloomberg Output'!C90</f>
        <v/>
      </c>
      <c r="C144" s="88" t="n"/>
      <c r="D144" s="88" t="n"/>
      <c r="E144" s="88" t="n"/>
      <c r="F144" s="89">
        <f>+_xlfn.XLOOKUP($B144,'Bloomberg Output'!$C$14:$C$131,'Bloomberg Output'!$L$14:$L$131)</f>
        <v/>
      </c>
      <c r="G144" s="89">
        <f>+_xlfn.XLOOKUP($B144,'Bloomberg Output'!$C$14:$C$131,'Bloomberg Output'!$N$14:$N$131)</f>
        <v/>
      </c>
      <c r="H144" s="127" t="n">
        <v>1</v>
      </c>
      <c r="I144" s="85">
        <f>H144*F144</f>
        <v/>
      </c>
      <c r="J144" s="92" t="n"/>
    </row>
    <row r="145" ht="14.5" customHeight="1">
      <c r="B145" s="88">
        <f>'Bloomberg Output'!C91</f>
        <v/>
      </c>
      <c r="C145" s="88" t="n"/>
      <c r="D145" s="88" t="n"/>
      <c r="E145" s="88" t="n"/>
      <c r="F145" s="89">
        <f>+_xlfn.XLOOKUP($B145,'Bloomberg Output'!$C$14:$C$131,'Bloomberg Output'!$L$14:$L$131)</f>
        <v/>
      </c>
      <c r="G145" s="89">
        <f>+_xlfn.XLOOKUP($B145,'Bloomberg Output'!$C$14:$C$131,'Bloomberg Output'!$N$14:$N$131)</f>
        <v/>
      </c>
      <c r="H145" s="127" t="n">
        <v>1</v>
      </c>
      <c r="I145" s="85">
        <f>H145*F145</f>
        <v/>
      </c>
      <c r="J145" s="92" t="n"/>
    </row>
    <row r="146" ht="14.5" customHeight="1">
      <c r="B146" s="88">
        <f>'Bloomberg Output'!C92</f>
        <v/>
      </c>
      <c r="C146" s="88" t="n"/>
      <c r="D146" s="88" t="n"/>
      <c r="E146" s="88" t="n"/>
      <c r="F146" s="89">
        <f>+_xlfn.XLOOKUP($B146,'Bloomberg Output'!$C$14:$C$131,'Bloomberg Output'!$L$14:$L$131)</f>
        <v/>
      </c>
      <c r="G146" s="89">
        <f>+_xlfn.XLOOKUP($B146,'Bloomberg Output'!$C$14:$C$131,'Bloomberg Output'!$N$14:$N$131)</f>
        <v/>
      </c>
      <c r="H146" s="127" t="n">
        <v>1</v>
      </c>
      <c r="I146" s="85">
        <f>H146*F146</f>
        <v/>
      </c>
      <c r="J146" s="92" t="n"/>
    </row>
    <row r="147" ht="14.5" customHeight="1">
      <c r="B147" s="88">
        <f>'Bloomberg Output'!C93</f>
        <v/>
      </c>
      <c r="C147" s="88" t="n"/>
      <c r="D147" s="88" t="n"/>
      <c r="E147" s="88" t="n"/>
      <c r="F147" s="89">
        <f>+_xlfn.XLOOKUP($B147,'Bloomberg Output'!$C$14:$C$131,'Bloomberg Output'!$L$14:$L$131)</f>
        <v/>
      </c>
      <c r="G147" s="89">
        <f>+_xlfn.XLOOKUP($B147,'Bloomberg Output'!$C$14:$C$131,'Bloomberg Output'!$N$14:$N$131)</f>
        <v/>
      </c>
      <c r="H147" s="127" t="n">
        <v>1</v>
      </c>
      <c r="I147" s="85">
        <f>H147*F147</f>
        <v/>
      </c>
      <c r="J147" s="92" t="n"/>
    </row>
    <row r="148" ht="14.5" customHeight="1">
      <c r="B148" s="88">
        <f>'Bloomberg Output'!C94</f>
        <v/>
      </c>
      <c r="C148" s="88" t="n"/>
      <c r="D148" s="88" t="n"/>
      <c r="E148" s="88" t="n"/>
      <c r="F148" s="89">
        <f>+_xlfn.XLOOKUP($B148,'Bloomberg Output'!$C$14:$C$131,'Bloomberg Output'!$L$14:$L$131)</f>
        <v/>
      </c>
      <c r="G148" s="89">
        <f>+_xlfn.XLOOKUP($B148,'Bloomberg Output'!$C$14:$C$131,'Bloomberg Output'!$N$14:$N$131)</f>
        <v/>
      </c>
      <c r="H148" s="127" t="n">
        <v>1</v>
      </c>
      <c r="I148" s="85">
        <f>H148*F148</f>
        <v/>
      </c>
      <c r="J148" s="92" t="n"/>
    </row>
    <row r="149" ht="14.5" customHeight="1">
      <c r="B149" s="88">
        <f>'Bloomberg Output'!C95</f>
        <v/>
      </c>
      <c r="C149" s="88" t="n"/>
      <c r="D149" s="88" t="n"/>
      <c r="E149" s="88" t="n"/>
      <c r="F149" s="89">
        <f>+_xlfn.XLOOKUP($B149,'Bloomberg Output'!$C$14:$C$131,'Bloomberg Output'!$L$14:$L$131)</f>
        <v/>
      </c>
      <c r="G149" s="89">
        <f>+_xlfn.XLOOKUP($B149,'Bloomberg Output'!$C$14:$C$131,'Bloomberg Output'!$N$14:$N$131)</f>
        <v/>
      </c>
      <c r="H149" s="127" t="n">
        <v>1</v>
      </c>
      <c r="I149" s="85">
        <f>H149*F149</f>
        <v/>
      </c>
      <c r="J149" s="92" t="n"/>
    </row>
    <row r="150" ht="14.5" customHeight="1">
      <c r="B150" s="88">
        <f>'Bloomberg Output'!C96</f>
        <v/>
      </c>
      <c r="C150" s="88" t="n"/>
      <c r="D150" s="88" t="n"/>
      <c r="E150" s="88" t="n"/>
      <c r="F150" s="89">
        <f>+_xlfn.XLOOKUP($B150,'Bloomberg Output'!$C$14:$C$131,'Bloomberg Output'!$L$14:$L$131)</f>
        <v/>
      </c>
      <c r="G150" s="89">
        <f>+_xlfn.XLOOKUP($B150,'Bloomberg Output'!$C$14:$C$131,'Bloomberg Output'!$N$14:$N$131)</f>
        <v/>
      </c>
      <c r="H150" s="122" t="n">
        <v>1</v>
      </c>
      <c r="I150" s="85">
        <f>H150*F150</f>
        <v/>
      </c>
      <c r="J150" s="92" t="n"/>
    </row>
    <row r="151" ht="14.5" customHeight="1">
      <c r="B151" s="88">
        <f>'Bloomberg Output'!C97</f>
        <v/>
      </c>
      <c r="C151" s="88" t="n"/>
      <c r="D151" s="88" t="n"/>
      <c r="E151" s="88" t="n"/>
      <c r="F151" s="89">
        <f>+_xlfn.XLOOKUP($B151,'Bloomberg Output'!$C$14:$C$131,'Bloomberg Output'!$L$14:$L$131)</f>
        <v/>
      </c>
      <c r="G151" s="89">
        <f>+_xlfn.XLOOKUP($B151,'Bloomberg Output'!$C$14:$C$131,'Bloomberg Output'!$N$14:$N$131)</f>
        <v/>
      </c>
      <c r="H151" s="122" t="n">
        <v>1</v>
      </c>
      <c r="I151" s="85">
        <f>H151*F151</f>
        <v/>
      </c>
      <c r="J151" s="92" t="n"/>
    </row>
    <row r="152" ht="14.5" customHeight="1">
      <c r="B152" s="88">
        <f>'Bloomberg Output'!C98</f>
        <v/>
      </c>
      <c r="C152" s="88" t="n"/>
      <c r="D152" s="88" t="n"/>
      <c r="E152" s="88" t="n"/>
      <c r="F152" s="89">
        <f>+_xlfn.XLOOKUP($B152,'Bloomberg Output'!$C$14:$C$131,'Bloomberg Output'!$L$14:$L$131)</f>
        <v/>
      </c>
      <c r="G152" s="89">
        <f>+_xlfn.XLOOKUP($B152,'Bloomberg Output'!$C$14:$C$131,'Bloomberg Output'!$N$14:$N$131)</f>
        <v/>
      </c>
      <c r="H152" s="122" t="n">
        <v>1</v>
      </c>
      <c r="I152" s="85">
        <f>H152*F152</f>
        <v/>
      </c>
      <c r="J152" s="92" t="n"/>
    </row>
    <row r="153" ht="14.5" customHeight="1">
      <c r="B153" s="88">
        <f>'Bloomberg Output'!C99</f>
        <v/>
      </c>
      <c r="C153" s="88" t="n"/>
      <c r="D153" s="88" t="n"/>
      <c r="E153" s="88" t="n"/>
      <c r="F153" s="89">
        <f>+_xlfn.XLOOKUP($B153,'Bloomberg Output'!$C$14:$C$131,'Bloomberg Output'!$L$14:$L$131)</f>
        <v/>
      </c>
      <c r="G153" s="89">
        <f>+_xlfn.XLOOKUP($B153,'Bloomberg Output'!$C$14:$C$131,'Bloomberg Output'!$N$14:$N$131)</f>
        <v/>
      </c>
      <c r="H153" s="122" t="n">
        <v>1</v>
      </c>
      <c r="I153" s="85">
        <f>H153*F153</f>
        <v/>
      </c>
      <c r="J153" s="92" t="n"/>
    </row>
    <row r="154" ht="14.5" customHeight="1">
      <c r="B154" s="88">
        <f>'Bloomberg Output'!C100</f>
        <v/>
      </c>
      <c r="C154" s="88" t="n"/>
      <c r="D154" s="88" t="n"/>
      <c r="E154" s="88" t="n"/>
      <c r="F154" s="89">
        <f>+_xlfn.XLOOKUP($B154,'Bloomberg Output'!$C$14:$C$131,'Bloomberg Output'!$L$14:$L$131)</f>
        <v/>
      </c>
      <c r="G154" s="89">
        <f>+_xlfn.XLOOKUP($B154,'Bloomberg Output'!$C$14:$C$131,'Bloomberg Output'!$N$14:$N$131)</f>
        <v/>
      </c>
      <c r="H154" s="122" t="n">
        <v>1</v>
      </c>
      <c r="I154" s="85">
        <f>H154*F154</f>
        <v/>
      </c>
      <c r="J154" s="92" t="n"/>
    </row>
    <row r="155" ht="14.5" customHeight="1">
      <c r="B155" s="88">
        <f>'Bloomberg Output'!C101</f>
        <v/>
      </c>
      <c r="C155" s="88" t="n"/>
      <c r="D155" s="88" t="n"/>
      <c r="E155" s="88" t="n"/>
      <c r="F155" s="89">
        <f>+_xlfn.XLOOKUP($B155,'Bloomberg Output'!$C$14:$C$131,'Bloomberg Output'!$L$14:$L$131)</f>
        <v/>
      </c>
      <c r="G155" s="89">
        <f>+_xlfn.XLOOKUP($B155,'Bloomberg Output'!$C$14:$C$131,'Bloomberg Output'!$N$14:$N$131)</f>
        <v/>
      </c>
      <c r="H155" s="122" t="n">
        <v>1</v>
      </c>
      <c r="I155" s="85">
        <f>H155*F155</f>
        <v/>
      </c>
      <c r="J155" s="92" t="n"/>
    </row>
    <row r="156" ht="14.5" customHeight="1">
      <c r="B156" s="88">
        <f>'Bloomberg Output'!C102</f>
        <v/>
      </c>
      <c r="C156" s="88" t="n"/>
      <c r="D156" s="88" t="n"/>
      <c r="E156" s="88" t="n"/>
      <c r="F156" s="89">
        <f>+_xlfn.XLOOKUP($B156,'Bloomberg Output'!$C$14:$C$131,'Bloomberg Output'!$L$14:$L$131)</f>
        <v/>
      </c>
      <c r="G156" s="89">
        <f>+_xlfn.XLOOKUP($B156,'Bloomberg Output'!$C$14:$C$131,'Bloomberg Output'!$N$14:$N$131)</f>
        <v/>
      </c>
      <c r="H156" s="122" t="n">
        <v>1</v>
      </c>
      <c r="I156" s="85">
        <f>H156*F156</f>
        <v/>
      </c>
      <c r="J156" s="92" t="n"/>
    </row>
    <row r="157" ht="14.5" customHeight="1">
      <c r="B157" s="88">
        <f>'Bloomberg Output'!C103</f>
        <v/>
      </c>
      <c r="C157" s="88" t="n"/>
      <c r="D157" s="88" t="n"/>
      <c r="E157" s="88" t="n"/>
      <c r="F157" s="89">
        <f>+_xlfn.XLOOKUP($B157,'Bloomberg Output'!$C$14:$C$131,'Bloomberg Output'!$L$14:$L$131)</f>
        <v/>
      </c>
      <c r="G157" s="89">
        <f>+_xlfn.XLOOKUP($B157,'Bloomberg Output'!$C$14:$C$131,'Bloomberg Output'!$N$14:$N$131)</f>
        <v/>
      </c>
      <c r="H157" s="122" t="n">
        <v>1</v>
      </c>
      <c r="I157" s="85">
        <f>H157*F157</f>
        <v/>
      </c>
      <c r="J157" s="92" t="n"/>
    </row>
    <row r="158" ht="14.5" customHeight="1">
      <c r="B158" s="88">
        <f>'Bloomberg Output'!C104</f>
        <v/>
      </c>
      <c r="C158" s="88" t="n"/>
      <c r="D158" s="88" t="n"/>
      <c r="E158" s="88" t="n"/>
      <c r="F158" s="89">
        <f>+_xlfn.XLOOKUP($B158,'Bloomberg Output'!$C$14:$C$131,'Bloomberg Output'!$L$14:$L$131)</f>
        <v/>
      </c>
      <c r="G158" s="89">
        <f>+_xlfn.XLOOKUP($B158,'Bloomberg Output'!$C$14:$C$131,'Bloomberg Output'!$N$14:$N$131)</f>
        <v/>
      </c>
      <c r="H158" s="122" t="n">
        <v>1</v>
      </c>
      <c r="I158" s="85">
        <f>H158*F158</f>
        <v/>
      </c>
      <c r="J158" s="92" t="n"/>
    </row>
    <row r="159" ht="14.5" customHeight="1">
      <c r="B159" s="88">
        <f>'Bloomberg Output'!C105</f>
        <v/>
      </c>
      <c r="C159" s="88" t="n"/>
      <c r="D159" s="88" t="n"/>
      <c r="E159" s="88" t="n"/>
      <c r="F159" s="89">
        <f>+_xlfn.XLOOKUP($B159,'Bloomberg Output'!$C$14:$C$131,'Bloomberg Output'!$L$14:$L$131)</f>
        <v/>
      </c>
      <c r="G159" s="89">
        <f>+_xlfn.XLOOKUP($B159,'Bloomberg Output'!$C$14:$C$131,'Bloomberg Output'!$N$14:$N$131)</f>
        <v/>
      </c>
      <c r="H159" s="122" t="n">
        <v>1</v>
      </c>
      <c r="I159" s="85">
        <f>H159*F159</f>
        <v/>
      </c>
      <c r="J159" s="92" t="n"/>
    </row>
    <row r="160" ht="14.5" customHeight="1">
      <c r="B160" s="88">
        <f>'Bloomberg Output'!C106</f>
        <v/>
      </c>
      <c r="C160" s="88" t="n"/>
      <c r="D160" s="88" t="n"/>
      <c r="E160" s="88" t="n"/>
      <c r="F160" s="89">
        <f>+_xlfn.XLOOKUP($B160,'Bloomberg Output'!$C$14:$C$131,'Bloomberg Output'!$L$14:$L$131)</f>
        <v/>
      </c>
      <c r="G160" s="89">
        <f>+_xlfn.XLOOKUP($B160,'Bloomberg Output'!$C$14:$C$131,'Bloomberg Output'!$N$14:$N$131)</f>
        <v/>
      </c>
      <c r="H160" s="122" t="n">
        <v>1</v>
      </c>
      <c r="I160" s="85">
        <f>H160*F160</f>
        <v/>
      </c>
      <c r="J160" s="92" t="n"/>
    </row>
    <row r="161" ht="14.5" customHeight="1">
      <c r="B161" s="88">
        <f>'Bloomberg Output'!C107</f>
        <v/>
      </c>
      <c r="C161" s="88" t="n"/>
      <c r="D161" s="88" t="n"/>
      <c r="E161" s="88" t="n"/>
      <c r="F161" s="89">
        <f>+_xlfn.XLOOKUP($B161,'Bloomberg Output'!$C$14:$C$131,'Bloomberg Output'!$L$14:$L$131)</f>
        <v/>
      </c>
      <c r="G161" s="89">
        <f>+_xlfn.XLOOKUP($B161,'Bloomberg Output'!$C$14:$C$131,'Bloomberg Output'!$N$14:$N$131)</f>
        <v/>
      </c>
      <c r="H161" s="122" t="n">
        <v>1</v>
      </c>
      <c r="I161" s="85">
        <f>H161*F161</f>
        <v/>
      </c>
      <c r="J161" s="92" t="n"/>
    </row>
    <row r="162" ht="14.5" customHeight="1">
      <c r="B162" s="88">
        <f>'Bloomberg Output'!C108</f>
        <v/>
      </c>
      <c r="C162" s="88" t="n"/>
      <c r="D162" s="88" t="n"/>
      <c r="E162" s="88" t="n"/>
      <c r="F162" s="89">
        <f>+_xlfn.XLOOKUP($B162,'Bloomberg Output'!$C$14:$C$131,'Bloomberg Output'!$L$14:$L$131)</f>
        <v/>
      </c>
      <c r="G162" s="89">
        <f>+_xlfn.XLOOKUP($B162,'Bloomberg Output'!$C$14:$C$131,'Bloomberg Output'!$N$14:$N$131)</f>
        <v/>
      </c>
      <c r="H162" s="122" t="n">
        <v>1</v>
      </c>
      <c r="I162" s="85">
        <f>H162*F162</f>
        <v/>
      </c>
      <c r="J162" s="92" t="n"/>
    </row>
    <row r="163" ht="14.5" customHeight="1">
      <c r="B163" s="88">
        <f>'Bloomberg Output'!C109</f>
        <v/>
      </c>
      <c r="C163" s="88" t="n"/>
      <c r="D163" s="88" t="n"/>
      <c r="E163" s="88" t="n"/>
      <c r="F163" s="89">
        <f>+_xlfn.XLOOKUP($B163,'Bloomberg Output'!$C$14:$C$131,'Bloomberg Output'!$L$14:$L$131)</f>
        <v/>
      </c>
      <c r="G163" s="89">
        <f>+_xlfn.XLOOKUP($B163,'Bloomberg Output'!$C$14:$C$131,'Bloomberg Output'!$N$14:$N$131)</f>
        <v/>
      </c>
      <c r="H163" s="122" t="n">
        <v>1</v>
      </c>
      <c r="I163" s="85">
        <f>H163*F163</f>
        <v/>
      </c>
      <c r="J163" s="92" t="n"/>
    </row>
    <row r="164" ht="14.5" customHeight="1">
      <c r="B164" s="88">
        <f>'Bloomberg Output'!C110</f>
        <v/>
      </c>
      <c r="C164" s="88" t="n"/>
      <c r="D164" s="88" t="n"/>
      <c r="E164" s="88" t="n"/>
      <c r="F164" s="89">
        <f>+_xlfn.XLOOKUP($B164,'Bloomberg Output'!$C$14:$C$131,'Bloomberg Output'!$L$14:$L$131)</f>
        <v/>
      </c>
      <c r="G164" s="89">
        <f>+_xlfn.XLOOKUP($B164,'Bloomberg Output'!$C$14:$C$131,'Bloomberg Output'!$N$14:$N$131)</f>
        <v/>
      </c>
      <c r="H164" s="122" t="n">
        <v>1</v>
      </c>
      <c r="I164" s="85">
        <f>H164*F164</f>
        <v/>
      </c>
      <c r="J164" s="92" t="n"/>
    </row>
    <row r="165" ht="14.5" customHeight="1">
      <c r="B165" s="88">
        <f>'Bloomberg Output'!C111</f>
        <v/>
      </c>
      <c r="C165" s="88" t="n"/>
      <c r="D165" s="88" t="n"/>
      <c r="E165" s="88" t="n"/>
      <c r="F165" s="89">
        <f>+_xlfn.XLOOKUP($B165,'Bloomberg Output'!$C$14:$C$131,'Bloomberg Output'!$L$14:$L$131)</f>
        <v/>
      </c>
      <c r="G165" s="89">
        <f>+_xlfn.XLOOKUP($B165,'Bloomberg Output'!$C$14:$C$131,'Bloomberg Output'!$N$14:$N$131)</f>
        <v/>
      </c>
      <c r="H165" s="122" t="n">
        <v>1</v>
      </c>
      <c r="I165" s="85">
        <f>H165*F165</f>
        <v/>
      </c>
      <c r="J165" s="92" t="n"/>
    </row>
    <row r="166" ht="14.5" customHeight="1">
      <c r="B166" s="88">
        <f>'Bloomberg Output'!C112</f>
        <v/>
      </c>
      <c r="C166" s="88" t="n"/>
      <c r="D166" s="88" t="n"/>
      <c r="E166" s="88" t="n"/>
      <c r="F166" s="89">
        <f>+_xlfn.XLOOKUP($B166,'Bloomberg Output'!$C$14:$C$131,'Bloomberg Output'!$L$14:$L$131)</f>
        <v/>
      </c>
      <c r="G166" s="89">
        <f>+_xlfn.XLOOKUP($B166,'Bloomberg Output'!$C$14:$C$131,'Bloomberg Output'!$N$14:$N$131)</f>
        <v/>
      </c>
      <c r="H166" s="122" t="n">
        <v>1</v>
      </c>
      <c r="I166" s="85">
        <f>H166*F166</f>
        <v/>
      </c>
      <c r="J166" s="92" t="n"/>
    </row>
    <row r="167" ht="14.5" customHeight="1">
      <c r="B167" s="88">
        <f>'Bloomberg Output'!C113</f>
        <v/>
      </c>
      <c r="C167" s="88" t="n"/>
      <c r="D167" s="88" t="n"/>
      <c r="E167" s="88" t="n"/>
      <c r="F167" s="89">
        <f>+_xlfn.XLOOKUP($B167,'Bloomberg Output'!$C$14:$C$131,'Bloomberg Output'!$L$14:$L$131)</f>
        <v/>
      </c>
      <c r="G167" s="89">
        <f>+_xlfn.XLOOKUP($B167,'Bloomberg Output'!$C$14:$C$131,'Bloomberg Output'!$N$14:$N$131)</f>
        <v/>
      </c>
      <c r="H167" s="122" t="n">
        <v>1</v>
      </c>
      <c r="I167" s="85">
        <f>H167*F167</f>
        <v/>
      </c>
      <c r="J167" s="92" t="n"/>
    </row>
    <row r="168" ht="14.5" customHeight="1">
      <c r="B168" s="88">
        <f>'Bloomberg Output'!C114</f>
        <v/>
      </c>
      <c r="C168" s="88" t="n"/>
      <c r="D168" s="88" t="n"/>
      <c r="E168" s="88" t="n"/>
      <c r="F168" s="89">
        <f>+_xlfn.XLOOKUP($B168,'Bloomberg Output'!$C$14:$C$131,'Bloomberg Output'!$L$14:$L$131)</f>
        <v/>
      </c>
      <c r="G168" s="89">
        <f>+_xlfn.XLOOKUP($B168,'Bloomberg Output'!$C$14:$C$131,'Bloomberg Output'!$N$14:$N$131)</f>
        <v/>
      </c>
      <c r="H168" s="122" t="n">
        <v>1</v>
      </c>
      <c r="I168" s="85">
        <f>H168*F168</f>
        <v/>
      </c>
      <c r="J168" s="92" t="n"/>
    </row>
    <row r="169" ht="14.5" customHeight="1">
      <c r="B169" s="88">
        <f>'Bloomberg Output'!C115</f>
        <v/>
      </c>
      <c r="C169" s="88" t="n"/>
      <c r="D169" s="88" t="n"/>
      <c r="E169" s="88" t="n"/>
      <c r="F169" s="89">
        <f>+_xlfn.XLOOKUP($B169,'Bloomberg Output'!$C$14:$C$131,'Bloomberg Output'!$L$14:$L$131)</f>
        <v/>
      </c>
      <c r="G169" s="89">
        <f>+_xlfn.XLOOKUP($B169,'Bloomberg Output'!$C$14:$C$131,'Bloomberg Output'!$N$14:$N$131)</f>
        <v/>
      </c>
      <c r="H169" s="122" t="n">
        <v>1</v>
      </c>
      <c r="I169" s="85">
        <f>H169*F169</f>
        <v/>
      </c>
      <c r="J169" s="92" t="n"/>
    </row>
    <row r="170" ht="14.5" customHeight="1">
      <c r="B170" s="88">
        <f>'Bloomberg Output'!C116</f>
        <v/>
      </c>
      <c r="C170" s="88" t="n"/>
      <c r="D170" s="88" t="n"/>
      <c r="E170" s="88" t="n"/>
      <c r="F170" s="89">
        <f>+_xlfn.XLOOKUP($B170,'Bloomberg Output'!$C$14:$C$131,'Bloomberg Output'!$L$14:$L$131)</f>
        <v/>
      </c>
      <c r="G170" s="89">
        <f>+_xlfn.XLOOKUP($B170,'Bloomberg Output'!$C$14:$C$131,'Bloomberg Output'!$N$14:$N$131)</f>
        <v/>
      </c>
      <c r="H170" s="122" t="n">
        <v>1</v>
      </c>
      <c r="I170" s="85">
        <f>H170*F170</f>
        <v/>
      </c>
      <c r="J170" s="92" t="n"/>
    </row>
    <row r="171" ht="14.5" customHeight="1">
      <c r="B171" s="88">
        <f>'Bloomberg Output'!C117</f>
        <v/>
      </c>
      <c r="C171" s="88" t="n"/>
      <c r="D171" s="88" t="n"/>
      <c r="E171" s="88" t="n"/>
      <c r="F171" s="89">
        <f>+_xlfn.XLOOKUP($B171,'Bloomberg Output'!$C$14:$C$131,'Bloomberg Output'!$L$14:$L$131)</f>
        <v/>
      </c>
      <c r="G171" s="89">
        <f>+_xlfn.XLOOKUP($B171,'Bloomberg Output'!$C$14:$C$131,'Bloomberg Output'!$N$14:$N$131)</f>
        <v/>
      </c>
      <c r="H171" s="122" t="n">
        <v>1</v>
      </c>
      <c r="I171" s="85">
        <f>H171*F171</f>
        <v/>
      </c>
      <c r="J171" s="92" t="n"/>
    </row>
    <row r="172" ht="14.5" customHeight="1">
      <c r="B172" s="88">
        <f>'Bloomberg Output'!C118</f>
        <v/>
      </c>
      <c r="C172" s="88" t="n"/>
      <c r="D172" s="88" t="n"/>
      <c r="E172" s="88" t="n"/>
      <c r="F172" s="89">
        <f>+_xlfn.XLOOKUP($B172,'Bloomberg Output'!$C$14:$C$131,'Bloomberg Output'!$L$14:$L$131)</f>
        <v/>
      </c>
      <c r="G172" s="89">
        <f>+_xlfn.XLOOKUP($B172,'Bloomberg Output'!$C$14:$C$131,'Bloomberg Output'!$N$14:$N$131)</f>
        <v/>
      </c>
      <c r="H172" s="122" t="n">
        <v>1</v>
      </c>
      <c r="I172" s="85">
        <f>H172*F172</f>
        <v/>
      </c>
      <c r="J172" s="92" t="n"/>
    </row>
    <row r="173" ht="14.5" customHeight="1">
      <c r="B173" s="88">
        <f>'Bloomberg Output'!C119</f>
        <v/>
      </c>
      <c r="C173" s="88" t="n"/>
      <c r="D173" s="88" t="n"/>
      <c r="E173" s="88" t="n"/>
      <c r="F173" s="89">
        <f>+_xlfn.XLOOKUP($B173,'Bloomberg Output'!$C$14:$C$131,'Bloomberg Output'!$L$14:$L$131)</f>
        <v/>
      </c>
      <c r="G173" s="89">
        <f>+_xlfn.XLOOKUP($B173,'Bloomberg Output'!$C$14:$C$131,'Bloomberg Output'!$N$14:$N$131)</f>
        <v/>
      </c>
      <c r="H173" s="122" t="n">
        <v>1</v>
      </c>
      <c r="I173" s="85">
        <f>H173*F173</f>
        <v/>
      </c>
      <c r="J173" s="92" t="n"/>
    </row>
    <row r="174" ht="14.5" customHeight="1">
      <c r="B174" s="88">
        <f>'Bloomberg Output'!C120</f>
        <v/>
      </c>
      <c r="C174" s="88" t="n"/>
      <c r="D174" s="88" t="n"/>
      <c r="E174" s="88" t="n"/>
      <c r="F174" s="89">
        <f>+_xlfn.XLOOKUP($B174,'Bloomberg Output'!$C$14:$C$131,'Bloomberg Output'!$L$14:$L$131)</f>
        <v/>
      </c>
      <c r="G174" s="89">
        <f>+_xlfn.XLOOKUP($B174,'Bloomberg Output'!$C$14:$C$131,'Bloomberg Output'!$N$14:$N$131)</f>
        <v/>
      </c>
      <c r="H174" s="122" t="n">
        <v>1</v>
      </c>
      <c r="I174" s="85">
        <f>H174*F174</f>
        <v/>
      </c>
      <c r="J174" s="92" t="n"/>
    </row>
    <row r="175" ht="14.5" customHeight="1">
      <c r="B175" s="88">
        <f>'Bloomberg Output'!C121</f>
        <v/>
      </c>
      <c r="C175" s="88" t="n"/>
      <c r="D175" s="88" t="n"/>
      <c r="E175" s="88" t="n"/>
      <c r="F175" s="89">
        <f>+_xlfn.XLOOKUP($B175,'Bloomberg Output'!$C$14:$C$131,'Bloomberg Output'!$L$14:$L$131)</f>
        <v/>
      </c>
      <c r="G175" s="89">
        <f>+_xlfn.XLOOKUP($B175,'Bloomberg Output'!$C$14:$C$131,'Bloomberg Output'!$N$14:$N$131)</f>
        <v/>
      </c>
      <c r="H175" s="122" t="n">
        <v>1</v>
      </c>
      <c r="I175" s="85">
        <f>H175*F175</f>
        <v/>
      </c>
      <c r="J175" s="92" t="n"/>
    </row>
    <row r="176" ht="14.5" customHeight="1">
      <c r="B176" s="88">
        <f>'Bloomberg Output'!C122</f>
        <v/>
      </c>
      <c r="C176" s="88" t="n"/>
      <c r="D176" s="88" t="n"/>
      <c r="E176" s="88" t="n"/>
      <c r="F176" s="89">
        <f>+_xlfn.XLOOKUP($B176,'Bloomberg Output'!$C$14:$C$131,'Bloomberg Output'!$L$14:$L$131)</f>
        <v/>
      </c>
      <c r="G176" s="89">
        <f>+_xlfn.XLOOKUP($B176,'Bloomberg Output'!$C$14:$C$131,'Bloomberg Output'!$N$14:$N$131)</f>
        <v/>
      </c>
      <c r="H176" s="122" t="n">
        <v>1</v>
      </c>
      <c r="I176" s="85">
        <f>H176*F176</f>
        <v/>
      </c>
      <c r="J176" s="92" t="n"/>
    </row>
    <row r="177" ht="14.5" customHeight="1">
      <c r="B177" s="88">
        <f>'Bloomberg Output'!C123</f>
        <v/>
      </c>
      <c r="C177" s="88" t="n"/>
      <c r="D177" s="88" t="n"/>
      <c r="E177" s="88" t="n"/>
      <c r="F177" s="89">
        <f>+_xlfn.XLOOKUP($B177,'Bloomberg Output'!$C$14:$C$131,'Bloomberg Output'!$L$14:$L$131)</f>
        <v/>
      </c>
      <c r="G177" s="89">
        <f>+_xlfn.XLOOKUP($B177,'Bloomberg Output'!$C$14:$C$131,'Bloomberg Output'!$N$14:$N$131)</f>
        <v/>
      </c>
      <c r="H177" s="122" t="n">
        <v>1</v>
      </c>
      <c r="I177" s="85">
        <f>H177*F177</f>
        <v/>
      </c>
      <c r="J177" s="92" t="n"/>
    </row>
    <row r="178" ht="14.5" customHeight="1">
      <c r="B178" s="88">
        <f>'Bloomberg Output'!C124</f>
        <v/>
      </c>
      <c r="C178" s="88" t="n"/>
      <c r="D178" s="88" t="n"/>
      <c r="E178" s="88" t="n"/>
      <c r="F178" s="89">
        <f>+_xlfn.XLOOKUP($B178,'Bloomberg Output'!$C$14:$C$131,'Bloomberg Output'!$L$14:$L$131)</f>
        <v/>
      </c>
      <c r="G178" s="89">
        <f>+_xlfn.XLOOKUP($B178,'Bloomberg Output'!$C$14:$C$131,'Bloomberg Output'!$N$14:$N$131)</f>
        <v/>
      </c>
      <c r="H178" s="122" t="n">
        <v>1</v>
      </c>
      <c r="I178" s="85">
        <f>H178*F178</f>
        <v/>
      </c>
      <c r="J178" s="92" t="n"/>
    </row>
    <row r="179" ht="14.5" customHeight="1">
      <c r="B179" s="88">
        <f>'Bloomberg Output'!C125</f>
        <v/>
      </c>
      <c r="C179" s="88" t="n"/>
      <c r="D179" s="88" t="n"/>
      <c r="E179" s="88" t="n"/>
      <c r="F179" s="89">
        <f>+_xlfn.XLOOKUP($B179,'Bloomberg Output'!$C$14:$C$131,'Bloomberg Output'!$L$14:$L$131)</f>
        <v/>
      </c>
      <c r="G179" s="89">
        <f>+_xlfn.XLOOKUP($B179,'Bloomberg Output'!$C$14:$C$131,'Bloomberg Output'!$N$14:$N$131)</f>
        <v/>
      </c>
      <c r="H179" s="122" t="n">
        <v>1</v>
      </c>
      <c r="I179" s="85">
        <f>H179*F179</f>
        <v/>
      </c>
    </row>
    <row r="180" ht="14.5" customHeight="1">
      <c r="B180" s="88">
        <f>'Bloomberg Output'!C126</f>
        <v/>
      </c>
      <c r="C180" s="88" t="n"/>
      <c r="D180" s="88" t="n"/>
      <c r="E180" s="88" t="n"/>
      <c r="F180" s="89">
        <f>+_xlfn.XLOOKUP($B180,'Bloomberg Output'!$C$14:$C$131,'Bloomberg Output'!$L$14:$L$131)</f>
        <v/>
      </c>
      <c r="G180" s="89">
        <f>+_xlfn.XLOOKUP($B180,'Bloomberg Output'!$C$14:$C$131,'Bloomberg Output'!$N$14:$N$131)</f>
        <v/>
      </c>
      <c r="H180" s="122" t="n">
        <v>1</v>
      </c>
      <c r="I180" s="85">
        <f>H180*F180</f>
        <v/>
      </c>
    </row>
    <row r="181" ht="14.5" customHeight="1">
      <c r="B181" s="88">
        <f>'Bloomberg Output'!C127</f>
        <v/>
      </c>
      <c r="C181" s="88" t="n"/>
      <c r="D181" s="88" t="n"/>
      <c r="E181" s="88" t="n"/>
      <c r="F181" s="89">
        <f>+_xlfn.XLOOKUP($B181,'Bloomberg Output'!$C$14:$C$131,'Bloomberg Output'!$L$14:$L$131)</f>
        <v/>
      </c>
      <c r="G181" s="89">
        <f>+_xlfn.XLOOKUP($B181,'Bloomberg Output'!$C$14:$C$131,'Bloomberg Output'!$N$14:$N$131)</f>
        <v/>
      </c>
      <c r="H181" s="122" t="n">
        <v>1</v>
      </c>
      <c r="I181" s="85">
        <f>H181*F181</f>
        <v/>
      </c>
    </row>
    <row r="182" ht="14.5" customHeight="1">
      <c r="B182" s="88">
        <f>'Bloomberg Output'!C128</f>
        <v/>
      </c>
      <c r="C182" s="88" t="n"/>
      <c r="D182" s="88" t="n"/>
      <c r="E182" s="88" t="n"/>
      <c r="F182" s="89">
        <f>+_xlfn.XLOOKUP($B182,'Bloomberg Output'!$C$14:$C$131,'Bloomberg Output'!$L$14:$L$131)</f>
        <v/>
      </c>
      <c r="G182" s="89">
        <f>+_xlfn.XLOOKUP($B182,'Bloomberg Output'!$C$14:$C$131,'Bloomberg Output'!$N$14:$N$131)</f>
        <v/>
      </c>
      <c r="H182" s="122" t="n">
        <v>1</v>
      </c>
      <c r="I182" s="85">
        <f>H182*F182</f>
        <v/>
      </c>
    </row>
    <row r="183" ht="14.5" customHeight="1">
      <c r="B183" s="88">
        <f>'Bloomberg Output'!C129</f>
        <v/>
      </c>
      <c r="C183" s="88" t="n"/>
      <c r="D183" s="88" t="n"/>
      <c r="E183" s="88" t="n"/>
      <c r="F183" s="89">
        <f>+_xlfn.XLOOKUP($B183,'Bloomberg Output'!$C$14:$C$131,'Bloomberg Output'!$L$14:$L$131)</f>
        <v/>
      </c>
      <c r="G183" s="89">
        <f>+_xlfn.XLOOKUP($B183,'Bloomberg Output'!$C$14:$C$131,'Bloomberg Output'!$N$14:$N$131)</f>
        <v/>
      </c>
      <c r="H183" s="122" t="n">
        <v>1</v>
      </c>
      <c r="I183" s="85">
        <f>H183*F183</f>
        <v/>
      </c>
    </row>
    <row r="184" ht="14.5" customHeight="1">
      <c r="B184" s="88">
        <f>'Bloomberg Output'!C130</f>
        <v/>
      </c>
      <c r="C184" s="88" t="n"/>
      <c r="D184" s="88" t="n"/>
      <c r="E184" s="88" t="n"/>
      <c r="F184" s="89">
        <f>+_xlfn.XLOOKUP($B184,'Bloomberg Output'!$C$14:$C$131,'Bloomberg Output'!$L$14:$L$131)</f>
        <v/>
      </c>
      <c r="G184" s="89">
        <f>+_xlfn.XLOOKUP($B184,'Bloomberg Output'!$C$14:$C$131,'Bloomberg Output'!$N$14:$N$131)</f>
        <v/>
      </c>
      <c r="H184" s="122" t="n">
        <v>1</v>
      </c>
      <c r="I184" s="85">
        <f>H184*F184</f>
        <v/>
      </c>
    </row>
    <row r="185" ht="14.5" customHeight="1">
      <c r="B185" s="88">
        <f>'Bloomberg Output'!C131</f>
        <v/>
      </c>
      <c r="C185" s="88" t="n"/>
      <c r="D185" s="88" t="n"/>
      <c r="E185" s="88" t="n"/>
      <c r="F185" s="89">
        <f>+_xlfn.XLOOKUP($B185,'Bloomberg Output'!$C$14:$C$131,'Bloomberg Output'!$L$14:$L$131)</f>
        <v/>
      </c>
      <c r="G185" s="89">
        <f>+_xlfn.XLOOKUP($B185,'Bloomberg Output'!$C$14:$C$131,'Bloomberg Output'!$N$14:$N$131)</f>
        <v/>
      </c>
      <c r="H185" s="122" t="n">
        <v>1</v>
      </c>
      <c r="I185" s="85">
        <f>H185*F185</f>
        <v/>
      </c>
    </row>
    <row r="186" ht="14.5" customHeight="1">
      <c r="B186" s="96" t="n"/>
      <c r="C186" s="96" t="n"/>
      <c r="D186" s="96" t="n"/>
      <c r="E186" s="96" t="n"/>
      <c r="F186" s="96" t="n"/>
      <c r="G186" s="96" t="n"/>
      <c r="H186" s="96" t="n"/>
      <c r="I186" s="96" t="n"/>
    </row>
    <row r="187" ht="14.5" customHeight="1">
      <c r="B187" s="96" t="n"/>
      <c r="C187" s="96" t="n"/>
      <c r="D187" s="96" t="n"/>
      <c r="E187" s="96" t="n"/>
      <c r="F187" s="96" t="n"/>
      <c r="G187" s="96" t="n"/>
      <c r="H187" s="96" t="n"/>
      <c r="I187" s="96" t="n"/>
    </row>
    <row r="188" ht="14.5" customHeight="1">
      <c r="B188" s="96" t="n"/>
      <c r="C188" s="96" t="n"/>
      <c r="D188" s="96" t="n"/>
      <c r="E188" s="96" t="n"/>
      <c r="F188" s="96" t="n"/>
      <c r="G188" s="96" t="n"/>
      <c r="H188" s="96" t="n"/>
      <c r="I188" s="96" t="n"/>
    </row>
    <row r="189" ht="14.5" customHeight="1">
      <c r="B189" s="96" t="n"/>
      <c r="C189" s="96" t="n"/>
      <c r="D189" s="96" t="n"/>
      <c r="E189" s="96" t="n"/>
      <c r="F189" s="96" t="n"/>
      <c r="G189" s="96" t="n"/>
      <c r="H189" s="96" t="n"/>
      <c r="I189" s="96" t="n"/>
    </row>
    <row r="190" ht="14.5" customHeight="1">
      <c r="B190" s="96" t="n"/>
      <c r="C190" s="96" t="n"/>
      <c r="D190" s="96" t="n"/>
      <c r="E190" s="96" t="n"/>
      <c r="F190" s="96" t="n"/>
      <c r="G190" s="96" t="n"/>
      <c r="H190" s="96" t="n"/>
      <c r="I190" s="96" t="n"/>
    </row>
    <row r="191" ht="14.5" customHeight="1">
      <c r="B191" s="96" t="n"/>
      <c r="C191" s="96" t="n"/>
      <c r="D191" s="96" t="n"/>
      <c r="E191" s="96" t="n"/>
      <c r="F191" s="96" t="n"/>
      <c r="G191" s="96" t="n"/>
      <c r="H191" s="96" t="n"/>
      <c r="I191" s="96" t="n"/>
    </row>
    <row r="192" ht="14.5" customHeight="1">
      <c r="B192" s="96" t="n"/>
      <c r="C192" s="96" t="n"/>
      <c r="D192" s="96" t="n"/>
      <c r="E192" s="96" t="n"/>
      <c r="F192" s="96" t="n"/>
      <c r="G192" s="96" t="n"/>
      <c r="H192" s="96" t="n"/>
      <c r="I192" s="96" t="n"/>
    </row>
    <row r="193" ht="14.5" customHeight="1">
      <c r="B193" s="96" t="n"/>
      <c r="C193" s="96" t="n"/>
      <c r="D193" s="96" t="n"/>
      <c r="E193" s="96" t="n"/>
      <c r="F193" s="96" t="n"/>
      <c r="G193" s="96" t="n"/>
      <c r="H193" s="96" t="n"/>
      <c r="I193" s="96" t="n"/>
    </row>
    <row r="194" ht="14.5" customHeight="1">
      <c r="B194" s="96" t="n"/>
      <c r="C194" s="96" t="n"/>
      <c r="D194" s="96" t="n"/>
      <c r="E194" s="96" t="n"/>
      <c r="F194" s="96" t="n"/>
      <c r="G194" s="96" t="n"/>
      <c r="H194" s="96" t="n"/>
      <c r="I194" s="96" t="n"/>
    </row>
    <row r="195" ht="14.5" customHeight="1">
      <c r="B195" s="96" t="n"/>
      <c r="C195" s="96" t="n"/>
      <c r="D195" s="96" t="n"/>
      <c r="E195" s="96" t="n"/>
      <c r="F195" s="96" t="n"/>
      <c r="G195" s="96" t="n"/>
      <c r="H195" s="96" t="n"/>
      <c r="I195" s="96" t="n"/>
    </row>
    <row r="196" ht="14.5" customHeight="1">
      <c r="B196" s="96" t="n"/>
      <c r="C196" s="96" t="n"/>
      <c r="D196" s="96" t="n"/>
      <c r="E196" s="96" t="n"/>
      <c r="F196" s="96" t="n"/>
      <c r="G196" s="96" t="n"/>
      <c r="H196" s="96" t="n"/>
      <c r="I196" s="96" t="n"/>
    </row>
    <row r="197" ht="14.5" customHeight="1">
      <c r="B197" s="96" t="n"/>
      <c r="C197" s="96" t="n"/>
      <c r="D197" s="96" t="n"/>
      <c r="E197" s="96" t="n"/>
      <c r="F197" s="96" t="n"/>
      <c r="G197" s="96" t="n"/>
      <c r="H197" s="96" t="n"/>
      <c r="I197" s="96" t="n"/>
    </row>
    <row r="198" ht="14.5" customHeight="1">
      <c r="B198" s="96" t="n"/>
      <c r="C198" s="96" t="n"/>
      <c r="D198" s="96" t="n"/>
      <c r="E198" s="96" t="n"/>
      <c r="F198" s="96" t="n"/>
      <c r="G198" s="96" t="n"/>
      <c r="H198" s="96" t="n"/>
      <c r="I198" s="96" t="n"/>
    </row>
    <row r="199" ht="14.5" customHeight="1">
      <c r="B199" s="96" t="n"/>
      <c r="C199" s="96" t="n"/>
      <c r="D199" s="96" t="n"/>
      <c r="E199" s="96" t="n"/>
      <c r="F199" s="96" t="n"/>
      <c r="G199" s="96" t="n"/>
      <c r="H199" s="96" t="n"/>
      <c r="I199" s="96" t="n"/>
    </row>
    <row r="200" ht="14.5" customHeight="1">
      <c r="B200" s="96" t="n"/>
      <c r="C200" s="96" t="n"/>
      <c r="D200" s="96" t="n"/>
      <c r="E200" s="96" t="n"/>
      <c r="F200" s="96" t="n"/>
      <c r="G200" s="96" t="n"/>
      <c r="H200" s="96" t="n"/>
      <c r="I200" s="96" t="n"/>
    </row>
    <row r="201" ht="14.5" customHeight="1">
      <c r="B201" s="96" t="n"/>
      <c r="C201" s="96" t="n"/>
      <c r="D201" s="96" t="n"/>
      <c r="E201" s="96" t="n"/>
      <c r="F201" s="96" t="n"/>
      <c r="G201" s="96" t="n"/>
      <c r="H201" s="96" t="n"/>
      <c r="I201" s="96" t="n"/>
    </row>
    <row r="202" ht="14.5" customHeight="1">
      <c r="B202" s="96" t="n"/>
      <c r="C202" s="96" t="n"/>
      <c r="D202" s="96" t="n"/>
      <c r="E202" s="96" t="n"/>
      <c r="F202" s="96" t="n"/>
      <c r="G202" s="96" t="n"/>
      <c r="H202" s="96" t="n"/>
      <c r="I202" s="96" t="n"/>
    </row>
    <row r="203" ht="14.5" customHeight="1">
      <c r="B203" s="96" t="n"/>
      <c r="C203" s="96" t="n"/>
      <c r="D203" s="96" t="n"/>
      <c r="E203" s="96" t="n"/>
      <c r="F203" s="96" t="n"/>
      <c r="G203" s="96" t="n"/>
      <c r="H203" s="96" t="n"/>
      <c r="I203" s="96" t="n"/>
    </row>
    <row r="204" ht="14.5" customHeight="1">
      <c r="B204" s="96" t="n"/>
      <c r="C204" s="96" t="n"/>
      <c r="D204" s="96" t="n"/>
      <c r="E204" s="96" t="n"/>
      <c r="F204" s="96" t="n"/>
      <c r="G204" s="96" t="n"/>
      <c r="H204" s="96" t="n"/>
      <c r="I204" s="96" t="n"/>
    </row>
    <row r="205" ht="14.5" customHeight="1">
      <c r="B205" s="96" t="n"/>
      <c r="C205" s="96" t="n"/>
      <c r="D205" s="96" t="n"/>
      <c r="E205" s="96" t="n"/>
      <c r="F205" s="96" t="n"/>
      <c r="G205" s="96" t="n"/>
      <c r="H205" s="96" t="n"/>
      <c r="I205" s="96" t="n"/>
    </row>
    <row r="206" ht="14.5" customHeight="1">
      <c r="B206" s="96" t="n"/>
      <c r="C206" s="96" t="n"/>
      <c r="D206" s="96" t="n"/>
      <c r="E206" s="96" t="n"/>
      <c r="F206" s="96" t="n"/>
      <c r="G206" s="96" t="n"/>
      <c r="H206" s="96" t="n"/>
      <c r="I206" s="96" t="n"/>
    </row>
    <row r="207" ht="14.5" customHeight="1">
      <c r="B207" s="96" t="n"/>
      <c r="C207" s="96" t="n"/>
      <c r="D207" s="96" t="n"/>
      <c r="E207" s="96" t="n"/>
      <c r="F207" s="96" t="n"/>
      <c r="G207" s="96" t="n"/>
      <c r="H207" s="96" t="n"/>
      <c r="I207" s="96" t="n"/>
    </row>
    <row r="208">
      <c r="B208" s="96" t="n"/>
      <c r="C208" s="96" t="n"/>
      <c r="D208" s="96" t="n"/>
      <c r="E208" s="96" t="n"/>
      <c r="F208" s="96" t="n"/>
      <c r="G208" s="96" t="n"/>
      <c r="H208" s="96" t="n"/>
      <c r="I208" s="96" t="n"/>
    </row>
    <row r="209">
      <c r="B209" s="96" t="n"/>
      <c r="C209" s="96" t="n"/>
      <c r="D209" s="96" t="n"/>
      <c r="E209" s="96" t="n"/>
      <c r="F209" s="96" t="n"/>
      <c r="G209" s="96" t="n"/>
      <c r="H209" s="96" t="n"/>
      <c r="I209" s="96" t="n"/>
    </row>
    <row r="210">
      <c r="B210" s="96" t="n"/>
      <c r="C210" s="96" t="n"/>
      <c r="D210" s="96" t="n"/>
      <c r="E210" s="96" t="n"/>
      <c r="F210" s="96" t="n"/>
      <c r="G210" s="96" t="n"/>
      <c r="H210" s="96" t="n"/>
      <c r="I210" s="96" t="n"/>
    </row>
    <row r="211">
      <c r="B211" s="96" t="n"/>
      <c r="C211" s="96" t="n"/>
      <c r="D211" s="96" t="n"/>
      <c r="E211" s="96" t="n"/>
      <c r="F211" s="96" t="n"/>
      <c r="G211" s="96" t="n"/>
      <c r="H211" s="96" t="n"/>
      <c r="I211" s="96" t="n"/>
    </row>
    <row r="212">
      <c r="B212" s="96" t="n"/>
      <c r="C212" s="96" t="n"/>
      <c r="D212" s="96" t="n"/>
      <c r="E212" s="96" t="n"/>
      <c r="F212" s="96" t="n"/>
      <c r="G212" s="96" t="n"/>
      <c r="H212" s="96" t="n"/>
      <c r="I212" s="96" t="n"/>
    </row>
    <row r="213">
      <c r="B213" s="96" t="n"/>
      <c r="C213" s="96" t="n"/>
      <c r="D213" s="96" t="n"/>
      <c r="E213" s="96" t="n"/>
      <c r="F213" s="96" t="n"/>
      <c r="G213" s="96" t="n"/>
      <c r="H213" s="96" t="n"/>
      <c r="I213" s="96" t="n"/>
    </row>
    <row r="214">
      <c r="B214" s="96" t="n"/>
      <c r="C214" s="96" t="n"/>
      <c r="D214" s="96" t="n"/>
      <c r="E214" s="96" t="n"/>
      <c r="F214" s="96" t="n"/>
      <c r="G214" s="96" t="n"/>
      <c r="H214" s="96" t="n"/>
      <c r="I214" s="96" t="n"/>
    </row>
  </sheetData>
  <mergeCells count="1">
    <mergeCell ref="B2:G2"/>
  </mergeCells>
  <conditionalFormatting sqref="B18:G18 B33:G34 G5:G17 G20:G32 I5:I34 P5:P35">
    <cfRule type="cellIs" priority="3" operator="lessThan" dxfId="2">
      <formula>0.001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tSummary">
    <outlinePr summaryBelow="1" summaryRight="1"/>
    <pageSetUpPr/>
  </sheetPr>
  <dimension ref="B7:AC131"/>
  <sheetViews>
    <sheetView showGridLines="0" showRowColHeaders="0" zoomScale="115" zoomScaleNormal="115" workbookViewId="0">
      <pane ySplit="13" topLeftCell="A14" activePane="bottomLeft" state="frozen"/>
      <selection pane="bottomLeft" activeCell="D18" sqref="D18"/>
    </sheetView>
  </sheetViews>
  <sheetFormatPr baseColWidth="8" defaultRowHeight="14.4"/>
  <cols>
    <col width="1.68359375" customWidth="1" min="1" max="1"/>
    <col width="8.68359375" customWidth="1" style="8" min="2" max="2"/>
    <col width="7.68359375" customWidth="1" min="3" max="3"/>
    <col width="10.68359375" customWidth="1" min="4" max="4"/>
    <col width="13.26171875" customWidth="1" min="5" max="6"/>
    <col width="7.68359375" customWidth="1" min="7" max="8"/>
    <col width="13.26171875" customWidth="1" min="9" max="10"/>
    <col width="14.68359375" customWidth="1" min="11" max="11"/>
    <col width="13.26171875" customWidth="1" min="12" max="18"/>
    <col width="20.68359375" customWidth="1" min="19" max="21"/>
    <col width="15.68359375" customWidth="1" min="22" max="22"/>
    <col width="13.26171875" customWidth="1" min="23" max="29"/>
  </cols>
  <sheetData>
    <row r="1" ht="5.1" customHeight="1"/>
    <row r="2" ht="15" customHeight="1"/>
    <row r="3" ht="15" customHeight="1"/>
    <row r="4" ht="15" customHeight="1"/>
    <row r="5" ht="5.1" customHeight="1"/>
    <row r="6" ht="5.1" customHeight="1"/>
    <row r="7">
      <c r="C7" s="107" t="inlineStr">
        <is>
          <t>Name</t>
        </is>
      </c>
      <c r="D7" s="128" t="n"/>
      <c r="E7" s="118" t="n"/>
    </row>
    <row r="8" ht="5.1" customHeight="1"/>
    <row r="9">
      <c r="C9" s="107" t="inlineStr">
        <is>
          <t>Ticker</t>
        </is>
      </c>
      <c r="D9" s="128" t="n"/>
      <c r="E9" s="129" t="n"/>
      <c r="F9" s="130" t="n"/>
      <c r="G9" s="131" t="inlineStr">
        <is>
          <t>View</t>
        </is>
      </c>
      <c r="H9" s="128" t="n"/>
      <c r="I9" s="132" t="n"/>
      <c r="J9" s="133" t="n"/>
    </row>
    <row r="10" ht="5.1" customFormat="1" customHeight="1" s="12">
      <c r="B10" s="9" t="n"/>
      <c r="C10" s="10" t="n"/>
      <c r="D10" s="10" t="n"/>
      <c r="E10" s="11" t="n"/>
      <c r="F10" s="11" t="n"/>
      <c r="G10" s="10" t="n"/>
      <c r="H10" s="10" t="n"/>
      <c r="I10" s="11" t="n"/>
      <c r="J10" s="11" t="n"/>
      <c r="K10" s="10" t="n"/>
      <c r="L10" s="11" t="n"/>
      <c r="M10" s="11" t="n"/>
    </row>
    <row r="11">
      <c r="C11" s="107" t="inlineStr">
        <is>
          <t>Sort By</t>
        </is>
      </c>
      <c r="D11" s="128" t="n"/>
      <c r="E11" s="129" t="n"/>
      <c r="F11" s="130" t="n"/>
      <c r="G11" s="131" t="inlineStr">
        <is>
          <t>Order</t>
        </is>
      </c>
      <c r="H11" s="128" t="n"/>
      <c r="I11" s="132" t="n"/>
      <c r="J11" s="133" t="n"/>
    </row>
    <row r="12" ht="5.1" customHeight="1"/>
    <row r="13">
      <c r="C13" s="114" t="inlineStr">
        <is>
          <t>Holder Name</t>
        </is>
      </c>
      <c r="D13" s="134" t="n"/>
      <c r="E13" s="134" t="n"/>
      <c r="F13" s="135" t="n"/>
      <c r="G13" s="136" t="inlineStr">
        <is>
          <t>Portfolio Name</t>
        </is>
      </c>
      <c r="H13" s="137" t="n"/>
      <c r="I13" s="137" t="n"/>
      <c r="J13" s="137" t="n"/>
      <c r="K13" s="138" t="n"/>
      <c r="L13" s="13" t="inlineStr">
        <is>
          <t>Position</t>
        </is>
      </c>
      <c r="M13" s="13" t="inlineStr">
        <is>
          <t>Latest Chg</t>
        </is>
      </c>
      <c r="N13" s="13" t="inlineStr">
        <is>
          <t>Filing Date</t>
        </is>
      </c>
      <c r="O13" s="13" t="inlineStr">
        <is>
          <t>Source</t>
        </is>
      </c>
      <c r="P13" s="13" t="inlineStr">
        <is>
          <t>% Out</t>
        </is>
      </c>
      <c r="Q13" s="13" t="inlineStr">
        <is>
          <t>% Portfolio</t>
        </is>
      </c>
      <c r="R13" s="13" t="inlineStr">
        <is>
          <t>Insider Status</t>
        </is>
      </c>
      <c r="S13" s="13" t="inlineStr">
        <is>
          <t>Institution Type</t>
        </is>
      </c>
      <c r="T13" s="13" t="inlineStr">
        <is>
          <t>Metro Area</t>
        </is>
      </c>
      <c r="U13" s="14" t="inlineStr">
        <is>
          <t>Country</t>
        </is>
      </c>
      <c r="V13" s="15" t="inlineStr">
        <is>
          <t>Market Value</t>
        </is>
      </c>
      <c r="W13" s="13" t="inlineStr">
        <is>
          <t>Hold Period</t>
        </is>
      </c>
      <c r="X13" s="13" t="inlineStr">
        <is>
          <t>Cost (FIFO)</t>
        </is>
      </c>
      <c r="Y13" s="13" t="inlineStr">
        <is>
          <t>Cost (LIFO)</t>
        </is>
      </c>
      <c r="Z13" s="13" t="inlineStr">
        <is>
          <t>Cost (Avg.)</t>
        </is>
      </c>
      <c r="AA13" s="13" t="inlineStr">
        <is>
          <t>Ret % (FIFO)</t>
        </is>
      </c>
      <c r="AB13" s="13" t="inlineStr">
        <is>
          <t>Ret % (LIFO)</t>
        </is>
      </c>
      <c r="AC13" s="16" t="inlineStr">
        <is>
          <t>Ret % (Avg)</t>
        </is>
      </c>
    </row>
    <row r="14">
      <c r="B14" s="17" t="n">
        <v>1</v>
      </c>
      <c r="C14" s="18" t="n"/>
      <c r="D14" s="19" t="n"/>
      <c r="E14" s="19" t="n"/>
      <c r="F14" s="19" t="n"/>
      <c r="G14" s="20" t="n"/>
      <c r="H14" s="19" t="n"/>
      <c r="I14" s="19" t="n"/>
      <c r="J14" s="19" t="n"/>
      <c r="K14" s="19" t="n"/>
      <c r="L14" s="21" t="n"/>
      <c r="M14" s="21" t="n"/>
      <c r="N14" s="22" t="n"/>
      <c r="O14" s="23" t="n"/>
      <c r="P14" s="24" t="n"/>
      <c r="Q14" s="24" t="n"/>
      <c r="R14" s="23" t="n"/>
      <c r="S14" s="23" t="n"/>
      <c r="T14" s="23" t="n"/>
      <c r="U14" s="23" t="n"/>
      <c r="V14" s="21" t="n"/>
      <c r="W14" s="24" t="n"/>
      <c r="X14" s="24" t="n"/>
      <c r="Y14" s="24" t="n"/>
      <c r="Z14" s="24" t="n"/>
      <c r="AA14" s="24" t="n"/>
      <c r="AB14" s="24" t="n"/>
      <c r="AC14" s="25" t="n"/>
    </row>
    <row r="15">
      <c r="B15" s="17" t="n">
        <v>2</v>
      </c>
      <c r="C15" s="26" t="n"/>
      <c r="D15" s="27" t="n"/>
      <c r="E15" s="27" t="n"/>
      <c r="F15" s="27" t="n"/>
      <c r="G15" s="28" t="n"/>
      <c r="H15" s="27" t="n"/>
      <c r="I15" s="27" t="n"/>
      <c r="J15" s="27" t="n"/>
      <c r="K15" s="27" t="n"/>
      <c r="L15" s="29" t="n"/>
      <c r="M15" s="29" t="n"/>
      <c r="N15" s="30" t="n"/>
      <c r="O15" s="31" t="n"/>
      <c r="P15" s="32" t="n"/>
      <c r="Q15" s="32" t="n"/>
      <c r="R15" s="31" t="n"/>
      <c r="S15" s="31" t="n"/>
      <c r="T15" s="31" t="n"/>
      <c r="U15" s="31" t="n"/>
      <c r="V15" s="29" t="n"/>
      <c r="W15" s="32" t="n"/>
      <c r="X15" s="32" t="n"/>
      <c r="Y15" s="32" t="n"/>
      <c r="Z15" s="32" t="n"/>
      <c r="AA15" s="32" t="n"/>
      <c r="AB15" s="32" t="n"/>
      <c r="AC15" s="33" t="n"/>
    </row>
    <row r="16">
      <c r="B16" s="17" t="n">
        <v>3</v>
      </c>
      <c r="C16" s="26" t="n"/>
      <c r="D16" s="27" t="n"/>
      <c r="E16" s="27" t="n"/>
      <c r="F16" s="27" t="n"/>
      <c r="G16" s="28" t="n"/>
      <c r="H16" s="27" t="n"/>
      <c r="I16" s="27" t="n"/>
      <c r="J16" s="27" t="n"/>
      <c r="K16" s="27" t="n"/>
      <c r="L16" s="29" t="n"/>
      <c r="M16" s="29" t="n"/>
      <c r="N16" s="30" t="n"/>
      <c r="O16" s="31" t="n"/>
      <c r="P16" s="32" t="n"/>
      <c r="Q16" s="32" t="n"/>
      <c r="R16" s="31" t="n"/>
      <c r="S16" s="31" t="n"/>
      <c r="T16" s="31" t="n"/>
      <c r="U16" s="31" t="n"/>
      <c r="V16" s="29" t="n"/>
      <c r="W16" s="32" t="n"/>
      <c r="X16" s="32" t="n"/>
      <c r="Y16" s="32" t="n"/>
      <c r="Z16" s="32" t="n"/>
      <c r="AA16" s="32" t="n"/>
      <c r="AB16" s="32" t="n"/>
      <c r="AC16" s="33" t="n"/>
    </row>
    <row r="17">
      <c r="B17" s="17" t="n">
        <v>4</v>
      </c>
      <c r="C17" s="26" t="n"/>
      <c r="D17" s="27" t="n"/>
      <c r="E17" s="27" t="n"/>
      <c r="F17" s="27" t="n"/>
      <c r="G17" s="28" t="n"/>
      <c r="H17" s="27" t="n"/>
      <c r="I17" s="27" t="n"/>
      <c r="J17" s="27" t="n"/>
      <c r="K17" s="27" t="n"/>
      <c r="L17" s="29" t="n"/>
      <c r="M17" s="29" t="n"/>
      <c r="N17" s="30" t="n"/>
      <c r="O17" s="31" t="n"/>
      <c r="P17" s="32" t="n"/>
      <c r="Q17" s="32" t="n"/>
      <c r="R17" s="31" t="n"/>
      <c r="S17" s="31" t="n"/>
      <c r="T17" s="31" t="n"/>
      <c r="U17" s="31" t="n"/>
      <c r="V17" s="29" t="n"/>
      <c r="W17" s="32" t="n"/>
      <c r="X17" s="32" t="n"/>
      <c r="Y17" s="32" t="n"/>
      <c r="Z17" s="32" t="n"/>
      <c r="AA17" s="32" t="n"/>
      <c r="AB17" s="32" t="n"/>
      <c r="AC17" s="33" t="n"/>
    </row>
    <row r="18">
      <c r="B18" s="17" t="n">
        <v>5</v>
      </c>
      <c r="C18" s="26" t="n"/>
      <c r="D18" s="27" t="n"/>
      <c r="E18" s="27" t="n"/>
      <c r="F18" s="27" t="n"/>
      <c r="G18" s="28" t="n"/>
      <c r="H18" s="27" t="n"/>
      <c r="I18" s="27" t="n"/>
      <c r="J18" s="27" t="n"/>
      <c r="K18" s="27" t="n"/>
      <c r="L18" s="29" t="n"/>
      <c r="M18" s="29" t="n"/>
      <c r="N18" s="30" t="n"/>
      <c r="O18" s="31" t="n"/>
      <c r="P18" s="32" t="n"/>
      <c r="Q18" s="32" t="n"/>
      <c r="R18" s="31" t="n"/>
      <c r="S18" s="31" t="n"/>
      <c r="T18" s="31" t="n"/>
      <c r="U18" s="31" t="n"/>
      <c r="V18" s="29" t="n"/>
      <c r="W18" s="32" t="n"/>
      <c r="X18" s="32" t="n"/>
      <c r="Y18" s="32" t="n"/>
      <c r="Z18" s="32" t="n"/>
      <c r="AA18" s="32" t="n"/>
      <c r="AB18" s="32" t="n"/>
      <c r="AC18" s="33" t="n"/>
    </row>
    <row r="19">
      <c r="B19" s="17" t="n">
        <v>6</v>
      </c>
      <c r="C19" s="26" t="n"/>
      <c r="D19" s="27" t="n"/>
      <c r="E19" s="27" t="n"/>
      <c r="F19" s="27" t="n"/>
      <c r="G19" s="28" t="n"/>
      <c r="H19" s="27" t="n"/>
      <c r="I19" s="27" t="n"/>
      <c r="J19" s="27" t="n"/>
      <c r="K19" s="27" t="n"/>
      <c r="L19" s="29" t="n"/>
      <c r="M19" s="29" t="n"/>
      <c r="N19" s="30" t="n"/>
      <c r="O19" s="31" t="n"/>
      <c r="P19" s="32" t="n"/>
      <c r="Q19" s="32" t="n"/>
      <c r="R19" s="31" t="n"/>
      <c r="S19" s="31" t="n"/>
      <c r="T19" s="31" t="n"/>
      <c r="U19" s="31" t="n"/>
      <c r="V19" s="29" t="n"/>
      <c r="W19" s="32" t="n"/>
      <c r="X19" s="32" t="n"/>
      <c r="Y19" s="32" t="n"/>
      <c r="Z19" s="32" t="n"/>
      <c r="AA19" s="32" t="n"/>
      <c r="AB19" s="32" t="n"/>
      <c r="AC19" s="33" t="n"/>
    </row>
    <row r="20">
      <c r="B20" s="17" t="n">
        <v>7</v>
      </c>
      <c r="C20" s="26" t="n"/>
      <c r="D20" s="27" t="n"/>
      <c r="E20" s="27" t="n"/>
      <c r="F20" s="27" t="n"/>
      <c r="G20" s="28" t="n"/>
      <c r="H20" s="27" t="n"/>
      <c r="I20" s="27" t="n"/>
      <c r="J20" s="27" t="n"/>
      <c r="K20" s="27" t="n"/>
      <c r="L20" s="29" t="n"/>
      <c r="M20" s="29" t="n"/>
      <c r="N20" s="30" t="n"/>
      <c r="O20" s="31" t="n"/>
      <c r="P20" s="32" t="n"/>
      <c r="Q20" s="32" t="n"/>
      <c r="R20" s="31" t="n"/>
      <c r="S20" s="31" t="n"/>
      <c r="T20" s="31" t="n"/>
      <c r="U20" s="31" t="n"/>
      <c r="V20" s="29" t="n"/>
      <c r="W20" s="32" t="n"/>
      <c r="X20" s="32" t="n"/>
      <c r="Y20" s="32" t="n"/>
      <c r="Z20" s="32" t="n"/>
      <c r="AA20" s="32" t="n"/>
      <c r="AB20" s="32" t="n"/>
      <c r="AC20" s="33" t="n"/>
    </row>
    <row r="21">
      <c r="B21" s="17" t="n">
        <v>8</v>
      </c>
      <c r="C21" s="26" t="n"/>
      <c r="D21" s="27" t="n"/>
      <c r="E21" s="27" t="n"/>
      <c r="F21" s="27" t="n"/>
      <c r="G21" s="28" t="n"/>
      <c r="H21" s="27" t="n"/>
      <c r="I21" s="27" t="n"/>
      <c r="J21" s="27" t="n"/>
      <c r="K21" s="27" t="n"/>
      <c r="L21" s="29" t="n"/>
      <c r="M21" s="29" t="n"/>
      <c r="N21" s="30" t="n"/>
      <c r="O21" s="31" t="n"/>
      <c r="P21" s="32" t="n"/>
      <c r="Q21" s="32" t="n"/>
      <c r="R21" s="31" t="n"/>
      <c r="S21" s="31" t="n"/>
      <c r="T21" s="31" t="n"/>
      <c r="U21" s="31" t="n"/>
      <c r="V21" s="29" t="n"/>
      <c r="W21" s="32" t="n"/>
      <c r="X21" s="32" t="n"/>
      <c r="Y21" s="32" t="n"/>
      <c r="Z21" s="32" t="n"/>
      <c r="AA21" s="32" t="n"/>
      <c r="AB21" s="32" t="n"/>
      <c r="AC21" s="33" t="n"/>
    </row>
    <row r="22">
      <c r="B22" s="17" t="n">
        <v>9</v>
      </c>
      <c r="C22" s="26" t="n"/>
      <c r="D22" s="27" t="n"/>
      <c r="E22" s="27" t="n"/>
      <c r="F22" s="27" t="n"/>
      <c r="G22" s="28" t="n"/>
      <c r="H22" s="27" t="n"/>
      <c r="I22" s="27" t="n"/>
      <c r="J22" s="27" t="n"/>
      <c r="K22" s="27" t="n"/>
      <c r="L22" s="29" t="n"/>
      <c r="M22" s="29" t="n"/>
      <c r="N22" s="30" t="n"/>
      <c r="O22" s="31" t="n"/>
      <c r="P22" s="32" t="n"/>
      <c r="Q22" s="32" t="n"/>
      <c r="R22" s="31" t="n"/>
      <c r="S22" s="31" t="n"/>
      <c r="T22" s="31" t="n"/>
      <c r="U22" s="31" t="n"/>
      <c r="V22" s="29" t="n"/>
      <c r="W22" s="32" t="n"/>
      <c r="X22" s="32" t="n"/>
      <c r="Y22" s="32" t="n"/>
      <c r="Z22" s="32" t="n"/>
      <c r="AA22" s="32" t="n"/>
      <c r="AB22" s="32" t="n"/>
      <c r="AC22" s="33" t="n"/>
    </row>
    <row r="23">
      <c r="B23" s="17" t="n">
        <v>10</v>
      </c>
      <c r="C23" s="26" t="n"/>
      <c r="D23" s="27" t="n"/>
      <c r="E23" s="27" t="n"/>
      <c r="F23" s="27" t="n"/>
      <c r="G23" s="28" t="n"/>
      <c r="H23" s="27" t="n"/>
      <c r="I23" s="27" t="n"/>
      <c r="J23" s="27" t="n"/>
      <c r="K23" s="27" t="n"/>
      <c r="L23" s="29" t="n"/>
      <c r="M23" s="29" t="n"/>
      <c r="N23" s="30" t="n"/>
      <c r="O23" s="31" t="n"/>
      <c r="P23" s="32" t="n"/>
      <c r="Q23" s="32" t="n"/>
      <c r="R23" s="31" t="n"/>
      <c r="S23" s="31" t="n"/>
      <c r="T23" s="31" t="n"/>
      <c r="U23" s="31" t="n"/>
      <c r="V23" s="29" t="n"/>
      <c r="W23" s="32" t="n"/>
      <c r="X23" s="32" t="n"/>
      <c r="Y23" s="32" t="n"/>
      <c r="Z23" s="32" t="n"/>
      <c r="AA23" s="32" t="n"/>
      <c r="AB23" s="32" t="n"/>
      <c r="AC23" s="33" t="n"/>
    </row>
    <row r="24">
      <c r="B24" s="17" t="n">
        <v>11</v>
      </c>
      <c r="C24" s="26" t="n"/>
      <c r="D24" s="27" t="n"/>
      <c r="E24" s="27" t="n"/>
      <c r="F24" s="27" t="n"/>
      <c r="G24" s="28" t="n"/>
      <c r="H24" s="27" t="n"/>
      <c r="I24" s="27" t="n"/>
      <c r="J24" s="27" t="n"/>
      <c r="K24" s="27" t="n"/>
      <c r="L24" s="29" t="n"/>
      <c r="M24" s="29" t="n"/>
      <c r="N24" s="30" t="n"/>
      <c r="O24" s="31" t="n"/>
      <c r="P24" s="32" t="n"/>
      <c r="Q24" s="32" t="n"/>
      <c r="R24" s="31" t="n"/>
      <c r="S24" s="31" t="n"/>
      <c r="T24" s="31" t="n"/>
      <c r="U24" s="31" t="n"/>
      <c r="V24" s="29" t="n"/>
      <c r="W24" s="32" t="n"/>
      <c r="X24" s="32" t="n"/>
      <c r="Y24" s="32" t="n"/>
      <c r="Z24" s="32" t="n"/>
      <c r="AA24" s="32" t="n"/>
      <c r="AB24" s="32" t="n"/>
      <c r="AC24" s="33" t="n"/>
    </row>
    <row r="25">
      <c r="B25" s="17" t="n">
        <v>12</v>
      </c>
      <c r="C25" s="26" t="n"/>
      <c r="D25" s="27" t="n"/>
      <c r="E25" s="27" t="n"/>
      <c r="F25" s="27" t="n"/>
      <c r="G25" s="28" t="n"/>
      <c r="H25" s="27" t="n"/>
      <c r="I25" s="27" t="n"/>
      <c r="J25" s="27" t="n"/>
      <c r="K25" s="27" t="n"/>
      <c r="L25" s="29" t="n"/>
      <c r="M25" s="29" t="n"/>
      <c r="N25" s="30" t="n"/>
      <c r="O25" s="31" t="n"/>
      <c r="P25" s="32" t="n"/>
      <c r="Q25" s="32" t="n"/>
      <c r="R25" s="31" t="n"/>
      <c r="S25" s="31" t="n"/>
      <c r="T25" s="31" t="n"/>
      <c r="U25" s="31" t="n"/>
      <c r="V25" s="29" t="n"/>
      <c r="W25" s="32" t="n"/>
      <c r="X25" s="32" t="n"/>
      <c r="Y25" s="32" t="n"/>
      <c r="Z25" s="32" t="n"/>
      <c r="AA25" s="32" t="n"/>
      <c r="AB25" s="32" t="n"/>
      <c r="AC25" s="33" t="n"/>
    </row>
    <row r="26">
      <c r="B26" s="17" t="n">
        <v>13</v>
      </c>
      <c r="C26" s="26" t="n"/>
      <c r="D26" s="27" t="n"/>
      <c r="E26" s="27" t="n"/>
      <c r="F26" s="27" t="n"/>
      <c r="G26" s="28" t="n"/>
      <c r="H26" s="27" t="n"/>
      <c r="I26" s="27" t="n"/>
      <c r="J26" s="27" t="n"/>
      <c r="K26" s="27" t="n"/>
      <c r="L26" s="29" t="n"/>
      <c r="M26" s="29" t="n"/>
      <c r="N26" s="30" t="n"/>
      <c r="O26" s="31" t="n"/>
      <c r="P26" s="32" t="n"/>
      <c r="Q26" s="32" t="n"/>
      <c r="R26" s="31" t="n"/>
      <c r="S26" s="31" t="n"/>
      <c r="T26" s="31" t="n"/>
      <c r="U26" s="31" t="n"/>
      <c r="V26" s="29" t="n"/>
      <c r="W26" s="32" t="n"/>
      <c r="X26" s="32" t="n"/>
      <c r="Y26" s="32" t="n"/>
      <c r="Z26" s="32" t="n"/>
      <c r="AA26" s="32" t="n"/>
      <c r="AB26" s="32" t="n"/>
      <c r="AC26" s="33" t="n"/>
    </row>
    <row r="27">
      <c r="B27" s="17" t="n">
        <v>14</v>
      </c>
      <c r="C27" s="26" t="n"/>
      <c r="D27" s="27" t="n"/>
      <c r="E27" s="27" t="n"/>
      <c r="F27" s="27" t="n"/>
      <c r="G27" s="28" t="n"/>
      <c r="H27" s="27" t="n"/>
      <c r="I27" s="27" t="n"/>
      <c r="J27" s="27" t="n"/>
      <c r="K27" s="27" t="n"/>
      <c r="L27" s="29" t="n"/>
      <c r="M27" s="29" t="n"/>
      <c r="N27" s="30" t="n"/>
      <c r="O27" s="31" t="n"/>
      <c r="P27" s="32" t="n"/>
      <c r="Q27" s="32" t="n"/>
      <c r="R27" s="31" t="n"/>
      <c r="S27" s="31" t="n"/>
      <c r="T27" s="31" t="n"/>
      <c r="U27" s="31" t="n"/>
      <c r="V27" s="29" t="n"/>
      <c r="W27" s="32" t="n"/>
      <c r="X27" s="32" t="n"/>
      <c r="Y27" s="32" t="n"/>
      <c r="Z27" s="32" t="n"/>
      <c r="AA27" s="32" t="n"/>
      <c r="AB27" s="32" t="n"/>
      <c r="AC27" s="33" t="n"/>
    </row>
    <row r="28">
      <c r="B28" s="17" t="n">
        <v>15</v>
      </c>
      <c r="C28" s="26" t="n"/>
      <c r="D28" s="27" t="n"/>
      <c r="E28" s="27" t="n"/>
      <c r="F28" s="27" t="n"/>
      <c r="G28" s="28" t="n"/>
      <c r="H28" s="27" t="n"/>
      <c r="I28" s="27" t="n"/>
      <c r="J28" s="27" t="n"/>
      <c r="K28" s="27" t="n"/>
      <c r="L28" s="29" t="n"/>
      <c r="M28" s="29" t="n"/>
      <c r="N28" s="30" t="n"/>
      <c r="O28" s="31" t="n"/>
      <c r="P28" s="32" t="n"/>
      <c r="Q28" s="32" t="n"/>
      <c r="R28" s="31" t="n"/>
      <c r="S28" s="31" t="n"/>
      <c r="T28" s="31" t="n"/>
      <c r="U28" s="31" t="n"/>
      <c r="V28" s="29" t="n"/>
      <c r="W28" s="32" t="n"/>
      <c r="X28" s="32" t="n"/>
      <c r="Y28" s="32" t="n"/>
      <c r="Z28" s="32" t="n"/>
      <c r="AA28" s="32" t="n"/>
      <c r="AB28" s="32" t="n"/>
      <c r="AC28" s="33" t="n"/>
    </row>
    <row r="29">
      <c r="B29" s="17" t="n">
        <v>16</v>
      </c>
      <c r="C29" s="26" t="n"/>
      <c r="D29" s="27" t="n"/>
      <c r="E29" s="27" t="n"/>
      <c r="F29" s="27" t="n"/>
      <c r="G29" s="28" t="n"/>
      <c r="H29" s="27" t="n"/>
      <c r="I29" s="27" t="n"/>
      <c r="J29" s="27" t="n"/>
      <c r="K29" s="27" t="n"/>
      <c r="L29" s="29" t="n"/>
      <c r="M29" s="29" t="n"/>
      <c r="N29" s="30" t="n"/>
      <c r="O29" s="31" t="n"/>
      <c r="P29" s="32" t="n"/>
      <c r="Q29" s="32" t="n"/>
      <c r="R29" s="31" t="n"/>
      <c r="S29" s="31" t="n"/>
      <c r="T29" s="31" t="n"/>
      <c r="U29" s="31" t="n"/>
      <c r="V29" s="29" t="n"/>
      <c r="W29" s="32" t="n"/>
      <c r="X29" s="32" t="n"/>
      <c r="Y29" s="32" t="n"/>
      <c r="Z29" s="32" t="n"/>
      <c r="AA29" s="32" t="n"/>
      <c r="AB29" s="32" t="n"/>
      <c r="AC29" s="33" t="n"/>
    </row>
    <row r="30">
      <c r="B30" s="17" t="n">
        <v>17</v>
      </c>
      <c r="C30" s="26" t="n"/>
      <c r="D30" s="27" t="n"/>
      <c r="E30" s="27" t="n"/>
      <c r="F30" s="27" t="n"/>
      <c r="G30" s="28" t="n"/>
      <c r="H30" s="27" t="n"/>
      <c r="I30" s="27" t="n"/>
      <c r="J30" s="27" t="n"/>
      <c r="K30" s="27" t="n"/>
      <c r="L30" s="29" t="n"/>
      <c r="M30" s="29" t="n"/>
      <c r="N30" s="30" t="n"/>
      <c r="O30" s="31" t="n"/>
      <c r="P30" s="32" t="n"/>
      <c r="Q30" s="32" t="n"/>
      <c r="R30" s="31" t="n"/>
      <c r="S30" s="31" t="n"/>
      <c r="T30" s="31" t="n"/>
      <c r="U30" s="31" t="n"/>
      <c r="V30" s="29" t="n"/>
      <c r="W30" s="32" t="n"/>
      <c r="X30" s="32" t="n"/>
      <c r="Y30" s="32" t="n"/>
      <c r="Z30" s="32" t="n"/>
      <c r="AA30" s="32" t="n"/>
      <c r="AB30" s="32" t="n"/>
      <c r="AC30" s="33" t="n"/>
    </row>
    <row r="31">
      <c r="B31" s="17" t="n">
        <v>18</v>
      </c>
      <c r="C31" s="26" t="n"/>
      <c r="D31" s="27" t="n"/>
      <c r="E31" s="27" t="n"/>
      <c r="F31" s="27" t="n"/>
      <c r="G31" s="28" t="n"/>
      <c r="H31" s="27" t="n"/>
      <c r="I31" s="27" t="n"/>
      <c r="J31" s="27" t="n"/>
      <c r="K31" s="27" t="n"/>
      <c r="L31" s="29" t="n"/>
      <c r="M31" s="29" t="n"/>
      <c r="N31" s="30" t="n"/>
      <c r="O31" s="31" t="n"/>
      <c r="P31" s="32" t="n"/>
      <c r="Q31" s="32" t="n"/>
      <c r="R31" s="31" t="n"/>
      <c r="S31" s="31" t="n"/>
      <c r="T31" s="31" t="n"/>
      <c r="U31" s="31" t="n"/>
      <c r="V31" s="29" t="n"/>
      <c r="W31" s="32" t="n"/>
      <c r="X31" s="32" t="n"/>
      <c r="Y31" s="32" t="n"/>
      <c r="Z31" s="32" t="n"/>
      <c r="AA31" s="32" t="n"/>
      <c r="AB31" s="32" t="n"/>
      <c r="AC31" s="33" t="n"/>
    </row>
    <row r="32">
      <c r="B32" s="17" t="n">
        <v>19</v>
      </c>
      <c r="C32" s="26" t="n"/>
      <c r="D32" s="27" t="n"/>
      <c r="E32" s="27" t="n"/>
      <c r="F32" s="27" t="n"/>
      <c r="G32" s="28" t="n"/>
      <c r="H32" s="27" t="n"/>
      <c r="I32" s="27" t="n"/>
      <c r="J32" s="27" t="n"/>
      <c r="K32" s="27" t="n"/>
      <c r="L32" s="29" t="n"/>
      <c r="M32" s="29" t="n"/>
      <c r="N32" s="30" t="n"/>
      <c r="O32" s="31" t="n"/>
      <c r="P32" s="32" t="n"/>
      <c r="Q32" s="32" t="n"/>
      <c r="R32" s="31" t="n"/>
      <c r="S32" s="31" t="n"/>
      <c r="T32" s="31" t="n"/>
      <c r="U32" s="31" t="n"/>
      <c r="V32" s="29" t="n"/>
      <c r="W32" s="32" t="n"/>
      <c r="X32" s="32" t="n"/>
      <c r="Y32" s="32" t="n"/>
      <c r="Z32" s="32" t="n"/>
      <c r="AA32" s="32" t="n"/>
      <c r="AB32" s="32" t="n"/>
      <c r="AC32" s="33" t="n"/>
    </row>
    <row r="33">
      <c r="B33" s="17" t="n">
        <v>20</v>
      </c>
      <c r="C33" s="26" t="n"/>
      <c r="D33" s="27" t="n"/>
      <c r="E33" s="27" t="n"/>
      <c r="F33" s="27" t="n"/>
      <c r="G33" s="28" t="n"/>
      <c r="H33" s="27" t="n"/>
      <c r="I33" s="27" t="n"/>
      <c r="J33" s="27" t="n"/>
      <c r="K33" s="27" t="n"/>
      <c r="L33" s="29" t="n"/>
      <c r="M33" s="29" t="n"/>
      <c r="N33" s="30" t="n"/>
      <c r="O33" s="31" t="n"/>
      <c r="P33" s="32" t="n"/>
      <c r="Q33" s="32" t="n"/>
      <c r="R33" s="31" t="n"/>
      <c r="S33" s="31" t="n"/>
      <c r="T33" s="31" t="n"/>
      <c r="U33" s="31" t="n"/>
      <c r="V33" s="29" t="n"/>
      <c r="W33" s="32" t="n"/>
      <c r="X33" s="32" t="n"/>
      <c r="Y33" s="32" t="n"/>
      <c r="Z33" s="32" t="n"/>
      <c r="AA33" s="32" t="n"/>
      <c r="AB33" s="32" t="n"/>
      <c r="AC33" s="33" t="n"/>
    </row>
    <row r="34">
      <c r="B34" s="17" t="n">
        <v>21</v>
      </c>
      <c r="C34" s="26" t="n"/>
      <c r="D34" s="27" t="n"/>
      <c r="E34" s="27" t="n"/>
      <c r="F34" s="27" t="n"/>
      <c r="G34" s="28" t="n"/>
      <c r="H34" s="27" t="n"/>
      <c r="I34" s="27" t="n"/>
      <c r="J34" s="27" t="n"/>
      <c r="K34" s="27" t="n"/>
      <c r="L34" s="29" t="n"/>
      <c r="M34" s="29" t="n"/>
      <c r="N34" s="30" t="n"/>
      <c r="O34" s="31" t="n"/>
      <c r="P34" s="32" t="n"/>
      <c r="Q34" s="32" t="n"/>
      <c r="R34" s="31" t="n"/>
      <c r="S34" s="31" t="n"/>
      <c r="T34" s="31" t="n"/>
      <c r="U34" s="31" t="n"/>
      <c r="V34" s="29" t="n"/>
      <c r="W34" s="32" t="n"/>
      <c r="X34" s="32" t="n"/>
      <c r="Y34" s="32" t="n"/>
      <c r="Z34" s="32" t="n"/>
      <c r="AA34" s="32" t="n"/>
      <c r="AB34" s="32" t="n"/>
      <c r="AC34" s="33" t="n"/>
    </row>
    <row r="35">
      <c r="B35" s="17" t="n">
        <v>22</v>
      </c>
      <c r="C35" s="26" t="n"/>
      <c r="D35" s="27" t="n"/>
      <c r="E35" s="27" t="n"/>
      <c r="F35" s="27" t="n"/>
      <c r="G35" s="28" t="n"/>
      <c r="H35" s="27" t="n"/>
      <c r="I35" s="27" t="n"/>
      <c r="J35" s="27" t="n"/>
      <c r="K35" s="27" t="n"/>
      <c r="L35" s="29" t="n"/>
      <c r="M35" s="29" t="n"/>
      <c r="N35" s="30" t="n"/>
      <c r="O35" s="31" t="n"/>
      <c r="P35" s="32" t="n"/>
      <c r="Q35" s="32" t="n"/>
      <c r="R35" s="31" t="n"/>
      <c r="S35" s="31" t="n"/>
      <c r="T35" s="31" t="n"/>
      <c r="U35" s="31" t="n"/>
      <c r="V35" s="29" t="n"/>
      <c r="W35" s="32" t="n"/>
      <c r="X35" s="32" t="n"/>
      <c r="Y35" s="32" t="n"/>
      <c r="Z35" s="32" t="n"/>
      <c r="AA35" s="32" t="n"/>
      <c r="AB35" s="32" t="n"/>
      <c r="AC35" s="33" t="n"/>
    </row>
    <row r="36">
      <c r="B36" s="17" t="n">
        <v>23</v>
      </c>
      <c r="C36" s="26" t="n"/>
      <c r="D36" s="27" t="n"/>
      <c r="E36" s="27" t="n"/>
      <c r="F36" s="27" t="n"/>
      <c r="G36" s="28" t="n"/>
      <c r="H36" s="27" t="n"/>
      <c r="I36" s="27" t="n"/>
      <c r="J36" s="27" t="n"/>
      <c r="K36" s="27" t="n"/>
      <c r="L36" s="29" t="n"/>
      <c r="M36" s="29" t="n"/>
      <c r="N36" s="30" t="n"/>
      <c r="O36" s="31" t="n"/>
      <c r="P36" s="32" t="n"/>
      <c r="Q36" s="32" t="n"/>
      <c r="R36" s="31" t="n"/>
      <c r="S36" s="31" t="n"/>
      <c r="T36" s="31" t="n"/>
      <c r="U36" s="31" t="n"/>
      <c r="V36" s="29" t="n"/>
      <c r="W36" s="32" t="n"/>
      <c r="X36" s="32" t="n"/>
      <c r="Y36" s="32" t="n"/>
      <c r="Z36" s="32" t="n"/>
      <c r="AA36" s="32" t="n"/>
      <c r="AB36" s="32" t="n"/>
      <c r="AC36" s="33" t="n"/>
    </row>
    <row r="37">
      <c r="B37" s="17" t="n">
        <v>24</v>
      </c>
      <c r="C37" s="26" t="n"/>
      <c r="D37" s="27" t="n"/>
      <c r="E37" s="27" t="n"/>
      <c r="F37" s="27" t="n"/>
      <c r="G37" s="28" t="n"/>
      <c r="H37" s="27" t="n"/>
      <c r="I37" s="27" t="n"/>
      <c r="J37" s="27" t="n"/>
      <c r="K37" s="27" t="n"/>
      <c r="L37" s="29" t="n"/>
      <c r="M37" s="29" t="n"/>
      <c r="N37" s="30" t="n"/>
      <c r="O37" s="31" t="n"/>
      <c r="P37" s="32" t="n"/>
      <c r="Q37" s="32" t="n"/>
      <c r="R37" s="31" t="n"/>
      <c r="S37" s="31" t="n"/>
      <c r="T37" s="31" t="n"/>
      <c r="U37" s="31" t="n"/>
      <c r="V37" s="29" t="n"/>
      <c r="W37" s="32" t="n"/>
      <c r="X37" s="32" t="n"/>
      <c r="Y37" s="32" t="n"/>
      <c r="Z37" s="32" t="n"/>
      <c r="AA37" s="32" t="n"/>
      <c r="AB37" s="32" t="n"/>
      <c r="AC37" s="33" t="n"/>
    </row>
    <row r="38">
      <c r="B38" s="17" t="n">
        <v>25</v>
      </c>
      <c r="C38" s="26" t="n"/>
      <c r="D38" s="27" t="n"/>
      <c r="E38" s="27" t="n"/>
      <c r="F38" s="27" t="n"/>
      <c r="G38" s="28" t="n"/>
      <c r="H38" s="27" t="n"/>
      <c r="I38" s="27" t="n"/>
      <c r="J38" s="27" t="n"/>
      <c r="K38" s="27" t="n"/>
      <c r="L38" s="29" t="n"/>
      <c r="M38" s="29" t="n"/>
      <c r="N38" s="30" t="n"/>
      <c r="O38" s="31" t="n"/>
      <c r="P38" s="32" t="n"/>
      <c r="Q38" s="32" t="n"/>
      <c r="R38" s="31" t="n"/>
      <c r="S38" s="31" t="n"/>
      <c r="T38" s="31" t="n"/>
      <c r="U38" s="31" t="n"/>
      <c r="V38" s="29" t="n"/>
      <c r="W38" s="32" t="n"/>
      <c r="X38" s="32" t="n"/>
      <c r="Y38" s="32" t="n"/>
      <c r="Z38" s="32" t="n"/>
      <c r="AA38" s="32" t="n"/>
      <c r="AB38" s="32" t="n"/>
      <c r="AC38" s="33" t="n"/>
    </row>
    <row r="39">
      <c r="B39" s="17" t="n">
        <v>26</v>
      </c>
      <c r="C39" s="26" t="n"/>
      <c r="D39" s="27" t="n"/>
      <c r="E39" s="27" t="n"/>
      <c r="F39" s="27" t="n"/>
      <c r="G39" s="28" t="n"/>
      <c r="H39" s="27" t="n"/>
      <c r="I39" s="27" t="n"/>
      <c r="J39" s="27" t="n"/>
      <c r="K39" s="27" t="n"/>
      <c r="L39" s="29" t="n"/>
      <c r="M39" s="29" t="n"/>
      <c r="N39" s="30" t="n"/>
      <c r="O39" s="31" t="n"/>
      <c r="P39" s="32" t="n"/>
      <c r="Q39" s="32" t="n"/>
      <c r="R39" s="31" t="n"/>
      <c r="S39" s="31" t="n"/>
      <c r="T39" s="31" t="n"/>
      <c r="U39" s="31" t="n"/>
      <c r="V39" s="29" t="n"/>
      <c r="W39" s="32" t="n"/>
      <c r="X39" s="32" t="n"/>
      <c r="Y39" s="32" t="n"/>
      <c r="Z39" s="32" t="n"/>
      <c r="AA39" s="32" t="n"/>
      <c r="AB39" s="32" t="n"/>
      <c r="AC39" s="33" t="n"/>
    </row>
    <row r="40">
      <c r="B40" s="17" t="n">
        <v>27</v>
      </c>
      <c r="C40" s="26" t="n"/>
      <c r="D40" s="27" t="n"/>
      <c r="E40" s="27" t="n"/>
      <c r="F40" s="27" t="n"/>
      <c r="G40" s="28" t="n"/>
      <c r="H40" s="27" t="n"/>
      <c r="I40" s="27" t="n"/>
      <c r="J40" s="27" t="n"/>
      <c r="K40" s="27" t="n"/>
      <c r="L40" s="29" t="n"/>
      <c r="M40" s="29" t="n"/>
      <c r="N40" s="30" t="n"/>
      <c r="O40" s="31" t="n"/>
      <c r="P40" s="32" t="n"/>
      <c r="Q40" s="32" t="n"/>
      <c r="R40" s="31" t="n"/>
      <c r="S40" s="31" t="n"/>
      <c r="T40" s="31" t="n"/>
      <c r="U40" s="31" t="n"/>
      <c r="V40" s="29" t="n"/>
      <c r="W40" s="32" t="n"/>
      <c r="X40" s="32" t="n"/>
      <c r="Y40" s="32" t="n"/>
      <c r="Z40" s="32" t="n"/>
      <c r="AA40" s="32" t="n"/>
      <c r="AB40" s="32" t="n"/>
      <c r="AC40" s="33" t="n"/>
    </row>
    <row r="41">
      <c r="B41" s="17" t="n">
        <v>28</v>
      </c>
      <c r="C41" s="26" t="n"/>
      <c r="D41" s="27" t="n"/>
      <c r="E41" s="27" t="n"/>
      <c r="F41" s="27" t="n"/>
      <c r="G41" s="28" t="n"/>
      <c r="H41" s="27" t="n"/>
      <c r="I41" s="27" t="n"/>
      <c r="J41" s="27" t="n"/>
      <c r="K41" s="27" t="n"/>
      <c r="L41" s="29" t="n"/>
      <c r="M41" s="29" t="n"/>
      <c r="N41" s="30" t="n"/>
      <c r="O41" s="31" t="n"/>
      <c r="P41" s="32" t="n"/>
      <c r="Q41" s="32" t="n"/>
      <c r="R41" s="31" t="n"/>
      <c r="S41" s="31" t="n"/>
      <c r="T41" s="31" t="n"/>
      <c r="U41" s="31" t="n"/>
      <c r="V41" s="29" t="n"/>
      <c r="W41" s="32" t="n"/>
      <c r="X41" s="32" t="n"/>
      <c r="Y41" s="32" t="n"/>
      <c r="Z41" s="32" t="n"/>
      <c r="AA41" s="32" t="n"/>
      <c r="AB41" s="32" t="n"/>
      <c r="AC41" s="33" t="n"/>
    </row>
    <row r="42">
      <c r="B42" s="17" t="n">
        <v>29</v>
      </c>
      <c r="C42" s="26" t="n"/>
      <c r="D42" s="27" t="n"/>
      <c r="E42" s="27" t="n"/>
      <c r="F42" s="27" t="n"/>
      <c r="G42" s="28" t="n"/>
      <c r="H42" s="27" t="n"/>
      <c r="I42" s="27" t="n"/>
      <c r="J42" s="27" t="n"/>
      <c r="K42" s="27" t="n"/>
      <c r="L42" s="29" t="n"/>
      <c r="M42" s="29" t="n"/>
      <c r="N42" s="30" t="n"/>
      <c r="O42" s="31" t="n"/>
      <c r="P42" s="32" t="n"/>
      <c r="Q42" s="32" t="n"/>
      <c r="R42" s="31" t="n"/>
      <c r="S42" s="31" t="n"/>
      <c r="T42" s="31" t="n"/>
      <c r="U42" s="31" t="n"/>
      <c r="V42" s="29" t="n"/>
      <c r="W42" s="32" t="n"/>
      <c r="X42" s="32" t="n"/>
      <c r="Y42" s="32" t="n"/>
      <c r="Z42" s="32" t="n"/>
      <c r="AA42" s="32" t="n"/>
      <c r="AB42" s="32" t="n"/>
      <c r="AC42" s="33" t="n"/>
    </row>
    <row r="43">
      <c r="B43" s="17" t="n">
        <v>30</v>
      </c>
      <c r="C43" s="26" t="n"/>
      <c r="D43" s="27" t="n"/>
      <c r="E43" s="27" t="n"/>
      <c r="F43" s="27" t="n"/>
      <c r="G43" s="28" t="n"/>
      <c r="H43" s="27" t="n"/>
      <c r="I43" s="27" t="n"/>
      <c r="J43" s="27" t="n"/>
      <c r="K43" s="27" t="n"/>
      <c r="L43" s="29" t="n"/>
      <c r="M43" s="29" t="n"/>
      <c r="N43" s="30" t="n"/>
      <c r="O43" s="31" t="n"/>
      <c r="P43" s="32" t="n"/>
      <c r="Q43" s="32" t="n"/>
      <c r="R43" s="31" t="n"/>
      <c r="S43" s="31" t="n"/>
      <c r="T43" s="31" t="n"/>
      <c r="U43" s="31" t="n"/>
      <c r="V43" s="29" t="n"/>
      <c r="W43" s="32" t="n"/>
      <c r="X43" s="32" t="n"/>
      <c r="Y43" s="32" t="n"/>
      <c r="Z43" s="32" t="n"/>
      <c r="AA43" s="32" t="n"/>
      <c r="AB43" s="32" t="n"/>
      <c r="AC43" s="33" t="n"/>
    </row>
    <row r="44">
      <c r="B44" s="17" t="n">
        <v>31</v>
      </c>
      <c r="C44" s="26" t="n"/>
      <c r="D44" s="27" t="n"/>
      <c r="E44" s="27" t="n"/>
      <c r="F44" s="27" t="n"/>
      <c r="G44" s="28" t="n"/>
      <c r="H44" s="27" t="n"/>
      <c r="I44" s="27" t="n"/>
      <c r="J44" s="27" t="n"/>
      <c r="K44" s="27" t="n"/>
      <c r="L44" s="29" t="n"/>
      <c r="M44" s="29" t="n"/>
      <c r="N44" s="30" t="n"/>
      <c r="O44" s="31" t="n"/>
      <c r="P44" s="32" t="n"/>
      <c r="Q44" s="32" t="n"/>
      <c r="R44" s="31" t="n"/>
      <c r="S44" s="31" t="n"/>
      <c r="T44" s="31" t="n"/>
      <c r="U44" s="31" t="n"/>
      <c r="V44" s="29" t="n"/>
      <c r="W44" s="32" t="n"/>
      <c r="X44" s="32" t="n"/>
      <c r="Y44" s="32" t="n"/>
      <c r="Z44" s="32" t="n"/>
      <c r="AA44" s="32" t="n"/>
      <c r="AB44" s="32" t="n"/>
      <c r="AC44" s="33" t="n"/>
    </row>
    <row r="45">
      <c r="B45" s="17" t="n">
        <v>32</v>
      </c>
      <c r="C45" s="26" t="n"/>
      <c r="D45" s="27" t="n"/>
      <c r="E45" s="27" t="n"/>
      <c r="F45" s="27" t="n"/>
      <c r="G45" s="28" t="n"/>
      <c r="H45" s="27" t="n"/>
      <c r="I45" s="27" t="n"/>
      <c r="J45" s="27" t="n"/>
      <c r="K45" s="27" t="n"/>
      <c r="L45" s="29" t="n"/>
      <c r="M45" s="29" t="n"/>
      <c r="N45" s="30" t="n"/>
      <c r="O45" s="31" t="n"/>
      <c r="P45" s="32" t="n"/>
      <c r="Q45" s="32" t="n"/>
      <c r="R45" s="31" t="n"/>
      <c r="S45" s="31" t="n"/>
      <c r="T45" s="31" t="n"/>
      <c r="U45" s="31" t="n"/>
      <c r="V45" s="29" t="n"/>
      <c r="W45" s="32" t="n"/>
      <c r="X45" s="32" t="n"/>
      <c r="Y45" s="32" t="n"/>
      <c r="Z45" s="32" t="n"/>
      <c r="AA45" s="32" t="n"/>
      <c r="AB45" s="32" t="n"/>
      <c r="AC45" s="33" t="n"/>
    </row>
    <row r="46">
      <c r="B46" s="17" t="n">
        <v>33</v>
      </c>
      <c r="C46" s="26" t="n"/>
      <c r="D46" s="27" t="n"/>
      <c r="E46" s="27" t="n"/>
      <c r="F46" s="27" t="n"/>
      <c r="G46" s="28" t="n"/>
      <c r="H46" s="27" t="n"/>
      <c r="I46" s="27" t="n"/>
      <c r="J46" s="27" t="n"/>
      <c r="K46" s="27" t="n"/>
      <c r="L46" s="29" t="n"/>
      <c r="M46" s="29" t="n"/>
      <c r="N46" s="30" t="n"/>
      <c r="O46" s="31" t="n"/>
      <c r="P46" s="32" t="n"/>
      <c r="Q46" s="32" t="n"/>
      <c r="R46" s="31" t="n"/>
      <c r="S46" s="31" t="n"/>
      <c r="T46" s="31" t="n"/>
      <c r="U46" s="31" t="n"/>
      <c r="V46" s="29" t="n"/>
      <c r="W46" s="32" t="n"/>
      <c r="X46" s="32" t="n"/>
      <c r="Y46" s="32" t="n"/>
      <c r="Z46" s="32" t="n"/>
      <c r="AA46" s="32" t="n"/>
      <c r="AB46" s="32" t="n"/>
      <c r="AC46" s="33" t="n"/>
    </row>
    <row r="47">
      <c r="B47" s="17" t="n">
        <v>34</v>
      </c>
      <c r="C47" s="26" t="n"/>
      <c r="D47" s="27" t="n"/>
      <c r="E47" s="27" t="n"/>
      <c r="F47" s="27" t="n"/>
      <c r="G47" s="28" t="n"/>
      <c r="H47" s="27" t="n"/>
      <c r="I47" s="27" t="n"/>
      <c r="J47" s="27" t="n"/>
      <c r="K47" s="27" t="n"/>
      <c r="L47" s="29" t="n"/>
      <c r="M47" s="29" t="n"/>
      <c r="N47" s="30" t="n"/>
      <c r="O47" s="31" t="n"/>
      <c r="P47" s="32" t="n"/>
      <c r="Q47" s="32" t="n"/>
      <c r="R47" s="31" t="n"/>
      <c r="S47" s="31" t="n"/>
      <c r="T47" s="31" t="n"/>
      <c r="U47" s="31" t="n"/>
      <c r="V47" s="29" t="n"/>
      <c r="W47" s="32" t="n"/>
      <c r="X47" s="32" t="n"/>
      <c r="Y47" s="32" t="n"/>
      <c r="Z47" s="32" t="n"/>
      <c r="AA47" s="32" t="n"/>
      <c r="AB47" s="32" t="n"/>
      <c r="AC47" s="33" t="n"/>
    </row>
    <row r="48">
      <c r="B48" s="17" t="n">
        <v>35</v>
      </c>
      <c r="C48" s="26" t="n"/>
      <c r="D48" s="27" t="n"/>
      <c r="E48" s="27" t="n"/>
      <c r="F48" s="27" t="n"/>
      <c r="G48" s="28" t="n"/>
      <c r="H48" s="27" t="n"/>
      <c r="I48" s="27" t="n"/>
      <c r="J48" s="27" t="n"/>
      <c r="K48" s="27" t="n"/>
      <c r="L48" s="29" t="n"/>
      <c r="M48" s="29" t="n"/>
      <c r="N48" s="30" t="n"/>
      <c r="O48" s="31" t="n"/>
      <c r="P48" s="32" t="n"/>
      <c r="Q48" s="32" t="n"/>
      <c r="R48" s="31" t="n"/>
      <c r="S48" s="31" t="n"/>
      <c r="T48" s="31" t="n"/>
      <c r="U48" s="31" t="n"/>
      <c r="V48" s="29" t="n"/>
      <c r="W48" s="32" t="n"/>
      <c r="X48" s="32" t="n"/>
      <c r="Y48" s="32" t="n"/>
      <c r="Z48" s="32" t="n"/>
      <c r="AA48" s="32" t="n"/>
      <c r="AB48" s="32" t="n"/>
      <c r="AC48" s="33" t="n"/>
    </row>
    <row r="49">
      <c r="B49" s="17" t="n">
        <v>36</v>
      </c>
      <c r="C49" s="26" t="n"/>
      <c r="D49" s="27" t="n"/>
      <c r="E49" s="27" t="n"/>
      <c r="F49" s="27" t="n"/>
      <c r="G49" s="28" t="n"/>
      <c r="H49" s="27" t="n"/>
      <c r="I49" s="27" t="n"/>
      <c r="J49" s="27" t="n"/>
      <c r="K49" s="27" t="n"/>
      <c r="L49" s="29" t="n"/>
      <c r="M49" s="29" t="n"/>
      <c r="N49" s="30" t="n"/>
      <c r="O49" s="31" t="n"/>
      <c r="P49" s="32" t="n"/>
      <c r="Q49" s="32" t="n"/>
      <c r="R49" s="31" t="n"/>
      <c r="S49" s="31" t="n"/>
      <c r="T49" s="31" t="n"/>
      <c r="U49" s="31" t="n"/>
      <c r="V49" s="29" t="n"/>
      <c r="W49" s="32" t="n"/>
      <c r="X49" s="32" t="n"/>
      <c r="Y49" s="32" t="n"/>
      <c r="Z49" s="32" t="n"/>
      <c r="AA49" s="32" t="n"/>
      <c r="AB49" s="32" t="n"/>
      <c r="AC49" s="33" t="n"/>
    </row>
    <row r="50">
      <c r="B50" s="17" t="n">
        <v>37</v>
      </c>
      <c r="C50" s="26" t="n"/>
      <c r="D50" s="27" t="n"/>
      <c r="E50" s="27" t="n"/>
      <c r="F50" s="27" t="n"/>
      <c r="G50" s="28" t="n"/>
      <c r="H50" s="27" t="n"/>
      <c r="I50" s="27" t="n"/>
      <c r="J50" s="27" t="n"/>
      <c r="K50" s="27" t="n"/>
      <c r="L50" s="29" t="n"/>
      <c r="M50" s="29" t="n"/>
      <c r="N50" s="30" t="n"/>
      <c r="O50" s="31" t="n"/>
      <c r="P50" s="32" t="n"/>
      <c r="Q50" s="32" t="n"/>
      <c r="R50" s="31" t="n"/>
      <c r="S50" s="31" t="n"/>
      <c r="T50" s="31" t="n"/>
      <c r="U50" s="31" t="n"/>
      <c r="V50" s="29" t="n"/>
      <c r="W50" s="32" t="n"/>
      <c r="X50" s="32" t="n"/>
      <c r="Y50" s="32" t="n"/>
      <c r="Z50" s="32" t="n"/>
      <c r="AA50" s="32" t="n"/>
      <c r="AB50" s="32" t="n"/>
      <c r="AC50" s="33" t="n"/>
    </row>
    <row r="51">
      <c r="B51" s="17" t="n">
        <v>38</v>
      </c>
      <c r="C51" s="26" t="n"/>
      <c r="D51" s="27" t="n"/>
      <c r="E51" s="27" t="n"/>
      <c r="F51" s="27" t="n"/>
      <c r="G51" s="28" t="n"/>
      <c r="H51" s="27" t="n"/>
      <c r="I51" s="27" t="n"/>
      <c r="J51" s="27" t="n"/>
      <c r="K51" s="27" t="n"/>
      <c r="L51" s="29" t="n"/>
      <c r="M51" s="29" t="n"/>
      <c r="N51" s="30" t="n"/>
      <c r="O51" s="31" t="n"/>
      <c r="P51" s="32" t="n"/>
      <c r="Q51" s="32" t="n"/>
      <c r="R51" s="31" t="n"/>
      <c r="S51" s="31" t="n"/>
      <c r="T51" s="31" t="n"/>
      <c r="U51" s="31" t="n"/>
      <c r="V51" s="29" t="n"/>
      <c r="W51" s="32" t="n"/>
      <c r="X51" s="32" t="n"/>
      <c r="Y51" s="32" t="n"/>
      <c r="Z51" s="32" t="n"/>
      <c r="AA51" s="32" t="n"/>
      <c r="AB51" s="32" t="n"/>
      <c r="AC51" s="33" t="n"/>
    </row>
    <row r="52">
      <c r="B52" s="17" t="n">
        <v>39</v>
      </c>
      <c r="C52" s="26" t="n"/>
      <c r="D52" s="27" t="n"/>
      <c r="E52" s="27" t="n"/>
      <c r="F52" s="27" t="n"/>
      <c r="G52" s="28" t="n"/>
      <c r="H52" s="27" t="n"/>
      <c r="I52" s="27" t="n"/>
      <c r="J52" s="27" t="n"/>
      <c r="K52" s="27" t="n"/>
      <c r="L52" s="29" t="n"/>
      <c r="M52" s="29" t="n"/>
      <c r="N52" s="30" t="n"/>
      <c r="O52" s="31" t="n"/>
      <c r="P52" s="32" t="n"/>
      <c r="Q52" s="32" t="n"/>
      <c r="R52" s="31" t="n"/>
      <c r="S52" s="31" t="n"/>
      <c r="T52" s="31" t="n"/>
      <c r="U52" s="31" t="n"/>
      <c r="V52" s="29" t="n"/>
      <c r="W52" s="32" t="n"/>
      <c r="X52" s="32" t="n"/>
      <c r="Y52" s="32" t="n"/>
      <c r="Z52" s="32" t="n"/>
      <c r="AA52" s="32" t="n"/>
      <c r="AB52" s="32" t="n"/>
      <c r="AC52" s="33" t="n"/>
    </row>
    <row r="53">
      <c r="B53" s="17" t="n">
        <v>40</v>
      </c>
      <c r="C53" s="26" t="n"/>
      <c r="D53" s="27" t="n"/>
      <c r="E53" s="27" t="n"/>
      <c r="F53" s="27" t="n"/>
      <c r="G53" s="28" t="n"/>
      <c r="H53" s="27" t="n"/>
      <c r="I53" s="27" t="n"/>
      <c r="J53" s="27" t="n"/>
      <c r="K53" s="27" t="n"/>
      <c r="L53" s="29" t="n"/>
      <c r="M53" s="29" t="n"/>
      <c r="N53" s="30" t="n"/>
      <c r="O53" s="31" t="n"/>
      <c r="P53" s="32" t="n"/>
      <c r="Q53" s="32" t="n"/>
      <c r="R53" s="31" t="n"/>
      <c r="S53" s="31" t="n"/>
      <c r="T53" s="31" t="n"/>
      <c r="U53" s="31" t="n"/>
      <c r="V53" s="29" t="n"/>
      <c r="W53" s="32" t="n"/>
      <c r="X53" s="32" t="n"/>
      <c r="Y53" s="32" t="n"/>
      <c r="Z53" s="32" t="n"/>
      <c r="AA53" s="32" t="n"/>
      <c r="AB53" s="32" t="n"/>
      <c r="AC53" s="33" t="n"/>
    </row>
    <row r="54">
      <c r="B54" s="17" t="n">
        <v>41</v>
      </c>
      <c r="C54" s="26" t="n"/>
      <c r="D54" s="27" t="n"/>
      <c r="E54" s="27" t="n"/>
      <c r="F54" s="27" t="n"/>
      <c r="G54" s="28" t="n"/>
      <c r="H54" s="27" t="n"/>
      <c r="I54" s="27" t="n"/>
      <c r="J54" s="27" t="n"/>
      <c r="K54" s="27" t="n"/>
      <c r="L54" s="29" t="n"/>
      <c r="M54" s="29" t="n"/>
      <c r="N54" s="30" t="n"/>
      <c r="O54" s="31" t="n"/>
      <c r="P54" s="32" t="n"/>
      <c r="Q54" s="32" t="n"/>
      <c r="R54" s="31" t="n"/>
      <c r="S54" s="31" t="n"/>
      <c r="T54" s="31" t="n"/>
      <c r="U54" s="31" t="n"/>
      <c r="V54" s="29" t="n"/>
      <c r="W54" s="32" t="n"/>
      <c r="X54" s="32" t="n"/>
      <c r="Y54" s="32" t="n"/>
      <c r="Z54" s="32" t="n"/>
      <c r="AA54" s="32" t="n"/>
      <c r="AB54" s="32" t="n"/>
      <c r="AC54" s="33" t="n"/>
    </row>
    <row r="55">
      <c r="B55" s="17" t="n">
        <v>42</v>
      </c>
      <c r="C55" s="26" t="n"/>
      <c r="D55" s="27" t="n"/>
      <c r="E55" s="27" t="n"/>
      <c r="F55" s="27" t="n"/>
      <c r="G55" s="28" t="n"/>
      <c r="H55" s="27" t="n"/>
      <c r="I55" s="27" t="n"/>
      <c r="J55" s="27" t="n"/>
      <c r="K55" s="27" t="n"/>
      <c r="L55" s="29" t="n"/>
      <c r="M55" s="29" t="n"/>
      <c r="N55" s="30" t="n"/>
      <c r="O55" s="31" t="n"/>
      <c r="P55" s="32" t="n"/>
      <c r="Q55" s="32" t="n"/>
      <c r="R55" s="31" t="n"/>
      <c r="S55" s="31" t="n"/>
      <c r="T55" s="31" t="n"/>
      <c r="U55" s="31" t="n"/>
      <c r="V55" s="29" t="n"/>
      <c r="W55" s="32" t="n"/>
      <c r="X55" s="32" t="n"/>
      <c r="Y55" s="32" t="n"/>
      <c r="Z55" s="32" t="n"/>
      <c r="AA55" s="32" t="n"/>
      <c r="AB55" s="32" t="n"/>
      <c r="AC55" s="33" t="n"/>
    </row>
    <row r="56">
      <c r="B56" s="17" t="n">
        <v>43</v>
      </c>
      <c r="C56" s="26" t="n"/>
      <c r="D56" s="27" t="n"/>
      <c r="E56" s="27" t="n"/>
      <c r="F56" s="27" t="n"/>
      <c r="G56" s="28" t="n"/>
      <c r="H56" s="27" t="n"/>
      <c r="I56" s="27" t="n"/>
      <c r="J56" s="27" t="n"/>
      <c r="K56" s="27" t="n"/>
      <c r="L56" s="29" t="n"/>
      <c r="M56" s="29" t="n"/>
      <c r="N56" s="30" t="n"/>
      <c r="O56" s="31" t="n"/>
      <c r="P56" s="32" t="n"/>
      <c r="Q56" s="32" t="n"/>
      <c r="R56" s="31" t="n"/>
      <c r="S56" s="31" t="n"/>
      <c r="T56" s="31" t="n"/>
      <c r="U56" s="31" t="n"/>
      <c r="V56" s="29" t="n"/>
      <c r="W56" s="32" t="n"/>
      <c r="X56" s="32" t="n"/>
      <c r="Y56" s="32" t="n"/>
      <c r="Z56" s="32" t="n"/>
      <c r="AA56" s="32" t="n"/>
      <c r="AB56" s="32" t="n"/>
      <c r="AC56" s="33" t="n"/>
    </row>
    <row r="57">
      <c r="B57" s="17" t="n">
        <v>44</v>
      </c>
      <c r="C57" s="26" t="n"/>
      <c r="D57" s="27" t="n"/>
      <c r="E57" s="27" t="n"/>
      <c r="F57" s="27" t="n"/>
      <c r="G57" s="28" t="n"/>
      <c r="H57" s="27" t="n"/>
      <c r="I57" s="27" t="n"/>
      <c r="J57" s="27" t="n"/>
      <c r="K57" s="27" t="n"/>
      <c r="L57" s="29" t="n"/>
      <c r="M57" s="29" t="n"/>
      <c r="N57" s="30" t="n"/>
      <c r="O57" s="31" t="n"/>
      <c r="P57" s="32" t="n"/>
      <c r="Q57" s="32" t="n"/>
      <c r="R57" s="31" t="n"/>
      <c r="S57" s="31" t="n"/>
      <c r="T57" s="31" t="n"/>
      <c r="U57" s="31" t="n"/>
      <c r="V57" s="29" t="n"/>
      <c r="W57" s="32" t="n"/>
      <c r="X57" s="32" t="n"/>
      <c r="Y57" s="32" t="n"/>
      <c r="Z57" s="32" t="n"/>
      <c r="AA57" s="32" t="n"/>
      <c r="AB57" s="32" t="n"/>
      <c r="AC57" s="33" t="n"/>
    </row>
    <row r="58">
      <c r="B58" s="17" t="n">
        <v>45</v>
      </c>
      <c r="C58" s="26" t="n"/>
      <c r="D58" s="27" t="n"/>
      <c r="E58" s="27" t="n"/>
      <c r="F58" s="27" t="n"/>
      <c r="G58" s="28" t="n"/>
      <c r="H58" s="27" t="n"/>
      <c r="I58" s="27" t="n"/>
      <c r="J58" s="27" t="n"/>
      <c r="K58" s="27" t="n"/>
      <c r="L58" s="29" t="n"/>
      <c r="M58" s="29" t="n"/>
      <c r="N58" s="30" t="n"/>
      <c r="O58" s="31" t="n"/>
      <c r="P58" s="32" t="n"/>
      <c r="Q58" s="32" t="n"/>
      <c r="R58" s="31" t="n"/>
      <c r="S58" s="31" t="n"/>
      <c r="T58" s="31" t="n"/>
      <c r="U58" s="31" t="n"/>
      <c r="V58" s="29" t="n"/>
      <c r="W58" s="32" t="n"/>
      <c r="X58" s="32" t="n"/>
      <c r="Y58" s="32" t="n"/>
      <c r="Z58" s="32" t="n"/>
      <c r="AA58" s="32" t="n"/>
      <c r="AB58" s="32" t="n"/>
      <c r="AC58" s="33" t="n"/>
    </row>
    <row r="59">
      <c r="B59" s="17" t="n">
        <v>46</v>
      </c>
      <c r="C59" s="26" t="n"/>
      <c r="D59" s="27" t="n"/>
      <c r="E59" s="27" t="n"/>
      <c r="F59" s="27" t="n"/>
      <c r="G59" s="28" t="n"/>
      <c r="H59" s="27" t="n"/>
      <c r="I59" s="27" t="n"/>
      <c r="J59" s="27" t="n"/>
      <c r="K59" s="27" t="n"/>
      <c r="L59" s="29" t="n"/>
      <c r="M59" s="29" t="n"/>
      <c r="N59" s="30" t="n"/>
      <c r="O59" s="31" t="n"/>
      <c r="P59" s="32" t="n"/>
      <c r="Q59" s="32" t="n"/>
      <c r="R59" s="31" t="n"/>
      <c r="S59" s="31" t="n"/>
      <c r="T59" s="31" t="n"/>
      <c r="U59" s="31" t="n"/>
      <c r="V59" s="29" t="n"/>
      <c r="W59" s="32" t="n"/>
      <c r="X59" s="32" t="n"/>
      <c r="Y59" s="32" t="n"/>
      <c r="Z59" s="32" t="n"/>
      <c r="AA59" s="32" t="n"/>
      <c r="AB59" s="32" t="n"/>
      <c r="AC59" s="33" t="n"/>
    </row>
    <row r="60">
      <c r="B60" s="17" t="n">
        <v>47</v>
      </c>
      <c r="C60" s="26" t="n"/>
      <c r="D60" s="27" t="n"/>
      <c r="E60" s="27" t="n"/>
      <c r="F60" s="27" t="n"/>
      <c r="G60" s="28" t="n"/>
      <c r="H60" s="27" t="n"/>
      <c r="I60" s="27" t="n"/>
      <c r="J60" s="27" t="n"/>
      <c r="K60" s="27" t="n"/>
      <c r="L60" s="29" t="n"/>
      <c r="M60" s="29" t="n"/>
      <c r="N60" s="30" t="n"/>
      <c r="O60" s="31" t="n"/>
      <c r="P60" s="32" t="n"/>
      <c r="Q60" s="32" t="n"/>
      <c r="R60" s="31" t="n"/>
      <c r="S60" s="31" t="n"/>
      <c r="T60" s="31" t="n"/>
      <c r="U60" s="31" t="n"/>
      <c r="V60" s="29" t="n"/>
      <c r="W60" s="32" t="n"/>
      <c r="X60" s="32" t="n"/>
      <c r="Y60" s="32" t="n"/>
      <c r="Z60" s="32" t="n"/>
      <c r="AA60" s="32" t="n"/>
      <c r="AB60" s="32" t="n"/>
      <c r="AC60" s="33" t="n"/>
    </row>
    <row r="61">
      <c r="B61" s="17" t="n">
        <v>48</v>
      </c>
      <c r="C61" s="26" t="n"/>
      <c r="D61" s="27" t="n"/>
      <c r="E61" s="27" t="n"/>
      <c r="F61" s="27" t="n"/>
      <c r="G61" s="28" t="n"/>
      <c r="H61" s="27" t="n"/>
      <c r="I61" s="27" t="n"/>
      <c r="J61" s="27" t="n"/>
      <c r="K61" s="27" t="n"/>
      <c r="L61" s="29" t="n"/>
      <c r="M61" s="29" t="n"/>
      <c r="N61" s="30" t="n"/>
      <c r="O61" s="31" t="n"/>
      <c r="P61" s="32" t="n"/>
      <c r="Q61" s="32" t="n"/>
      <c r="R61" s="31" t="n"/>
      <c r="S61" s="31" t="n"/>
      <c r="T61" s="31" t="n"/>
      <c r="U61" s="31" t="n"/>
      <c r="V61" s="29" t="n"/>
      <c r="W61" s="32" t="n"/>
      <c r="X61" s="32" t="n"/>
      <c r="Y61" s="32" t="n"/>
      <c r="Z61" s="32" t="n"/>
      <c r="AA61" s="32" t="n"/>
      <c r="AB61" s="32" t="n"/>
      <c r="AC61" s="33" t="n"/>
    </row>
    <row r="62">
      <c r="B62" s="17" t="n">
        <v>49</v>
      </c>
      <c r="C62" s="26" t="n"/>
      <c r="D62" s="27" t="n"/>
      <c r="E62" s="27" t="n"/>
      <c r="F62" s="27" t="n"/>
      <c r="G62" s="28" t="n"/>
      <c r="H62" s="27" t="n"/>
      <c r="I62" s="27" t="n"/>
      <c r="J62" s="27" t="n"/>
      <c r="K62" s="27" t="n"/>
      <c r="L62" s="29" t="n"/>
      <c r="M62" s="29" t="n"/>
      <c r="N62" s="30" t="n"/>
      <c r="O62" s="31" t="n"/>
      <c r="P62" s="32" t="n"/>
      <c r="Q62" s="32" t="n"/>
      <c r="R62" s="31" t="n"/>
      <c r="S62" s="31" t="n"/>
      <c r="T62" s="31" t="n"/>
      <c r="U62" s="31" t="n"/>
      <c r="V62" s="29" t="n"/>
      <c r="W62" s="32" t="n"/>
      <c r="X62" s="32" t="n"/>
      <c r="Y62" s="32" t="n"/>
      <c r="Z62" s="32" t="n"/>
      <c r="AA62" s="32" t="n"/>
      <c r="AB62" s="32" t="n"/>
      <c r="AC62" s="33" t="n"/>
    </row>
    <row r="63">
      <c r="B63" s="17" t="n">
        <v>50</v>
      </c>
      <c r="C63" s="26" t="n"/>
      <c r="D63" s="27" t="n"/>
      <c r="E63" s="27" t="n"/>
      <c r="F63" s="27" t="n"/>
      <c r="G63" s="28" t="n"/>
      <c r="H63" s="27" t="n"/>
      <c r="I63" s="27" t="n"/>
      <c r="J63" s="27" t="n"/>
      <c r="K63" s="27" t="n"/>
      <c r="L63" s="29" t="n"/>
      <c r="M63" s="29" t="n"/>
      <c r="N63" s="30" t="n"/>
      <c r="O63" s="31" t="n"/>
      <c r="P63" s="32" t="n"/>
      <c r="Q63" s="32" t="n"/>
      <c r="R63" s="31" t="n"/>
      <c r="S63" s="31" t="n"/>
      <c r="T63" s="31" t="n"/>
      <c r="U63" s="31" t="n"/>
      <c r="V63" s="29" t="n"/>
      <c r="W63" s="32" t="n"/>
      <c r="X63" s="32" t="n"/>
      <c r="Y63" s="32" t="n"/>
      <c r="Z63" s="32" t="n"/>
      <c r="AA63" s="32" t="n"/>
      <c r="AB63" s="32" t="n"/>
      <c r="AC63" s="33" t="n"/>
    </row>
    <row r="64">
      <c r="B64" s="17" t="n">
        <v>51</v>
      </c>
      <c r="C64" s="26" t="n"/>
      <c r="D64" s="27" t="n"/>
      <c r="E64" s="27" t="n"/>
      <c r="F64" s="27" t="n"/>
      <c r="G64" s="28" t="n"/>
      <c r="H64" s="27" t="n"/>
      <c r="I64" s="27" t="n"/>
      <c r="J64" s="27" t="n"/>
      <c r="K64" s="27" t="n"/>
      <c r="L64" s="29" t="n"/>
      <c r="M64" s="29" t="n"/>
      <c r="N64" s="30" t="n"/>
      <c r="O64" s="31" t="n"/>
      <c r="P64" s="32" t="n"/>
      <c r="Q64" s="32" t="n"/>
      <c r="R64" s="31" t="n"/>
      <c r="S64" s="31" t="n"/>
      <c r="T64" s="31" t="n"/>
      <c r="U64" s="31" t="n"/>
      <c r="V64" s="29" t="n"/>
      <c r="W64" s="32" t="n"/>
      <c r="X64" s="32" t="n"/>
      <c r="Y64" s="32" t="n"/>
      <c r="Z64" s="32" t="n"/>
      <c r="AA64" s="32" t="n"/>
      <c r="AB64" s="32" t="n"/>
      <c r="AC64" s="33" t="n"/>
    </row>
    <row r="65">
      <c r="B65" s="17" t="n">
        <v>52</v>
      </c>
      <c r="C65" s="26" t="n"/>
      <c r="D65" s="27" t="n"/>
      <c r="E65" s="27" t="n"/>
      <c r="F65" s="27" t="n"/>
      <c r="G65" s="28" t="n"/>
      <c r="H65" s="27" t="n"/>
      <c r="I65" s="27" t="n"/>
      <c r="J65" s="27" t="n"/>
      <c r="K65" s="27" t="n"/>
      <c r="L65" s="29" t="n"/>
      <c r="M65" s="29" t="n"/>
      <c r="N65" s="30" t="n"/>
      <c r="O65" s="31" t="n"/>
      <c r="P65" s="32" t="n"/>
      <c r="Q65" s="32" t="n"/>
      <c r="R65" s="31" t="n"/>
      <c r="S65" s="31" t="n"/>
      <c r="T65" s="31" t="n"/>
      <c r="U65" s="31" t="n"/>
      <c r="V65" s="29" t="n"/>
      <c r="W65" s="32" t="n"/>
      <c r="X65" s="32" t="n"/>
      <c r="Y65" s="32" t="n"/>
      <c r="Z65" s="32" t="n"/>
      <c r="AA65" s="32" t="n"/>
      <c r="AB65" s="32" t="n"/>
      <c r="AC65" s="33" t="n"/>
    </row>
    <row r="66">
      <c r="B66" s="17" t="n">
        <v>53</v>
      </c>
      <c r="C66" s="26" t="n"/>
      <c r="D66" s="27" t="n"/>
      <c r="E66" s="27" t="n"/>
      <c r="F66" s="27" t="n"/>
      <c r="G66" s="28" t="n"/>
      <c r="H66" s="27" t="n"/>
      <c r="I66" s="27" t="n"/>
      <c r="J66" s="27" t="n"/>
      <c r="K66" s="27" t="n"/>
      <c r="L66" s="29" t="n"/>
      <c r="M66" s="29" t="n"/>
      <c r="N66" s="30" t="n"/>
      <c r="O66" s="31" t="n"/>
      <c r="P66" s="32" t="n"/>
      <c r="Q66" s="32" t="n"/>
      <c r="R66" s="31" t="n"/>
      <c r="S66" s="31" t="n"/>
      <c r="T66" s="31" t="n"/>
      <c r="U66" s="31" t="n"/>
      <c r="V66" s="29" t="n"/>
      <c r="W66" s="32" t="n"/>
      <c r="X66" s="32" t="n"/>
      <c r="Y66" s="32" t="n"/>
      <c r="Z66" s="32" t="n"/>
      <c r="AA66" s="32" t="n"/>
      <c r="AB66" s="32" t="n"/>
      <c r="AC66" s="33" t="n"/>
    </row>
    <row r="67">
      <c r="B67" s="17" t="n">
        <v>54</v>
      </c>
      <c r="C67" s="26" t="n"/>
      <c r="D67" s="27" t="n"/>
      <c r="E67" s="27" t="n"/>
      <c r="F67" s="27" t="n"/>
      <c r="G67" s="28" t="n"/>
      <c r="H67" s="27" t="n"/>
      <c r="I67" s="27" t="n"/>
      <c r="J67" s="27" t="n"/>
      <c r="K67" s="27" t="n"/>
      <c r="L67" s="29" t="n"/>
      <c r="M67" s="29" t="n"/>
      <c r="N67" s="30" t="n"/>
      <c r="O67" s="31" t="n"/>
      <c r="P67" s="32" t="n"/>
      <c r="Q67" s="32" t="n"/>
      <c r="R67" s="31" t="n"/>
      <c r="S67" s="31" t="n"/>
      <c r="T67" s="31" t="n"/>
      <c r="U67" s="31" t="n"/>
      <c r="V67" s="29" t="n"/>
      <c r="W67" s="32" t="n"/>
      <c r="X67" s="32" t="n"/>
      <c r="Y67" s="32" t="n"/>
      <c r="Z67" s="32" t="n"/>
      <c r="AA67" s="32" t="n"/>
      <c r="AB67" s="32" t="n"/>
      <c r="AC67" s="33" t="n"/>
    </row>
    <row r="68">
      <c r="B68" s="17" t="n">
        <v>55</v>
      </c>
      <c r="C68" s="26" t="n"/>
      <c r="D68" s="27" t="n"/>
      <c r="E68" s="27" t="n"/>
      <c r="F68" s="27" t="n"/>
      <c r="G68" s="28" t="n"/>
      <c r="H68" s="27" t="n"/>
      <c r="I68" s="27" t="n"/>
      <c r="J68" s="27" t="n"/>
      <c r="K68" s="27" t="n"/>
      <c r="L68" s="29" t="n"/>
      <c r="M68" s="29" t="n"/>
      <c r="N68" s="30" t="n"/>
      <c r="O68" s="31" t="n"/>
      <c r="P68" s="32" t="n"/>
      <c r="Q68" s="32" t="n"/>
      <c r="R68" s="31" t="n"/>
      <c r="S68" s="31" t="n"/>
      <c r="T68" s="31" t="n"/>
      <c r="U68" s="31" t="n"/>
      <c r="V68" s="29" t="n"/>
      <c r="W68" s="32" t="n"/>
      <c r="X68" s="32" t="n"/>
      <c r="Y68" s="32" t="n"/>
      <c r="Z68" s="32" t="n"/>
      <c r="AA68" s="32" t="n"/>
      <c r="AB68" s="32" t="n"/>
      <c r="AC68" s="33" t="n"/>
    </row>
    <row r="69">
      <c r="B69" s="17" t="n">
        <v>56</v>
      </c>
      <c r="C69" s="26" t="n"/>
      <c r="D69" s="27" t="n"/>
      <c r="E69" s="27" t="n"/>
      <c r="F69" s="27" t="n"/>
      <c r="G69" s="28" t="n"/>
      <c r="H69" s="27" t="n"/>
      <c r="I69" s="27" t="n"/>
      <c r="J69" s="27" t="n"/>
      <c r="K69" s="27" t="n"/>
      <c r="L69" s="29" t="n"/>
      <c r="M69" s="29" t="n"/>
      <c r="N69" s="30" t="n"/>
      <c r="O69" s="31" t="n"/>
      <c r="P69" s="32" t="n"/>
      <c r="Q69" s="32" t="n"/>
      <c r="R69" s="31" t="n"/>
      <c r="S69" s="31" t="n"/>
      <c r="T69" s="31" t="n"/>
      <c r="U69" s="31" t="n"/>
      <c r="V69" s="29" t="n"/>
      <c r="W69" s="32" t="n"/>
      <c r="X69" s="32" t="n"/>
      <c r="Y69" s="32" t="n"/>
      <c r="Z69" s="32" t="n"/>
      <c r="AA69" s="32" t="n"/>
      <c r="AB69" s="32" t="n"/>
      <c r="AC69" s="33" t="n"/>
    </row>
    <row r="70">
      <c r="B70" s="17" t="n">
        <v>57</v>
      </c>
      <c r="C70" s="26" t="n"/>
      <c r="D70" s="27" t="n"/>
      <c r="E70" s="27" t="n"/>
      <c r="F70" s="27" t="n"/>
      <c r="G70" s="28" t="n"/>
      <c r="H70" s="27" t="n"/>
      <c r="I70" s="27" t="n"/>
      <c r="J70" s="27" t="n"/>
      <c r="K70" s="27" t="n"/>
      <c r="L70" s="29" t="n"/>
      <c r="M70" s="29" t="n"/>
      <c r="N70" s="30" t="n"/>
      <c r="O70" s="31" t="n"/>
      <c r="P70" s="32" t="n"/>
      <c r="Q70" s="32" t="n"/>
      <c r="R70" s="31" t="n"/>
      <c r="S70" s="31" t="n"/>
      <c r="T70" s="31" t="n"/>
      <c r="U70" s="31" t="n"/>
      <c r="V70" s="29" t="n"/>
      <c r="W70" s="32" t="n"/>
      <c r="X70" s="32" t="n"/>
      <c r="Y70" s="32" t="n"/>
      <c r="Z70" s="32" t="n"/>
      <c r="AA70" s="32" t="n"/>
      <c r="AB70" s="32" t="n"/>
      <c r="AC70" s="33" t="n"/>
    </row>
    <row r="71">
      <c r="B71" s="17" t="n">
        <v>58</v>
      </c>
      <c r="C71" s="26" t="n"/>
      <c r="D71" s="27" t="n"/>
      <c r="E71" s="27" t="n"/>
      <c r="F71" s="27" t="n"/>
      <c r="G71" s="28" t="n"/>
      <c r="H71" s="27" t="n"/>
      <c r="I71" s="27" t="n"/>
      <c r="J71" s="27" t="n"/>
      <c r="K71" s="27" t="n"/>
      <c r="L71" s="29" t="n"/>
      <c r="M71" s="29" t="n"/>
      <c r="N71" s="30" t="n"/>
      <c r="O71" s="31" t="n"/>
      <c r="P71" s="32" t="n"/>
      <c r="Q71" s="32" t="n"/>
      <c r="R71" s="31" t="n"/>
      <c r="S71" s="31" t="n"/>
      <c r="T71" s="31" t="n"/>
      <c r="U71" s="31" t="n"/>
      <c r="V71" s="29" t="n"/>
      <c r="W71" s="32" t="n"/>
      <c r="X71" s="32" t="n"/>
      <c r="Y71" s="32" t="n"/>
      <c r="Z71" s="32" t="n"/>
      <c r="AA71" s="32" t="n"/>
      <c r="AB71" s="32" t="n"/>
      <c r="AC71" s="33" t="n"/>
    </row>
    <row r="72">
      <c r="B72" s="17" t="n">
        <v>59</v>
      </c>
      <c r="C72" s="26" t="n"/>
      <c r="D72" s="27" t="n"/>
      <c r="E72" s="27" t="n"/>
      <c r="F72" s="27" t="n"/>
      <c r="G72" s="28" t="n"/>
      <c r="H72" s="27" t="n"/>
      <c r="I72" s="27" t="n"/>
      <c r="J72" s="27" t="n"/>
      <c r="K72" s="27" t="n"/>
      <c r="L72" s="29" t="n"/>
      <c r="M72" s="29" t="n"/>
      <c r="N72" s="30" t="n"/>
      <c r="O72" s="31" t="n"/>
      <c r="P72" s="32" t="n"/>
      <c r="Q72" s="32" t="n"/>
      <c r="R72" s="31" t="n"/>
      <c r="S72" s="31" t="n"/>
      <c r="T72" s="31" t="n"/>
      <c r="U72" s="31" t="n"/>
      <c r="V72" s="29" t="n"/>
      <c r="W72" s="32" t="n"/>
      <c r="X72" s="32" t="n"/>
      <c r="Y72" s="32" t="n"/>
      <c r="Z72" s="32" t="n"/>
      <c r="AA72" s="32" t="n"/>
      <c r="AB72" s="32" t="n"/>
      <c r="AC72" s="33" t="n"/>
    </row>
    <row r="73">
      <c r="B73" s="17" t="n">
        <v>60</v>
      </c>
      <c r="C73" s="26" t="n"/>
      <c r="D73" s="27" t="n"/>
      <c r="E73" s="27" t="n"/>
      <c r="F73" s="27" t="n"/>
      <c r="G73" s="28" t="n"/>
      <c r="H73" s="27" t="n"/>
      <c r="I73" s="27" t="n"/>
      <c r="J73" s="27" t="n"/>
      <c r="K73" s="27" t="n"/>
      <c r="L73" s="29" t="n"/>
      <c r="M73" s="29" t="n"/>
      <c r="N73" s="30" t="n"/>
      <c r="O73" s="31" t="n"/>
      <c r="P73" s="32" t="n"/>
      <c r="Q73" s="32" t="n"/>
      <c r="R73" s="31" t="n"/>
      <c r="S73" s="31" t="n"/>
      <c r="T73" s="31" t="n"/>
      <c r="U73" s="31" t="n"/>
      <c r="V73" s="29" t="n"/>
      <c r="W73" s="32" t="n"/>
      <c r="X73" s="32" t="n"/>
      <c r="Y73" s="32" t="n"/>
      <c r="Z73" s="32" t="n"/>
      <c r="AA73" s="32" t="n"/>
      <c r="AB73" s="32" t="n"/>
      <c r="AC73" s="33" t="n"/>
    </row>
    <row r="74">
      <c r="B74" s="17" t="n">
        <v>61</v>
      </c>
      <c r="C74" s="26" t="n"/>
      <c r="D74" s="27" t="n"/>
      <c r="E74" s="27" t="n"/>
      <c r="F74" s="27" t="n"/>
      <c r="G74" s="28" t="n"/>
      <c r="H74" s="27" t="n"/>
      <c r="I74" s="27" t="n"/>
      <c r="J74" s="27" t="n"/>
      <c r="K74" s="27" t="n"/>
      <c r="L74" s="29" t="n"/>
      <c r="M74" s="29" t="n"/>
      <c r="N74" s="30" t="n"/>
      <c r="O74" s="31" t="n"/>
      <c r="P74" s="32" t="n"/>
      <c r="Q74" s="32" t="n"/>
      <c r="R74" s="31" t="n"/>
      <c r="S74" s="31" t="n"/>
      <c r="T74" s="31" t="n"/>
      <c r="U74" s="31" t="n"/>
      <c r="V74" s="29" t="n"/>
      <c r="W74" s="32" t="n"/>
      <c r="X74" s="32" t="n"/>
      <c r="Y74" s="32" t="n"/>
      <c r="Z74" s="32" t="n"/>
      <c r="AA74" s="32" t="n"/>
      <c r="AB74" s="32" t="n"/>
      <c r="AC74" s="33" t="n"/>
    </row>
    <row r="75">
      <c r="B75" s="17" t="n">
        <v>62</v>
      </c>
      <c r="C75" s="26" t="n"/>
      <c r="D75" s="27" t="n"/>
      <c r="E75" s="27" t="n"/>
      <c r="F75" s="27" t="n"/>
      <c r="G75" s="28" t="n"/>
      <c r="H75" s="27" t="n"/>
      <c r="I75" s="27" t="n"/>
      <c r="J75" s="27" t="n"/>
      <c r="K75" s="27" t="n"/>
      <c r="L75" s="29" t="n"/>
      <c r="M75" s="29" t="n"/>
      <c r="N75" s="30" t="n"/>
      <c r="O75" s="31" t="n"/>
      <c r="P75" s="32" t="n"/>
      <c r="Q75" s="32" t="n"/>
      <c r="R75" s="31" t="n"/>
      <c r="S75" s="31" t="n"/>
      <c r="T75" s="31" t="n"/>
      <c r="U75" s="31" t="n"/>
      <c r="V75" s="29" t="n"/>
      <c r="W75" s="32" t="n"/>
      <c r="X75" s="32" t="n"/>
      <c r="Y75" s="32" t="n"/>
      <c r="Z75" s="32" t="n"/>
      <c r="AA75" s="32" t="n"/>
      <c r="AB75" s="32" t="n"/>
      <c r="AC75" s="33" t="n"/>
    </row>
    <row r="76">
      <c r="B76" s="17" t="n">
        <v>63</v>
      </c>
      <c r="C76" s="26" t="n"/>
      <c r="D76" s="27" t="n"/>
      <c r="E76" s="27" t="n"/>
      <c r="F76" s="27" t="n"/>
      <c r="G76" s="28" t="n"/>
      <c r="H76" s="27" t="n"/>
      <c r="I76" s="27" t="n"/>
      <c r="J76" s="27" t="n"/>
      <c r="K76" s="27" t="n"/>
      <c r="L76" s="29" t="n"/>
      <c r="M76" s="29" t="n"/>
      <c r="N76" s="30" t="n"/>
      <c r="O76" s="31" t="n"/>
      <c r="P76" s="32" t="n"/>
      <c r="Q76" s="32" t="n"/>
      <c r="R76" s="31" t="n"/>
      <c r="S76" s="31" t="n"/>
      <c r="T76" s="31" t="n"/>
      <c r="U76" s="31" t="n"/>
      <c r="V76" s="29" t="n"/>
      <c r="W76" s="32" t="n"/>
      <c r="X76" s="32" t="n"/>
      <c r="Y76" s="32" t="n"/>
      <c r="Z76" s="32" t="n"/>
      <c r="AA76" s="32" t="n"/>
      <c r="AB76" s="32" t="n"/>
      <c r="AC76" s="33" t="n"/>
    </row>
    <row r="77">
      <c r="B77" s="17" t="n">
        <v>64</v>
      </c>
      <c r="C77" s="26" t="n"/>
      <c r="D77" s="27" t="n"/>
      <c r="E77" s="27" t="n"/>
      <c r="F77" s="27" t="n"/>
      <c r="G77" s="28" t="n"/>
      <c r="H77" s="27" t="n"/>
      <c r="I77" s="27" t="n"/>
      <c r="J77" s="27" t="n"/>
      <c r="K77" s="27" t="n"/>
      <c r="L77" s="29" t="n"/>
      <c r="M77" s="29" t="n"/>
      <c r="N77" s="30" t="n"/>
      <c r="O77" s="31" t="n"/>
      <c r="P77" s="32" t="n"/>
      <c r="Q77" s="32" t="n"/>
      <c r="R77" s="31" t="n"/>
      <c r="S77" s="31" t="n"/>
      <c r="T77" s="31" t="n"/>
      <c r="U77" s="31" t="n"/>
      <c r="V77" s="29" t="n"/>
      <c r="W77" s="32" t="n"/>
      <c r="X77" s="32" t="n"/>
      <c r="Y77" s="32" t="n"/>
      <c r="Z77" s="32" t="n"/>
      <c r="AA77" s="32" t="n"/>
      <c r="AB77" s="32" t="n"/>
      <c r="AC77" s="33" t="n"/>
    </row>
    <row r="78">
      <c r="B78" s="17" t="n">
        <v>65</v>
      </c>
      <c r="C78" s="26" t="n"/>
      <c r="D78" s="27" t="n"/>
      <c r="E78" s="27" t="n"/>
      <c r="F78" s="27" t="n"/>
      <c r="G78" s="28" t="n"/>
      <c r="H78" s="27" t="n"/>
      <c r="I78" s="27" t="n"/>
      <c r="J78" s="27" t="n"/>
      <c r="K78" s="27" t="n"/>
      <c r="L78" s="29" t="n"/>
      <c r="M78" s="29" t="n"/>
      <c r="N78" s="30" t="n"/>
      <c r="O78" s="31" t="n"/>
      <c r="P78" s="32" t="n"/>
      <c r="Q78" s="32" t="n"/>
      <c r="R78" s="31" t="n"/>
      <c r="S78" s="31" t="n"/>
      <c r="T78" s="31" t="n"/>
      <c r="U78" s="31" t="n"/>
      <c r="V78" s="29" t="n"/>
      <c r="W78" s="32" t="n"/>
      <c r="X78" s="32" t="n"/>
      <c r="Y78" s="32" t="n"/>
      <c r="Z78" s="32" t="n"/>
      <c r="AA78" s="32" t="n"/>
      <c r="AB78" s="32" t="n"/>
      <c r="AC78" s="33" t="n"/>
    </row>
    <row r="79">
      <c r="B79" s="17" t="n">
        <v>66</v>
      </c>
      <c r="C79" s="26" t="n"/>
      <c r="D79" s="27" t="n"/>
      <c r="E79" s="27" t="n"/>
      <c r="F79" s="27" t="n"/>
      <c r="G79" s="28" t="n"/>
      <c r="H79" s="27" t="n"/>
      <c r="I79" s="27" t="n"/>
      <c r="J79" s="27" t="n"/>
      <c r="K79" s="27" t="n"/>
      <c r="L79" s="29" t="n"/>
      <c r="M79" s="29" t="n"/>
      <c r="N79" s="30" t="n"/>
      <c r="O79" s="31" t="n"/>
      <c r="P79" s="32" t="n"/>
      <c r="Q79" s="32" t="n"/>
      <c r="R79" s="31" t="n"/>
      <c r="S79" s="31" t="n"/>
      <c r="T79" s="31" t="n"/>
      <c r="U79" s="31" t="n"/>
      <c r="V79" s="29" t="n"/>
      <c r="W79" s="32" t="n"/>
      <c r="X79" s="32" t="n"/>
      <c r="Y79" s="32" t="n"/>
      <c r="Z79" s="32" t="n"/>
      <c r="AA79" s="32" t="n"/>
      <c r="AB79" s="32" t="n"/>
      <c r="AC79" s="33" t="n"/>
    </row>
    <row r="80">
      <c r="B80" s="17" t="n">
        <v>67</v>
      </c>
      <c r="C80" s="26" t="n"/>
      <c r="D80" s="27" t="n"/>
      <c r="E80" s="27" t="n"/>
      <c r="F80" s="27" t="n"/>
      <c r="G80" s="28" t="n"/>
      <c r="H80" s="27" t="n"/>
      <c r="I80" s="27" t="n"/>
      <c r="J80" s="27" t="n"/>
      <c r="K80" s="27" t="n"/>
      <c r="L80" s="29" t="n"/>
      <c r="M80" s="29" t="n"/>
      <c r="N80" s="30" t="n"/>
      <c r="O80" s="31" t="n"/>
      <c r="P80" s="32" t="n"/>
      <c r="Q80" s="32" t="n"/>
      <c r="R80" s="31" t="n"/>
      <c r="S80" s="31" t="n"/>
      <c r="T80" s="31" t="n"/>
      <c r="U80" s="31" t="n"/>
      <c r="V80" s="29" t="n"/>
      <c r="W80" s="32" t="n"/>
      <c r="X80" s="32" t="n"/>
      <c r="Y80" s="32" t="n"/>
      <c r="Z80" s="32" t="n"/>
      <c r="AA80" s="32" t="n"/>
      <c r="AB80" s="32" t="n"/>
      <c r="AC80" s="33" t="n"/>
    </row>
    <row r="81">
      <c r="B81" s="17" t="n">
        <v>68</v>
      </c>
      <c r="C81" s="26" t="n"/>
      <c r="D81" s="27" t="n"/>
      <c r="E81" s="27" t="n"/>
      <c r="F81" s="27" t="n"/>
      <c r="G81" s="28" t="n"/>
      <c r="H81" s="27" t="n"/>
      <c r="I81" s="27" t="n"/>
      <c r="J81" s="27" t="n"/>
      <c r="K81" s="27" t="n"/>
      <c r="L81" s="29" t="n"/>
      <c r="M81" s="29" t="n"/>
      <c r="N81" s="30" t="n"/>
      <c r="O81" s="31" t="n"/>
      <c r="P81" s="32" t="n"/>
      <c r="Q81" s="32" t="n"/>
      <c r="R81" s="31" t="n"/>
      <c r="S81" s="31" t="n"/>
      <c r="T81" s="31" t="n"/>
      <c r="U81" s="31" t="n"/>
      <c r="V81" s="29" t="n"/>
      <c r="W81" s="32" t="n"/>
      <c r="X81" s="32" t="n"/>
      <c r="Y81" s="32" t="n"/>
      <c r="Z81" s="32" t="n"/>
      <c r="AA81" s="32" t="n"/>
      <c r="AB81" s="32" t="n"/>
      <c r="AC81" s="33" t="n"/>
    </row>
    <row r="82">
      <c r="B82" s="17" t="n">
        <v>69</v>
      </c>
      <c r="C82" s="26" t="n"/>
      <c r="D82" s="27" t="n"/>
      <c r="E82" s="27" t="n"/>
      <c r="F82" s="27" t="n"/>
      <c r="G82" s="28" t="n"/>
      <c r="H82" s="27" t="n"/>
      <c r="I82" s="27" t="n"/>
      <c r="J82" s="27" t="n"/>
      <c r="K82" s="27" t="n"/>
      <c r="L82" s="29" t="n"/>
      <c r="M82" s="29" t="n"/>
      <c r="N82" s="30" t="n"/>
      <c r="O82" s="31" t="n"/>
      <c r="P82" s="32" t="n"/>
      <c r="Q82" s="32" t="n"/>
      <c r="R82" s="31" t="n"/>
      <c r="S82" s="31" t="n"/>
      <c r="T82" s="31" t="n"/>
      <c r="U82" s="31" t="n"/>
      <c r="V82" s="29" t="n"/>
      <c r="W82" s="32" t="n"/>
      <c r="X82" s="32" t="n"/>
      <c r="Y82" s="32" t="n"/>
      <c r="Z82" s="32" t="n"/>
      <c r="AA82" s="32" t="n"/>
      <c r="AB82" s="32" t="n"/>
      <c r="AC82" s="33" t="n"/>
    </row>
    <row r="83">
      <c r="B83" s="17" t="n">
        <v>70</v>
      </c>
      <c r="C83" s="26" t="n"/>
      <c r="D83" s="27" t="n"/>
      <c r="E83" s="27" t="n"/>
      <c r="F83" s="27" t="n"/>
      <c r="G83" s="28" t="n"/>
      <c r="H83" s="27" t="n"/>
      <c r="I83" s="27" t="n"/>
      <c r="J83" s="27" t="n"/>
      <c r="K83" s="27" t="n"/>
      <c r="L83" s="29" t="n"/>
      <c r="M83" s="29" t="n"/>
      <c r="N83" s="30" t="n"/>
      <c r="O83" s="31" t="n"/>
      <c r="P83" s="32" t="n"/>
      <c r="Q83" s="32" t="n"/>
      <c r="R83" s="31" t="n"/>
      <c r="S83" s="31" t="n"/>
      <c r="T83" s="31" t="n"/>
      <c r="U83" s="31" t="n"/>
      <c r="V83" s="29" t="n"/>
      <c r="W83" s="32" t="n"/>
      <c r="X83" s="32" t="n"/>
      <c r="Y83" s="32" t="n"/>
      <c r="Z83" s="32" t="n"/>
      <c r="AA83" s="32" t="n"/>
      <c r="AB83" s="32" t="n"/>
      <c r="AC83" s="33" t="n"/>
    </row>
    <row r="84">
      <c r="B84" s="17" t="n">
        <v>71</v>
      </c>
      <c r="C84" s="26" t="n"/>
      <c r="D84" s="27" t="n"/>
      <c r="E84" s="27" t="n"/>
      <c r="F84" s="27" t="n"/>
      <c r="G84" s="28" t="n"/>
      <c r="H84" s="27" t="n"/>
      <c r="I84" s="27" t="n"/>
      <c r="J84" s="27" t="n"/>
      <c r="K84" s="27" t="n"/>
      <c r="L84" s="29" t="n"/>
      <c r="M84" s="29" t="n"/>
      <c r="N84" s="30" t="n"/>
      <c r="O84" s="31" t="n"/>
      <c r="P84" s="32" t="n"/>
      <c r="Q84" s="32" t="n"/>
      <c r="R84" s="31" t="n"/>
      <c r="S84" s="31" t="n"/>
      <c r="T84" s="31" t="n"/>
      <c r="U84" s="31" t="n"/>
      <c r="V84" s="29" t="n"/>
      <c r="W84" s="32" t="n"/>
      <c r="X84" s="32" t="n"/>
      <c r="Y84" s="32" t="n"/>
      <c r="Z84" s="32" t="n"/>
      <c r="AA84" s="32" t="n"/>
      <c r="AB84" s="32" t="n"/>
      <c r="AC84" s="33" t="n"/>
    </row>
    <row r="85">
      <c r="B85" s="17" t="n">
        <v>72</v>
      </c>
      <c r="C85" s="26" t="n"/>
      <c r="D85" s="27" t="n"/>
      <c r="E85" s="27" t="n"/>
      <c r="F85" s="27" t="n"/>
      <c r="G85" s="28" t="n"/>
      <c r="H85" s="27" t="n"/>
      <c r="I85" s="27" t="n"/>
      <c r="J85" s="27" t="n"/>
      <c r="K85" s="27" t="n"/>
      <c r="L85" s="29" t="n"/>
      <c r="M85" s="29" t="n"/>
      <c r="N85" s="30" t="n"/>
      <c r="O85" s="31" t="n"/>
      <c r="P85" s="32" t="n"/>
      <c r="Q85" s="32" t="n"/>
      <c r="R85" s="31" t="n"/>
      <c r="S85" s="31" t="n"/>
      <c r="T85" s="31" t="n"/>
      <c r="U85" s="31" t="n"/>
      <c r="V85" s="29" t="n"/>
      <c r="W85" s="32" t="n"/>
      <c r="X85" s="32" t="n"/>
      <c r="Y85" s="32" t="n"/>
      <c r="Z85" s="32" t="n"/>
      <c r="AA85" s="32" t="n"/>
      <c r="AB85" s="32" t="n"/>
      <c r="AC85" s="33" t="n"/>
    </row>
    <row r="86">
      <c r="B86" s="17" t="n">
        <v>73</v>
      </c>
      <c r="C86" s="26" t="n"/>
      <c r="D86" s="27" t="n"/>
      <c r="E86" s="27" t="n"/>
      <c r="F86" s="27" t="n"/>
      <c r="G86" s="28" t="n"/>
      <c r="H86" s="27" t="n"/>
      <c r="I86" s="27" t="n"/>
      <c r="J86" s="27" t="n"/>
      <c r="K86" s="27" t="n"/>
      <c r="L86" s="29" t="n"/>
      <c r="M86" s="29" t="n"/>
      <c r="N86" s="30" t="n"/>
      <c r="O86" s="31" t="n"/>
      <c r="P86" s="32" t="n"/>
      <c r="Q86" s="32" t="n"/>
      <c r="R86" s="31" t="n"/>
      <c r="S86" s="31" t="n"/>
      <c r="T86" s="31" t="n"/>
      <c r="U86" s="31" t="n"/>
      <c r="V86" s="29" t="n"/>
      <c r="W86" s="32" t="n"/>
      <c r="X86" s="32" t="n"/>
      <c r="Y86" s="32" t="n"/>
      <c r="Z86" s="32" t="n"/>
      <c r="AA86" s="32" t="n"/>
      <c r="AB86" s="32" t="n"/>
      <c r="AC86" s="33" t="n"/>
    </row>
    <row r="87">
      <c r="B87" s="17" t="n">
        <v>74</v>
      </c>
      <c r="C87" s="26" t="n"/>
      <c r="D87" s="27" t="n"/>
      <c r="E87" s="27" t="n"/>
      <c r="F87" s="27" t="n"/>
      <c r="G87" s="28" t="n"/>
      <c r="H87" s="27" t="n"/>
      <c r="I87" s="27" t="n"/>
      <c r="J87" s="27" t="n"/>
      <c r="K87" s="27" t="n"/>
      <c r="L87" s="29" t="n"/>
      <c r="M87" s="29" t="n"/>
      <c r="N87" s="30" t="n"/>
      <c r="O87" s="31" t="n"/>
      <c r="P87" s="32" t="n"/>
      <c r="Q87" s="32" t="n"/>
      <c r="R87" s="31" t="n"/>
      <c r="S87" s="31" t="n"/>
      <c r="T87" s="31" t="n"/>
      <c r="U87" s="31" t="n"/>
      <c r="V87" s="29" t="n"/>
      <c r="W87" s="32" t="n"/>
      <c r="X87" s="32" t="n"/>
      <c r="Y87" s="32" t="n"/>
      <c r="Z87" s="32" t="n"/>
      <c r="AA87" s="32" t="n"/>
      <c r="AB87" s="32" t="n"/>
      <c r="AC87" s="33" t="n"/>
    </row>
    <row r="88">
      <c r="B88" s="17" t="n">
        <v>75</v>
      </c>
      <c r="C88" s="26" t="n"/>
      <c r="D88" s="27" t="n"/>
      <c r="E88" s="27" t="n"/>
      <c r="F88" s="27" t="n"/>
      <c r="G88" s="28" t="n"/>
      <c r="H88" s="27" t="n"/>
      <c r="I88" s="27" t="n"/>
      <c r="J88" s="27" t="n"/>
      <c r="K88" s="27" t="n"/>
      <c r="L88" s="29" t="n"/>
      <c r="M88" s="29" t="n"/>
      <c r="N88" s="30" t="n"/>
      <c r="O88" s="31" t="n"/>
      <c r="P88" s="32" t="n"/>
      <c r="Q88" s="32" t="n"/>
      <c r="R88" s="31" t="n"/>
      <c r="S88" s="31" t="n"/>
      <c r="T88" s="31" t="n"/>
      <c r="U88" s="31" t="n"/>
      <c r="V88" s="29" t="n"/>
      <c r="W88" s="32" t="n"/>
      <c r="X88" s="32" t="n"/>
      <c r="Y88" s="32" t="n"/>
      <c r="Z88" s="32" t="n"/>
      <c r="AA88" s="32" t="n"/>
      <c r="AB88" s="32" t="n"/>
      <c r="AC88" s="33" t="n"/>
    </row>
    <row r="89">
      <c r="B89" s="17" t="n">
        <v>76</v>
      </c>
      <c r="C89" s="26" t="n"/>
      <c r="D89" s="27" t="n"/>
      <c r="E89" s="27" t="n"/>
      <c r="F89" s="27" t="n"/>
      <c r="G89" s="28" t="n"/>
      <c r="H89" s="27" t="n"/>
      <c r="I89" s="27" t="n"/>
      <c r="J89" s="27" t="n"/>
      <c r="K89" s="27" t="n"/>
      <c r="L89" s="29" t="n"/>
      <c r="M89" s="29" t="n"/>
      <c r="N89" s="30" t="n"/>
      <c r="O89" s="31" t="n"/>
      <c r="P89" s="32" t="n"/>
      <c r="Q89" s="32" t="n"/>
      <c r="R89" s="31" t="n"/>
      <c r="S89" s="31" t="n"/>
      <c r="T89" s="31" t="n"/>
      <c r="U89" s="31" t="n"/>
      <c r="V89" s="29" t="n"/>
      <c r="W89" s="32" t="n"/>
      <c r="X89" s="32" t="n"/>
      <c r="Y89" s="32" t="n"/>
      <c r="Z89" s="32" t="n"/>
      <c r="AA89" s="32" t="n"/>
      <c r="AB89" s="32" t="n"/>
      <c r="AC89" s="33" t="n"/>
    </row>
    <row r="90">
      <c r="B90" s="17" t="n">
        <v>77</v>
      </c>
      <c r="C90" s="26" t="n"/>
      <c r="D90" s="27" t="n"/>
      <c r="E90" s="27" t="n"/>
      <c r="F90" s="27" t="n"/>
      <c r="G90" s="28" t="n"/>
      <c r="H90" s="27" t="n"/>
      <c r="I90" s="27" t="n"/>
      <c r="J90" s="27" t="n"/>
      <c r="K90" s="27" t="n"/>
      <c r="L90" s="29" t="n"/>
      <c r="M90" s="29" t="n"/>
      <c r="N90" s="30" t="n"/>
      <c r="O90" s="31" t="n"/>
      <c r="P90" s="32" t="n"/>
      <c r="Q90" s="32" t="n"/>
      <c r="R90" s="31" t="n"/>
      <c r="S90" s="31" t="n"/>
      <c r="T90" s="31" t="n"/>
      <c r="U90" s="31" t="n"/>
      <c r="V90" s="29" t="n"/>
      <c r="W90" s="32" t="n"/>
      <c r="X90" s="32" t="n"/>
      <c r="Y90" s="32" t="n"/>
      <c r="Z90" s="32" t="n"/>
      <c r="AA90" s="32" t="n"/>
      <c r="AB90" s="32" t="n"/>
      <c r="AC90" s="33" t="n"/>
    </row>
    <row r="91">
      <c r="B91" s="17" t="n">
        <v>78</v>
      </c>
      <c r="C91" s="26" t="n"/>
      <c r="D91" s="27" t="n"/>
      <c r="E91" s="27" t="n"/>
      <c r="F91" s="27" t="n"/>
      <c r="G91" s="28" t="n"/>
      <c r="H91" s="27" t="n"/>
      <c r="I91" s="27" t="n"/>
      <c r="J91" s="27" t="n"/>
      <c r="K91" s="27" t="n"/>
      <c r="L91" s="29" t="n"/>
      <c r="M91" s="29" t="n"/>
      <c r="N91" s="30" t="n"/>
      <c r="O91" s="31" t="n"/>
      <c r="P91" s="32" t="n"/>
      <c r="Q91" s="32" t="n"/>
      <c r="R91" s="31" t="n"/>
      <c r="S91" s="31" t="n"/>
      <c r="T91" s="31" t="n"/>
      <c r="U91" s="31" t="n"/>
      <c r="V91" s="29" t="n"/>
      <c r="W91" s="32" t="n"/>
      <c r="X91" s="32" t="n"/>
      <c r="Y91" s="32" t="n"/>
      <c r="Z91" s="32" t="n"/>
      <c r="AA91" s="32" t="n"/>
      <c r="AB91" s="32" t="n"/>
      <c r="AC91" s="33" t="n"/>
    </row>
    <row r="92">
      <c r="B92" s="17" t="n">
        <v>79</v>
      </c>
      <c r="C92" s="26" t="n"/>
      <c r="D92" s="27" t="n"/>
      <c r="E92" s="27" t="n"/>
      <c r="F92" s="27" t="n"/>
      <c r="G92" s="28" t="n"/>
      <c r="H92" s="27" t="n"/>
      <c r="I92" s="27" t="n"/>
      <c r="J92" s="27" t="n"/>
      <c r="K92" s="27" t="n"/>
      <c r="L92" s="29" t="n"/>
      <c r="M92" s="29" t="n"/>
      <c r="N92" s="30" t="n"/>
      <c r="O92" s="31" t="n"/>
      <c r="P92" s="32" t="n"/>
      <c r="Q92" s="32" t="n"/>
      <c r="R92" s="31" t="n"/>
      <c r="S92" s="31" t="n"/>
      <c r="T92" s="31" t="n"/>
      <c r="U92" s="31" t="n"/>
      <c r="V92" s="29" t="n"/>
      <c r="W92" s="32" t="n"/>
      <c r="X92" s="32" t="n"/>
      <c r="Y92" s="32" t="n"/>
      <c r="Z92" s="32" t="n"/>
      <c r="AA92" s="32" t="n"/>
      <c r="AB92" s="32" t="n"/>
      <c r="AC92" s="33" t="n"/>
    </row>
    <row r="93">
      <c r="B93" s="17" t="n">
        <v>80</v>
      </c>
      <c r="C93" s="26" t="n"/>
      <c r="D93" s="27" t="n"/>
      <c r="E93" s="27" t="n"/>
      <c r="F93" s="27" t="n"/>
      <c r="G93" s="28" t="n"/>
      <c r="H93" s="27" t="n"/>
      <c r="I93" s="27" t="n"/>
      <c r="J93" s="27" t="n"/>
      <c r="K93" s="27" t="n"/>
      <c r="L93" s="29" t="n"/>
      <c r="M93" s="29" t="n"/>
      <c r="N93" s="30" t="n"/>
      <c r="O93" s="31" t="n"/>
      <c r="P93" s="32" t="n"/>
      <c r="Q93" s="32" t="n"/>
      <c r="R93" s="31" t="n"/>
      <c r="S93" s="31" t="n"/>
      <c r="T93" s="31" t="n"/>
      <c r="U93" s="31" t="n"/>
      <c r="V93" s="29" t="n"/>
      <c r="W93" s="32" t="n"/>
      <c r="X93" s="32" t="n"/>
      <c r="Y93" s="32" t="n"/>
      <c r="Z93" s="32" t="n"/>
      <c r="AA93" s="32" t="n"/>
      <c r="AB93" s="32" t="n"/>
      <c r="AC93" s="33" t="n"/>
    </row>
    <row r="94">
      <c r="B94" s="17" t="n">
        <v>81</v>
      </c>
      <c r="C94" s="26" t="n"/>
      <c r="D94" s="27" t="n"/>
      <c r="E94" s="27" t="n"/>
      <c r="F94" s="27" t="n"/>
      <c r="G94" s="28" t="n"/>
      <c r="H94" s="27" t="n"/>
      <c r="I94" s="27" t="n"/>
      <c r="J94" s="27" t="n"/>
      <c r="K94" s="27" t="n"/>
      <c r="L94" s="29" t="n"/>
      <c r="M94" s="29" t="n"/>
      <c r="N94" s="30" t="n"/>
      <c r="O94" s="31" t="n"/>
      <c r="P94" s="32" t="n"/>
      <c r="Q94" s="32" t="n"/>
      <c r="R94" s="31" t="n"/>
      <c r="S94" s="31" t="n"/>
      <c r="T94" s="31" t="n"/>
      <c r="U94" s="31" t="n"/>
      <c r="V94" s="29" t="n"/>
      <c r="W94" s="32" t="n"/>
      <c r="X94" s="32" t="n"/>
      <c r="Y94" s="32" t="n"/>
      <c r="Z94" s="32" t="n"/>
      <c r="AA94" s="32" t="n"/>
      <c r="AB94" s="32" t="n"/>
      <c r="AC94" s="33" t="n"/>
    </row>
    <row r="95">
      <c r="B95" s="17" t="n">
        <v>82</v>
      </c>
      <c r="C95" s="26" t="n"/>
      <c r="D95" s="27" t="n"/>
      <c r="E95" s="27" t="n"/>
      <c r="F95" s="27" t="n"/>
      <c r="G95" s="28" t="n"/>
      <c r="H95" s="27" t="n"/>
      <c r="I95" s="27" t="n"/>
      <c r="J95" s="27" t="n"/>
      <c r="K95" s="27" t="n"/>
      <c r="L95" s="29" t="n"/>
      <c r="M95" s="29" t="n"/>
      <c r="N95" s="30" t="n"/>
      <c r="O95" s="31" t="n"/>
      <c r="P95" s="32" t="n"/>
      <c r="Q95" s="32" t="n"/>
      <c r="R95" s="31" t="n"/>
      <c r="S95" s="31" t="n"/>
      <c r="T95" s="31" t="n"/>
      <c r="U95" s="31" t="n"/>
      <c r="V95" s="29" t="n"/>
      <c r="W95" s="32" t="n"/>
      <c r="X95" s="32" t="n"/>
      <c r="Y95" s="32" t="n"/>
      <c r="Z95" s="32" t="n"/>
      <c r="AA95" s="32" t="n"/>
      <c r="AB95" s="32" t="n"/>
      <c r="AC95" s="33" t="n"/>
    </row>
    <row r="96">
      <c r="B96" s="17" t="n">
        <v>83</v>
      </c>
      <c r="C96" s="26" t="n"/>
      <c r="D96" s="27" t="n"/>
      <c r="E96" s="27" t="n"/>
      <c r="F96" s="27" t="n"/>
      <c r="G96" s="28" t="n"/>
      <c r="H96" s="27" t="n"/>
      <c r="I96" s="27" t="n"/>
      <c r="J96" s="27" t="n"/>
      <c r="K96" s="27" t="n"/>
      <c r="L96" s="29" t="n"/>
      <c r="M96" s="29" t="n"/>
      <c r="N96" s="30" t="n"/>
      <c r="O96" s="31" t="n"/>
      <c r="P96" s="32" t="n"/>
      <c r="Q96" s="32" t="n"/>
      <c r="R96" s="31" t="n"/>
      <c r="S96" s="31" t="n"/>
      <c r="T96" s="31" t="n"/>
      <c r="U96" s="31" t="n"/>
      <c r="V96" s="29" t="n"/>
      <c r="W96" s="32" t="n"/>
      <c r="X96" s="32" t="n"/>
      <c r="Y96" s="32" t="n"/>
      <c r="Z96" s="32" t="n"/>
      <c r="AA96" s="32" t="n"/>
      <c r="AB96" s="32" t="n"/>
      <c r="AC96" s="33" t="n"/>
    </row>
    <row r="97">
      <c r="B97" s="17" t="n">
        <v>84</v>
      </c>
      <c r="C97" s="26" t="n"/>
      <c r="D97" s="27" t="n"/>
      <c r="E97" s="27" t="n"/>
      <c r="F97" s="27" t="n"/>
      <c r="G97" s="28" t="n"/>
      <c r="H97" s="27" t="n"/>
      <c r="I97" s="27" t="n"/>
      <c r="J97" s="27" t="n"/>
      <c r="K97" s="27" t="n"/>
      <c r="L97" s="29" t="n"/>
      <c r="M97" s="29" t="n"/>
      <c r="N97" s="30" t="n"/>
      <c r="O97" s="31" t="n"/>
      <c r="P97" s="32" t="n"/>
      <c r="Q97" s="32" t="n"/>
      <c r="R97" s="31" t="n"/>
      <c r="S97" s="31" t="n"/>
      <c r="T97" s="31" t="n"/>
      <c r="U97" s="31" t="n"/>
      <c r="V97" s="29" t="n"/>
      <c r="W97" s="32" t="n"/>
      <c r="X97" s="32" t="n"/>
      <c r="Y97" s="32" t="n"/>
      <c r="Z97" s="32" t="n"/>
      <c r="AA97" s="32" t="n"/>
      <c r="AB97" s="32" t="n"/>
      <c r="AC97" s="33" t="n"/>
    </row>
    <row r="98">
      <c r="B98" s="17" t="n">
        <v>85</v>
      </c>
      <c r="C98" s="26" t="n"/>
      <c r="D98" s="27" t="n"/>
      <c r="E98" s="27" t="n"/>
      <c r="F98" s="27" t="n"/>
      <c r="G98" s="28" t="n"/>
      <c r="H98" s="27" t="n"/>
      <c r="I98" s="27" t="n"/>
      <c r="J98" s="27" t="n"/>
      <c r="K98" s="27" t="n"/>
      <c r="L98" s="29" t="n"/>
      <c r="M98" s="29" t="n"/>
      <c r="N98" s="30" t="n"/>
      <c r="O98" s="31" t="n"/>
      <c r="P98" s="32" t="n"/>
      <c r="Q98" s="32" t="n"/>
      <c r="R98" s="31" t="n"/>
      <c r="S98" s="31" t="n"/>
      <c r="T98" s="31" t="n"/>
      <c r="U98" s="31" t="n"/>
      <c r="V98" s="29" t="n"/>
      <c r="W98" s="32" t="n"/>
      <c r="X98" s="32" t="n"/>
      <c r="Y98" s="32" t="n"/>
      <c r="Z98" s="32" t="n"/>
      <c r="AA98" s="32" t="n"/>
      <c r="AB98" s="32" t="n"/>
      <c r="AC98" s="33" t="n"/>
    </row>
    <row r="99">
      <c r="B99" s="17" t="n">
        <v>86</v>
      </c>
      <c r="C99" s="26" t="n"/>
      <c r="D99" s="27" t="n"/>
      <c r="E99" s="27" t="n"/>
      <c r="F99" s="27" t="n"/>
      <c r="G99" s="28" t="n"/>
      <c r="H99" s="27" t="n"/>
      <c r="I99" s="27" t="n"/>
      <c r="J99" s="27" t="n"/>
      <c r="K99" s="27" t="n"/>
      <c r="L99" s="29" t="n"/>
      <c r="M99" s="29" t="n"/>
      <c r="N99" s="30" t="n"/>
      <c r="O99" s="31" t="n"/>
      <c r="P99" s="32" t="n"/>
      <c r="Q99" s="32" t="n"/>
      <c r="R99" s="31" t="n"/>
      <c r="S99" s="31" t="n"/>
      <c r="T99" s="31" t="n"/>
      <c r="U99" s="31" t="n"/>
      <c r="V99" s="29" t="n"/>
      <c r="W99" s="32" t="n"/>
      <c r="X99" s="32" t="n"/>
      <c r="Y99" s="32" t="n"/>
      <c r="Z99" s="32" t="n"/>
      <c r="AA99" s="32" t="n"/>
      <c r="AB99" s="32" t="n"/>
      <c r="AC99" s="33" t="n"/>
    </row>
    <row r="100">
      <c r="B100" s="17" t="n">
        <v>87</v>
      </c>
      <c r="C100" s="26" t="n"/>
      <c r="D100" s="27" t="n"/>
      <c r="E100" s="27" t="n"/>
      <c r="F100" s="27" t="n"/>
      <c r="G100" s="28" t="n"/>
      <c r="H100" s="27" t="n"/>
      <c r="I100" s="27" t="n"/>
      <c r="J100" s="27" t="n"/>
      <c r="K100" s="27" t="n"/>
      <c r="L100" s="29" t="n"/>
      <c r="M100" s="29" t="n"/>
      <c r="N100" s="30" t="n"/>
      <c r="O100" s="31" t="n"/>
      <c r="P100" s="32" t="n"/>
      <c r="Q100" s="32" t="n"/>
      <c r="R100" s="31" t="n"/>
      <c r="S100" s="31" t="n"/>
      <c r="T100" s="31" t="n"/>
      <c r="U100" s="31" t="n"/>
      <c r="V100" s="29" t="n"/>
      <c r="W100" s="32" t="n"/>
      <c r="X100" s="32" t="n"/>
      <c r="Y100" s="32" t="n"/>
      <c r="Z100" s="32" t="n"/>
      <c r="AA100" s="32" t="n"/>
      <c r="AB100" s="32" t="n"/>
      <c r="AC100" s="33" t="n"/>
    </row>
    <row r="101">
      <c r="B101" s="17" t="n">
        <v>88</v>
      </c>
      <c r="C101" s="26" t="n"/>
      <c r="D101" s="27" t="n"/>
      <c r="E101" s="27" t="n"/>
      <c r="F101" s="27" t="n"/>
      <c r="G101" s="28" t="n"/>
      <c r="H101" s="27" t="n"/>
      <c r="I101" s="27" t="n"/>
      <c r="J101" s="27" t="n"/>
      <c r="K101" s="27" t="n"/>
      <c r="L101" s="29" t="n"/>
      <c r="M101" s="29" t="n"/>
      <c r="N101" s="30" t="n"/>
      <c r="O101" s="31" t="n"/>
      <c r="P101" s="32" t="n"/>
      <c r="Q101" s="32" t="n"/>
      <c r="R101" s="31" t="n"/>
      <c r="S101" s="31" t="n"/>
      <c r="T101" s="31" t="n"/>
      <c r="U101" s="31" t="n"/>
      <c r="V101" s="29" t="n"/>
      <c r="W101" s="32" t="n"/>
      <c r="X101" s="32" t="n"/>
      <c r="Y101" s="32" t="n"/>
      <c r="Z101" s="32" t="n"/>
      <c r="AA101" s="32" t="n"/>
      <c r="AB101" s="32" t="n"/>
      <c r="AC101" s="33" t="n"/>
    </row>
    <row r="102">
      <c r="B102" s="17" t="n">
        <v>89</v>
      </c>
      <c r="C102" s="26" t="n"/>
      <c r="D102" s="27" t="n"/>
      <c r="E102" s="27" t="n"/>
      <c r="F102" s="27" t="n"/>
      <c r="G102" s="28" t="n"/>
      <c r="H102" s="27" t="n"/>
      <c r="I102" s="27" t="n"/>
      <c r="J102" s="27" t="n"/>
      <c r="K102" s="27" t="n"/>
      <c r="L102" s="29" t="n"/>
      <c r="M102" s="29" t="n"/>
      <c r="N102" s="30" t="n"/>
      <c r="O102" s="31" t="n"/>
      <c r="P102" s="32" t="n"/>
      <c r="Q102" s="32" t="n"/>
      <c r="R102" s="31" t="n"/>
      <c r="S102" s="31" t="n"/>
      <c r="T102" s="31" t="n"/>
      <c r="U102" s="31" t="n"/>
      <c r="V102" s="29" t="n"/>
      <c r="W102" s="32" t="n"/>
      <c r="X102" s="32" t="n"/>
      <c r="Y102" s="32" t="n"/>
      <c r="Z102" s="32" t="n"/>
      <c r="AA102" s="32" t="n"/>
      <c r="AB102" s="32" t="n"/>
      <c r="AC102" s="33" t="n"/>
    </row>
    <row r="103">
      <c r="B103" s="17" t="n">
        <v>90</v>
      </c>
      <c r="C103" s="26" t="n"/>
      <c r="D103" s="27" t="n"/>
      <c r="E103" s="27" t="n"/>
      <c r="F103" s="27" t="n"/>
      <c r="G103" s="28" t="n"/>
      <c r="H103" s="27" t="n"/>
      <c r="I103" s="27" t="n"/>
      <c r="J103" s="27" t="n"/>
      <c r="K103" s="27" t="n"/>
      <c r="L103" s="29" t="n"/>
      <c r="M103" s="29" t="n"/>
      <c r="N103" s="30" t="n"/>
      <c r="O103" s="31" t="n"/>
      <c r="P103" s="32" t="n"/>
      <c r="Q103" s="32" t="n"/>
      <c r="R103" s="31" t="n"/>
      <c r="S103" s="31" t="n"/>
      <c r="T103" s="31" t="n"/>
      <c r="U103" s="31" t="n"/>
      <c r="V103" s="29" t="n"/>
      <c r="W103" s="32" t="n"/>
      <c r="X103" s="32" t="n"/>
      <c r="Y103" s="32" t="n"/>
      <c r="Z103" s="32" t="n"/>
      <c r="AA103" s="32" t="n"/>
      <c r="AB103" s="32" t="n"/>
      <c r="AC103" s="33" t="n"/>
    </row>
    <row r="104">
      <c r="B104" s="17" t="n">
        <v>91</v>
      </c>
      <c r="C104" s="26" t="n"/>
      <c r="D104" s="27" t="n"/>
      <c r="E104" s="27" t="n"/>
      <c r="F104" s="27" t="n"/>
      <c r="G104" s="28" t="n"/>
      <c r="H104" s="27" t="n"/>
      <c r="I104" s="27" t="n"/>
      <c r="J104" s="27" t="n"/>
      <c r="K104" s="27" t="n"/>
      <c r="L104" s="29" t="n"/>
      <c r="M104" s="29" t="n"/>
      <c r="N104" s="30" t="n"/>
      <c r="O104" s="31" t="n"/>
      <c r="P104" s="32" t="n"/>
      <c r="Q104" s="32" t="n"/>
      <c r="R104" s="31" t="n"/>
      <c r="S104" s="31" t="n"/>
      <c r="T104" s="31" t="n"/>
      <c r="U104" s="31" t="n"/>
      <c r="V104" s="29" t="n"/>
      <c r="W104" s="32" t="n"/>
      <c r="X104" s="32" t="n"/>
      <c r="Y104" s="32" t="n"/>
      <c r="Z104" s="32" t="n"/>
      <c r="AA104" s="32" t="n"/>
      <c r="AB104" s="32" t="n"/>
      <c r="AC104" s="33" t="n"/>
    </row>
    <row r="105">
      <c r="B105" s="17" t="n">
        <v>92</v>
      </c>
      <c r="C105" s="26" t="n"/>
      <c r="D105" s="27" t="n"/>
      <c r="E105" s="27" t="n"/>
      <c r="F105" s="27" t="n"/>
      <c r="G105" s="28" t="n"/>
      <c r="H105" s="27" t="n"/>
      <c r="I105" s="27" t="n"/>
      <c r="J105" s="27" t="n"/>
      <c r="K105" s="27" t="n"/>
      <c r="L105" s="29" t="n"/>
      <c r="M105" s="29" t="n"/>
      <c r="N105" s="30" t="n"/>
      <c r="O105" s="31" t="n"/>
      <c r="P105" s="32" t="n"/>
      <c r="Q105" s="32" t="n"/>
      <c r="R105" s="31" t="n"/>
      <c r="S105" s="31" t="n"/>
      <c r="T105" s="31" t="n"/>
      <c r="U105" s="31" t="n"/>
      <c r="V105" s="29" t="n"/>
      <c r="W105" s="32" t="n"/>
      <c r="X105" s="32" t="n"/>
      <c r="Y105" s="32" t="n"/>
      <c r="Z105" s="32" t="n"/>
      <c r="AA105" s="32" t="n"/>
      <c r="AB105" s="32" t="n"/>
      <c r="AC105" s="33" t="n"/>
    </row>
    <row r="106">
      <c r="B106" s="17" t="n">
        <v>93</v>
      </c>
      <c r="C106" s="26" t="n"/>
      <c r="D106" s="27" t="n"/>
      <c r="E106" s="27" t="n"/>
      <c r="F106" s="27" t="n"/>
      <c r="G106" s="28" t="n"/>
      <c r="H106" s="27" t="n"/>
      <c r="I106" s="27" t="n"/>
      <c r="J106" s="27" t="n"/>
      <c r="K106" s="27" t="n"/>
      <c r="L106" s="29" t="n"/>
      <c r="M106" s="29" t="n"/>
      <c r="N106" s="30" t="n"/>
      <c r="O106" s="31" t="n"/>
      <c r="P106" s="32" t="n"/>
      <c r="Q106" s="32" t="n"/>
      <c r="R106" s="31" t="n"/>
      <c r="S106" s="31" t="n"/>
      <c r="T106" s="31" t="n"/>
      <c r="U106" s="31" t="n"/>
      <c r="V106" s="29" t="n"/>
      <c r="W106" s="32" t="n"/>
      <c r="X106" s="32" t="n"/>
      <c r="Y106" s="32" t="n"/>
      <c r="Z106" s="32" t="n"/>
      <c r="AA106" s="32" t="n"/>
      <c r="AB106" s="32" t="n"/>
      <c r="AC106" s="33" t="n"/>
    </row>
    <row r="107">
      <c r="B107" s="17" t="n">
        <v>94</v>
      </c>
      <c r="C107" s="26" t="n"/>
      <c r="D107" s="27" t="n"/>
      <c r="E107" s="27" t="n"/>
      <c r="F107" s="27" t="n"/>
      <c r="G107" s="28" t="n"/>
      <c r="H107" s="27" t="n"/>
      <c r="I107" s="27" t="n"/>
      <c r="J107" s="27" t="n"/>
      <c r="K107" s="27" t="n"/>
      <c r="L107" s="29" t="n"/>
      <c r="M107" s="29" t="n"/>
      <c r="N107" s="30" t="n"/>
      <c r="O107" s="31" t="n"/>
      <c r="P107" s="32" t="n"/>
      <c r="Q107" s="32" t="n"/>
      <c r="R107" s="31" t="n"/>
      <c r="S107" s="31" t="n"/>
      <c r="T107" s="31" t="n"/>
      <c r="U107" s="31" t="n"/>
      <c r="V107" s="29" t="n"/>
      <c r="W107" s="32" t="n"/>
      <c r="X107" s="32" t="n"/>
      <c r="Y107" s="32" t="n"/>
      <c r="Z107" s="32" t="n"/>
      <c r="AA107" s="32" t="n"/>
      <c r="AB107" s="32" t="n"/>
      <c r="AC107" s="33" t="n"/>
    </row>
    <row r="108">
      <c r="B108" s="17" t="n">
        <v>95</v>
      </c>
      <c r="C108" s="26" t="n"/>
      <c r="D108" s="27" t="n"/>
      <c r="E108" s="27" t="n"/>
      <c r="F108" s="27" t="n"/>
      <c r="G108" s="28" t="n"/>
      <c r="H108" s="27" t="n"/>
      <c r="I108" s="27" t="n"/>
      <c r="J108" s="27" t="n"/>
      <c r="K108" s="27" t="n"/>
      <c r="L108" s="29" t="n"/>
      <c r="M108" s="29" t="n"/>
      <c r="N108" s="30" t="n"/>
      <c r="O108" s="31" t="n"/>
      <c r="P108" s="32" t="n"/>
      <c r="Q108" s="32" t="n"/>
      <c r="R108" s="31" t="n"/>
      <c r="S108" s="31" t="n"/>
      <c r="T108" s="31" t="n"/>
      <c r="U108" s="31" t="n"/>
      <c r="V108" s="29" t="n"/>
      <c r="W108" s="32" t="n"/>
      <c r="X108" s="32" t="n"/>
      <c r="Y108" s="32" t="n"/>
      <c r="Z108" s="32" t="n"/>
      <c r="AA108" s="32" t="n"/>
      <c r="AB108" s="32" t="n"/>
      <c r="AC108" s="33" t="n"/>
    </row>
    <row r="109">
      <c r="B109" s="17" t="n">
        <v>96</v>
      </c>
      <c r="C109" s="26" t="n"/>
      <c r="D109" s="27" t="n"/>
      <c r="E109" s="27" t="n"/>
      <c r="F109" s="27" t="n"/>
      <c r="G109" s="28" t="n"/>
      <c r="H109" s="27" t="n"/>
      <c r="I109" s="27" t="n"/>
      <c r="J109" s="27" t="n"/>
      <c r="K109" s="27" t="n"/>
      <c r="L109" s="29" t="n"/>
      <c r="M109" s="29" t="n"/>
      <c r="N109" s="30" t="n"/>
      <c r="O109" s="31" t="n"/>
      <c r="P109" s="32" t="n"/>
      <c r="Q109" s="32" t="n"/>
      <c r="R109" s="31" t="n"/>
      <c r="S109" s="31" t="n"/>
      <c r="T109" s="31" t="n"/>
      <c r="U109" s="31" t="n"/>
      <c r="V109" s="29" t="n"/>
      <c r="W109" s="32" t="n"/>
      <c r="X109" s="32" t="n"/>
      <c r="Y109" s="32" t="n"/>
      <c r="Z109" s="32" t="n"/>
      <c r="AA109" s="32" t="n"/>
      <c r="AB109" s="32" t="n"/>
      <c r="AC109" s="33" t="n"/>
    </row>
    <row r="110">
      <c r="B110" s="17" t="n">
        <v>97</v>
      </c>
      <c r="C110" s="26" t="n"/>
      <c r="D110" s="27" t="n"/>
      <c r="E110" s="27" t="n"/>
      <c r="F110" s="27" t="n"/>
      <c r="G110" s="28" t="n"/>
      <c r="H110" s="27" t="n"/>
      <c r="I110" s="27" t="n"/>
      <c r="J110" s="27" t="n"/>
      <c r="K110" s="27" t="n"/>
      <c r="L110" s="29" t="n"/>
      <c r="M110" s="29" t="n"/>
      <c r="N110" s="30" t="n"/>
      <c r="O110" s="31" t="n"/>
      <c r="P110" s="32" t="n"/>
      <c r="Q110" s="32" t="n"/>
      <c r="R110" s="31" t="n"/>
      <c r="S110" s="31" t="n"/>
      <c r="T110" s="31" t="n"/>
      <c r="U110" s="31" t="n"/>
      <c r="V110" s="29" t="n"/>
      <c r="W110" s="32" t="n"/>
      <c r="X110" s="32" t="n"/>
      <c r="Y110" s="32" t="n"/>
      <c r="Z110" s="32" t="n"/>
      <c r="AA110" s="32" t="n"/>
      <c r="AB110" s="32" t="n"/>
      <c r="AC110" s="33" t="n"/>
    </row>
    <row r="111">
      <c r="B111" s="17" t="n">
        <v>98</v>
      </c>
      <c r="C111" s="26" t="n"/>
      <c r="D111" s="27" t="n"/>
      <c r="E111" s="27" t="n"/>
      <c r="F111" s="27" t="n"/>
      <c r="G111" s="28" t="n"/>
      <c r="H111" s="27" t="n"/>
      <c r="I111" s="27" t="n"/>
      <c r="J111" s="27" t="n"/>
      <c r="K111" s="27" t="n"/>
      <c r="L111" s="29" t="n"/>
      <c r="M111" s="29" t="n"/>
      <c r="N111" s="30" t="n"/>
      <c r="O111" s="31" t="n"/>
      <c r="P111" s="32" t="n"/>
      <c r="Q111" s="32" t="n"/>
      <c r="R111" s="31" t="n"/>
      <c r="S111" s="31" t="n"/>
      <c r="T111" s="31" t="n"/>
      <c r="U111" s="31" t="n"/>
      <c r="V111" s="29" t="n"/>
      <c r="W111" s="32" t="n"/>
      <c r="X111" s="32" t="n"/>
      <c r="Y111" s="32" t="n"/>
      <c r="Z111" s="32" t="n"/>
      <c r="AA111" s="32" t="n"/>
      <c r="AB111" s="32" t="n"/>
      <c r="AC111" s="33" t="n"/>
    </row>
    <row r="112">
      <c r="B112" s="17" t="n">
        <v>99</v>
      </c>
      <c r="C112" s="26" t="n"/>
      <c r="D112" s="27" t="n"/>
      <c r="E112" s="27" t="n"/>
      <c r="F112" s="27" t="n"/>
      <c r="G112" s="28" t="n"/>
      <c r="H112" s="27" t="n"/>
      <c r="I112" s="27" t="n"/>
      <c r="J112" s="27" t="n"/>
      <c r="K112" s="27" t="n"/>
      <c r="L112" s="29" t="n"/>
      <c r="M112" s="29" t="n"/>
      <c r="N112" s="30" t="n"/>
      <c r="O112" s="31" t="n"/>
      <c r="P112" s="32" t="n"/>
      <c r="Q112" s="32" t="n"/>
      <c r="R112" s="31" t="n"/>
      <c r="S112" s="31" t="n"/>
      <c r="T112" s="31" t="n"/>
      <c r="U112" s="31" t="n"/>
      <c r="V112" s="29" t="n"/>
      <c r="W112" s="32" t="n"/>
      <c r="X112" s="32" t="n"/>
      <c r="Y112" s="32" t="n"/>
      <c r="Z112" s="32" t="n"/>
      <c r="AA112" s="32" t="n"/>
      <c r="AB112" s="32" t="n"/>
      <c r="AC112" s="33" t="n"/>
    </row>
    <row r="113">
      <c r="B113" s="17" t="n">
        <v>100</v>
      </c>
      <c r="C113" s="26" t="n"/>
      <c r="D113" s="27" t="n"/>
      <c r="E113" s="27" t="n"/>
      <c r="F113" s="27" t="n"/>
      <c r="G113" s="28" t="n"/>
      <c r="H113" s="27" t="n"/>
      <c r="I113" s="27" t="n"/>
      <c r="J113" s="27" t="n"/>
      <c r="K113" s="27" t="n"/>
      <c r="L113" s="29" t="n"/>
      <c r="M113" s="29" t="n"/>
      <c r="N113" s="30" t="n"/>
      <c r="O113" s="31" t="n"/>
      <c r="P113" s="32" t="n"/>
      <c r="Q113" s="32" t="n"/>
      <c r="R113" s="31" t="n"/>
      <c r="S113" s="31" t="n"/>
      <c r="T113" s="31" t="n"/>
      <c r="U113" s="31" t="n"/>
      <c r="V113" s="29" t="n"/>
      <c r="W113" s="32" t="n"/>
      <c r="X113" s="32" t="n"/>
      <c r="Y113" s="32" t="n"/>
      <c r="Z113" s="32" t="n"/>
      <c r="AA113" s="32" t="n"/>
      <c r="AB113" s="32" t="n"/>
      <c r="AC113" s="33" t="n"/>
    </row>
    <row r="114">
      <c r="B114" s="17" t="n">
        <v>101</v>
      </c>
      <c r="C114" s="26" t="n"/>
      <c r="D114" s="27" t="n"/>
      <c r="E114" s="27" t="n"/>
      <c r="F114" s="27" t="n"/>
      <c r="G114" s="28" t="n"/>
      <c r="H114" s="27" t="n"/>
      <c r="I114" s="27" t="n"/>
      <c r="J114" s="27" t="n"/>
      <c r="K114" s="27" t="n"/>
      <c r="L114" s="29" t="n"/>
      <c r="M114" s="29" t="n"/>
      <c r="N114" s="30" t="n"/>
      <c r="O114" s="31" t="n"/>
      <c r="P114" s="32" t="n"/>
      <c r="Q114" s="32" t="n"/>
      <c r="R114" s="31" t="n"/>
      <c r="S114" s="31" t="n"/>
      <c r="T114" s="31" t="n"/>
      <c r="U114" s="31" t="n"/>
      <c r="V114" s="29" t="n"/>
      <c r="W114" s="32" t="n"/>
      <c r="X114" s="32" t="n"/>
      <c r="Y114" s="32" t="n"/>
      <c r="Z114" s="32" t="n"/>
      <c r="AA114" s="32" t="n"/>
      <c r="AB114" s="32" t="n"/>
      <c r="AC114" s="33" t="n"/>
    </row>
    <row r="115">
      <c r="B115" s="17" t="n">
        <v>102</v>
      </c>
      <c r="C115" s="26" t="n"/>
      <c r="D115" s="27" t="n"/>
      <c r="E115" s="27" t="n"/>
      <c r="F115" s="27" t="n"/>
      <c r="G115" s="28" t="n"/>
      <c r="H115" s="27" t="n"/>
      <c r="I115" s="27" t="n"/>
      <c r="J115" s="27" t="n"/>
      <c r="K115" s="27" t="n"/>
      <c r="L115" s="29" t="n"/>
      <c r="M115" s="29" t="n"/>
      <c r="N115" s="30" t="n"/>
      <c r="O115" s="31" t="n"/>
      <c r="P115" s="32" t="n"/>
      <c r="Q115" s="32" t="n"/>
      <c r="R115" s="31" t="n"/>
      <c r="S115" s="31" t="n"/>
      <c r="T115" s="31" t="n"/>
      <c r="U115" s="31" t="n"/>
      <c r="V115" s="29" t="n"/>
      <c r="W115" s="32" t="n"/>
      <c r="X115" s="32" t="n"/>
      <c r="Y115" s="32" t="n"/>
      <c r="Z115" s="32" t="n"/>
      <c r="AA115" s="32" t="n"/>
      <c r="AB115" s="32" t="n"/>
      <c r="AC115" s="33" t="n"/>
    </row>
    <row r="116">
      <c r="B116" s="17" t="n">
        <v>103</v>
      </c>
      <c r="C116" s="26" t="n"/>
      <c r="D116" s="27" t="n"/>
      <c r="E116" s="27" t="n"/>
      <c r="F116" s="27" t="n"/>
      <c r="G116" s="28" t="n"/>
      <c r="H116" s="27" t="n"/>
      <c r="I116" s="27" t="n"/>
      <c r="J116" s="27" t="n"/>
      <c r="K116" s="27" t="n"/>
      <c r="L116" s="29" t="n"/>
      <c r="M116" s="29" t="n"/>
      <c r="N116" s="30" t="n"/>
      <c r="O116" s="31" t="n"/>
      <c r="P116" s="32" t="n"/>
      <c r="Q116" s="32" t="n"/>
      <c r="R116" s="31" t="n"/>
      <c r="S116" s="31" t="n"/>
      <c r="T116" s="31" t="n"/>
      <c r="U116" s="31" t="n"/>
      <c r="V116" s="29" t="n"/>
      <c r="W116" s="32" t="n"/>
      <c r="X116" s="32" t="n"/>
      <c r="Y116" s="32" t="n"/>
      <c r="Z116" s="32" t="n"/>
      <c r="AA116" s="32" t="n"/>
      <c r="AB116" s="32" t="n"/>
      <c r="AC116" s="33" t="n"/>
    </row>
    <row r="117">
      <c r="B117" s="17" t="n">
        <v>104</v>
      </c>
      <c r="C117" s="26" t="n"/>
      <c r="D117" s="27" t="n"/>
      <c r="E117" s="27" t="n"/>
      <c r="F117" s="27" t="n"/>
      <c r="G117" s="28" t="n"/>
      <c r="H117" s="27" t="n"/>
      <c r="I117" s="27" t="n"/>
      <c r="J117" s="27" t="n"/>
      <c r="K117" s="27" t="n"/>
      <c r="L117" s="29" t="n"/>
      <c r="M117" s="29" t="n"/>
      <c r="N117" s="30" t="n"/>
      <c r="O117" s="31" t="n"/>
      <c r="P117" s="32" t="n"/>
      <c r="Q117" s="32" t="n"/>
      <c r="R117" s="31" t="n"/>
      <c r="S117" s="31" t="n"/>
      <c r="T117" s="31" t="n"/>
      <c r="U117" s="31" t="n"/>
      <c r="V117" s="29" t="n"/>
      <c r="W117" s="32" t="n"/>
      <c r="X117" s="32" t="n"/>
      <c r="Y117" s="32" t="n"/>
      <c r="Z117" s="32" t="n"/>
      <c r="AA117" s="32" t="n"/>
      <c r="AB117" s="32" t="n"/>
      <c r="AC117" s="33" t="n"/>
    </row>
    <row r="118">
      <c r="B118" s="17" t="n">
        <v>105</v>
      </c>
      <c r="C118" s="26" t="n"/>
      <c r="D118" s="27" t="n"/>
      <c r="E118" s="27" t="n"/>
      <c r="F118" s="27" t="n"/>
      <c r="G118" s="28" t="n"/>
      <c r="H118" s="27" t="n"/>
      <c r="I118" s="27" t="n"/>
      <c r="J118" s="27" t="n"/>
      <c r="K118" s="27" t="n"/>
      <c r="L118" s="29" t="n"/>
      <c r="M118" s="29" t="n"/>
      <c r="N118" s="30" t="n"/>
      <c r="O118" s="31" t="n"/>
      <c r="P118" s="32" t="n"/>
      <c r="Q118" s="32" t="n"/>
      <c r="R118" s="31" t="n"/>
      <c r="S118" s="31" t="n"/>
      <c r="T118" s="31" t="n"/>
      <c r="U118" s="31" t="n"/>
      <c r="V118" s="29" t="n"/>
      <c r="W118" s="32" t="n"/>
      <c r="X118" s="32" t="n"/>
      <c r="Y118" s="32" t="n"/>
      <c r="Z118" s="32" t="n"/>
      <c r="AA118" s="32" t="n"/>
      <c r="AB118" s="32" t="n"/>
      <c r="AC118" s="33" t="n"/>
    </row>
    <row r="119">
      <c r="B119" s="17" t="n">
        <v>106</v>
      </c>
      <c r="C119" s="26" t="n"/>
      <c r="D119" s="27" t="n"/>
      <c r="E119" s="27" t="n"/>
      <c r="F119" s="27" t="n"/>
      <c r="G119" s="28" t="n"/>
      <c r="H119" s="27" t="n"/>
      <c r="I119" s="27" t="n"/>
      <c r="J119" s="27" t="n"/>
      <c r="K119" s="27" t="n"/>
      <c r="L119" s="29" t="n"/>
      <c r="M119" s="29" t="n"/>
      <c r="N119" s="30" t="n"/>
      <c r="O119" s="31" t="n"/>
      <c r="P119" s="32" t="n"/>
      <c r="Q119" s="32" t="n"/>
      <c r="R119" s="31" t="n"/>
      <c r="S119" s="31" t="n"/>
      <c r="T119" s="31" t="n"/>
      <c r="U119" s="31" t="n"/>
      <c r="V119" s="29" t="n"/>
      <c r="W119" s="32" t="n"/>
      <c r="X119" s="32" t="n"/>
      <c r="Y119" s="32" t="n"/>
      <c r="Z119" s="32" t="n"/>
      <c r="AA119" s="32" t="n"/>
      <c r="AB119" s="32" t="n"/>
      <c r="AC119" s="33" t="n"/>
    </row>
    <row r="120">
      <c r="B120" s="17" t="n">
        <v>107</v>
      </c>
      <c r="C120" s="26" t="n"/>
      <c r="D120" s="27" t="n"/>
      <c r="E120" s="27" t="n"/>
      <c r="F120" s="27" t="n"/>
      <c r="G120" s="28" t="n"/>
      <c r="H120" s="27" t="n"/>
      <c r="I120" s="27" t="n"/>
      <c r="J120" s="27" t="n"/>
      <c r="K120" s="27" t="n"/>
      <c r="L120" s="29" t="n"/>
      <c r="M120" s="29" t="n"/>
      <c r="N120" s="30" t="n"/>
      <c r="O120" s="31" t="n"/>
      <c r="P120" s="32" t="n"/>
      <c r="Q120" s="32" t="n"/>
      <c r="R120" s="31" t="n"/>
      <c r="S120" s="31" t="n"/>
      <c r="T120" s="31" t="n"/>
      <c r="U120" s="31" t="n"/>
      <c r="V120" s="29" t="n"/>
      <c r="W120" s="32" t="n"/>
      <c r="X120" s="32" t="n"/>
      <c r="Y120" s="32" t="n"/>
      <c r="Z120" s="32" t="n"/>
      <c r="AA120" s="32" t="n"/>
      <c r="AB120" s="32" t="n"/>
      <c r="AC120" s="33" t="n"/>
    </row>
    <row r="121">
      <c r="B121" s="17" t="n">
        <v>108</v>
      </c>
      <c r="C121" s="26" t="n"/>
      <c r="D121" s="27" t="n"/>
      <c r="E121" s="27" t="n"/>
      <c r="F121" s="27" t="n"/>
      <c r="G121" s="28" t="n"/>
      <c r="H121" s="27" t="n"/>
      <c r="I121" s="27" t="n"/>
      <c r="J121" s="27" t="n"/>
      <c r="K121" s="27" t="n"/>
      <c r="L121" s="29" t="n"/>
      <c r="M121" s="29" t="n"/>
      <c r="N121" s="30" t="n"/>
      <c r="O121" s="31" t="n"/>
      <c r="P121" s="32" t="n"/>
      <c r="Q121" s="32" t="n"/>
      <c r="R121" s="31" t="n"/>
      <c r="S121" s="31" t="n"/>
      <c r="T121" s="31" t="n"/>
      <c r="U121" s="31" t="n"/>
      <c r="V121" s="29" t="n"/>
      <c r="W121" s="32" t="n"/>
      <c r="X121" s="32" t="n"/>
      <c r="Y121" s="32" t="n"/>
      <c r="Z121" s="32" t="n"/>
      <c r="AA121" s="32" t="n"/>
      <c r="AB121" s="32" t="n"/>
      <c r="AC121" s="33" t="n"/>
    </row>
    <row r="122">
      <c r="B122" s="17" t="n">
        <v>109</v>
      </c>
      <c r="C122" s="26" t="n"/>
      <c r="D122" s="27" t="n"/>
      <c r="E122" s="27" t="n"/>
      <c r="F122" s="27" t="n"/>
      <c r="G122" s="28" t="n"/>
      <c r="H122" s="27" t="n"/>
      <c r="I122" s="27" t="n"/>
      <c r="J122" s="27" t="n"/>
      <c r="K122" s="27" t="n"/>
      <c r="L122" s="29" t="n"/>
      <c r="M122" s="29" t="n"/>
      <c r="N122" s="30" t="n"/>
      <c r="O122" s="31" t="n"/>
      <c r="P122" s="32" t="n"/>
      <c r="Q122" s="32" t="n"/>
      <c r="R122" s="31" t="n"/>
      <c r="S122" s="31" t="n"/>
      <c r="T122" s="31" t="n"/>
      <c r="U122" s="31" t="n"/>
      <c r="V122" s="29" t="n"/>
      <c r="W122" s="32" t="n"/>
      <c r="X122" s="32" t="n"/>
      <c r="Y122" s="32" t="n"/>
      <c r="Z122" s="32" t="n"/>
      <c r="AA122" s="32" t="n"/>
      <c r="AB122" s="32" t="n"/>
      <c r="AC122" s="33" t="n"/>
    </row>
    <row r="123">
      <c r="B123" s="17" t="n">
        <v>110</v>
      </c>
      <c r="C123" s="26" t="n"/>
      <c r="D123" s="27" t="n"/>
      <c r="E123" s="27" t="n"/>
      <c r="F123" s="27" t="n"/>
      <c r="G123" s="28" t="n"/>
      <c r="H123" s="27" t="n"/>
      <c r="I123" s="27" t="n"/>
      <c r="J123" s="27" t="n"/>
      <c r="K123" s="27" t="n"/>
      <c r="L123" s="29" t="n"/>
      <c r="M123" s="29" t="n"/>
      <c r="N123" s="30" t="n"/>
      <c r="O123" s="31" t="n"/>
      <c r="P123" s="32" t="n"/>
      <c r="Q123" s="32" t="n"/>
      <c r="R123" s="31" t="n"/>
      <c r="S123" s="31" t="n"/>
      <c r="T123" s="31" t="n"/>
      <c r="U123" s="31" t="n"/>
      <c r="V123" s="29" t="n"/>
      <c r="W123" s="32" t="n"/>
      <c r="X123" s="32" t="n"/>
      <c r="Y123" s="32" t="n"/>
      <c r="Z123" s="32" t="n"/>
      <c r="AA123" s="32" t="n"/>
      <c r="AB123" s="32" t="n"/>
      <c r="AC123" s="33" t="n"/>
    </row>
    <row r="124">
      <c r="B124" s="17" t="n">
        <v>111</v>
      </c>
      <c r="C124" s="26" t="n"/>
      <c r="D124" s="27" t="n"/>
      <c r="E124" s="27" t="n"/>
      <c r="F124" s="27" t="n"/>
      <c r="G124" s="28" t="n"/>
      <c r="H124" s="27" t="n"/>
      <c r="I124" s="27" t="n"/>
      <c r="J124" s="27" t="n"/>
      <c r="K124" s="27" t="n"/>
      <c r="L124" s="29" t="n"/>
      <c r="M124" s="29" t="n"/>
      <c r="N124" s="30" t="n"/>
      <c r="O124" s="31" t="n"/>
      <c r="P124" s="32" t="n"/>
      <c r="Q124" s="32" t="n"/>
      <c r="R124" s="31" t="n"/>
      <c r="S124" s="31" t="n"/>
      <c r="T124" s="31" t="n"/>
      <c r="U124" s="31" t="n"/>
      <c r="V124" s="29" t="n"/>
      <c r="W124" s="32" t="n"/>
      <c r="X124" s="32" t="n"/>
      <c r="Y124" s="32" t="n"/>
      <c r="Z124" s="32" t="n"/>
      <c r="AA124" s="32" t="n"/>
      <c r="AB124" s="32" t="n"/>
      <c r="AC124" s="33" t="n"/>
    </row>
    <row r="125">
      <c r="B125" s="17" t="n">
        <v>112</v>
      </c>
      <c r="C125" s="26" t="n"/>
      <c r="D125" s="27" t="n"/>
      <c r="E125" s="27" t="n"/>
      <c r="F125" s="27" t="n"/>
      <c r="G125" s="28" t="n"/>
      <c r="H125" s="27" t="n"/>
      <c r="I125" s="27" t="n"/>
      <c r="J125" s="27" t="n"/>
      <c r="K125" s="27" t="n"/>
      <c r="L125" s="29" t="n"/>
      <c r="M125" s="29" t="n"/>
      <c r="N125" s="30" t="n"/>
      <c r="O125" s="31" t="n"/>
      <c r="P125" s="32" t="n"/>
      <c r="Q125" s="32" t="n"/>
      <c r="R125" s="31" t="n"/>
      <c r="S125" s="31" t="n"/>
      <c r="T125" s="31" t="n"/>
      <c r="U125" s="31" t="n"/>
      <c r="V125" s="29" t="n"/>
      <c r="W125" s="32" t="n"/>
      <c r="X125" s="32" t="n"/>
      <c r="Y125" s="32" t="n"/>
      <c r="Z125" s="32" t="n"/>
      <c r="AA125" s="32" t="n"/>
      <c r="AB125" s="32" t="n"/>
      <c r="AC125" s="33" t="n"/>
    </row>
    <row r="126">
      <c r="B126" s="17" t="n">
        <v>113</v>
      </c>
      <c r="C126" s="26" t="n"/>
      <c r="D126" s="27" t="n"/>
      <c r="E126" s="27" t="n"/>
      <c r="F126" s="27" t="n"/>
      <c r="G126" s="28" t="n"/>
      <c r="H126" s="27" t="n"/>
      <c r="I126" s="27" t="n"/>
      <c r="J126" s="27" t="n"/>
      <c r="K126" s="27" t="n"/>
      <c r="L126" s="29" t="n"/>
      <c r="M126" s="29" t="n"/>
      <c r="N126" s="30" t="n"/>
      <c r="O126" s="31" t="n"/>
      <c r="P126" s="32" t="n"/>
      <c r="Q126" s="32" t="n"/>
      <c r="R126" s="31" t="n"/>
      <c r="S126" s="31" t="n"/>
      <c r="T126" s="31" t="n"/>
      <c r="U126" s="31" t="n"/>
      <c r="V126" s="29" t="n"/>
      <c r="W126" s="32" t="n"/>
      <c r="X126" s="32" t="n"/>
      <c r="Y126" s="32" t="n"/>
      <c r="Z126" s="32" t="n"/>
      <c r="AA126" s="32" t="n"/>
      <c r="AB126" s="32" t="n"/>
      <c r="AC126" s="33" t="n"/>
    </row>
    <row r="127">
      <c r="B127" s="17" t="n">
        <v>114</v>
      </c>
      <c r="C127" s="26" t="n"/>
      <c r="D127" s="27" t="n"/>
      <c r="E127" s="27" t="n"/>
      <c r="F127" s="27" t="n"/>
      <c r="G127" s="28" t="n"/>
      <c r="H127" s="27" t="n"/>
      <c r="I127" s="27" t="n"/>
      <c r="J127" s="27" t="n"/>
      <c r="K127" s="27" t="n"/>
      <c r="L127" s="29" t="n"/>
      <c r="M127" s="29" t="n"/>
      <c r="N127" s="30" t="n"/>
      <c r="O127" s="31" t="n"/>
      <c r="P127" s="32" t="n"/>
      <c r="Q127" s="32" t="n"/>
      <c r="R127" s="31" t="n"/>
      <c r="S127" s="31" t="n"/>
      <c r="T127" s="31" t="n"/>
      <c r="U127" s="31" t="n"/>
      <c r="V127" s="29" t="n"/>
      <c r="W127" s="32" t="n"/>
      <c r="X127" s="32" t="n"/>
      <c r="Y127" s="32" t="n"/>
      <c r="Z127" s="32" t="n"/>
      <c r="AA127" s="32" t="n"/>
      <c r="AB127" s="32" t="n"/>
      <c r="AC127" s="33" t="n"/>
    </row>
    <row r="128">
      <c r="B128" s="17" t="n">
        <v>115</v>
      </c>
      <c r="C128" s="26" t="n"/>
      <c r="D128" s="27" t="n"/>
      <c r="E128" s="27" t="n"/>
      <c r="F128" s="27" t="n"/>
      <c r="G128" s="28" t="n"/>
      <c r="H128" s="27" t="n"/>
      <c r="I128" s="27" t="n"/>
      <c r="J128" s="27" t="n"/>
      <c r="K128" s="27" t="n"/>
      <c r="L128" s="29" t="n"/>
      <c r="M128" s="29" t="n"/>
      <c r="N128" s="30" t="n"/>
      <c r="O128" s="31" t="n"/>
      <c r="P128" s="32" t="n"/>
      <c r="Q128" s="32" t="n"/>
      <c r="R128" s="31" t="n"/>
      <c r="S128" s="31" t="n"/>
      <c r="T128" s="31" t="n"/>
      <c r="U128" s="31" t="n"/>
      <c r="V128" s="29" t="n"/>
      <c r="W128" s="32" t="n"/>
      <c r="X128" s="32" t="n"/>
      <c r="Y128" s="32" t="n"/>
      <c r="Z128" s="32" t="n"/>
      <c r="AA128" s="32" t="n"/>
      <c r="AB128" s="32" t="n"/>
      <c r="AC128" s="33" t="n"/>
    </row>
    <row r="129">
      <c r="B129" s="17" t="n">
        <v>116</v>
      </c>
      <c r="C129" s="26" t="n"/>
      <c r="D129" s="27" t="n"/>
      <c r="E129" s="27" t="n"/>
      <c r="F129" s="27" t="n"/>
      <c r="G129" s="28" t="n"/>
      <c r="H129" s="27" t="n"/>
      <c r="I129" s="27" t="n"/>
      <c r="J129" s="27" t="n"/>
      <c r="K129" s="27" t="n"/>
      <c r="L129" s="29" t="n"/>
      <c r="M129" s="29" t="n"/>
      <c r="N129" s="30" t="n"/>
      <c r="O129" s="31" t="n"/>
      <c r="P129" s="32" t="n"/>
      <c r="Q129" s="32" t="n"/>
      <c r="R129" s="31" t="n"/>
      <c r="S129" s="31" t="n"/>
      <c r="T129" s="31" t="n"/>
      <c r="U129" s="31" t="n"/>
      <c r="V129" s="29" t="n"/>
      <c r="W129" s="32" t="n"/>
      <c r="X129" s="32" t="n"/>
      <c r="Y129" s="32" t="n"/>
      <c r="Z129" s="32" t="n"/>
      <c r="AA129" s="32" t="n"/>
      <c r="AB129" s="32" t="n"/>
      <c r="AC129" s="33" t="n"/>
    </row>
    <row r="130">
      <c r="B130" s="17" t="n">
        <v>117</v>
      </c>
      <c r="C130" s="26" t="n"/>
      <c r="D130" s="27" t="n"/>
      <c r="E130" s="27" t="n"/>
      <c r="F130" s="27" t="n"/>
      <c r="G130" s="28" t="n"/>
      <c r="H130" s="27" t="n"/>
      <c r="I130" s="27" t="n"/>
      <c r="J130" s="27" t="n"/>
      <c r="K130" s="27" t="n"/>
      <c r="L130" s="29" t="n"/>
      <c r="M130" s="29" t="n"/>
      <c r="N130" s="30" t="n"/>
      <c r="O130" s="31" t="n"/>
      <c r="P130" s="32" t="n"/>
      <c r="Q130" s="32" t="n"/>
      <c r="R130" s="31" t="n"/>
      <c r="S130" s="31" t="n"/>
      <c r="T130" s="31" t="n"/>
      <c r="U130" s="31" t="n"/>
      <c r="V130" s="29" t="n"/>
      <c r="W130" s="32" t="n"/>
      <c r="X130" s="32" t="n"/>
      <c r="Y130" s="32" t="n"/>
      <c r="Z130" s="32" t="n"/>
      <c r="AA130" s="32" t="n"/>
      <c r="AB130" s="32" t="n"/>
      <c r="AC130" s="33" t="n"/>
    </row>
    <row r="131">
      <c r="B131" s="17" t="n">
        <v>118</v>
      </c>
      <c r="C131" s="34" t="n"/>
      <c r="D131" s="35" t="n"/>
      <c r="E131" s="35" t="n"/>
      <c r="F131" s="35" t="n"/>
      <c r="G131" s="36" t="n"/>
      <c r="H131" s="35" t="n"/>
      <c r="I131" s="35" t="n"/>
      <c r="J131" s="35" t="n"/>
      <c r="K131" s="35" t="n"/>
      <c r="L131" s="37" t="n"/>
      <c r="M131" s="37" t="n"/>
      <c r="N131" s="38" t="n"/>
      <c r="O131" s="39" t="n"/>
      <c r="P131" s="40" t="n"/>
      <c r="Q131" s="40" t="n"/>
      <c r="R131" s="39" t="n"/>
      <c r="S131" s="39" t="n"/>
      <c r="T131" s="39" t="n"/>
      <c r="U131" s="39" t="n"/>
      <c r="V131" s="37" t="n"/>
      <c r="W131" s="40" t="n"/>
      <c r="X131" s="40" t="n"/>
      <c r="Y131" s="40" t="n"/>
      <c r="Z131" s="40" t="n"/>
      <c r="AA131" s="40" t="n"/>
      <c r="AB131" s="40" t="n"/>
      <c r="AC131" s="41" t="n"/>
    </row>
  </sheetData>
  <mergeCells count="12">
    <mergeCell ref="C13:F13"/>
    <mergeCell ref="C7:D7"/>
    <mergeCell ref="C11:D11"/>
    <mergeCell ref="G11:H11"/>
    <mergeCell ref="E11:F11"/>
    <mergeCell ref="I11:J11"/>
    <mergeCell ref="G13:K13"/>
    <mergeCell ref="C9:D9"/>
    <mergeCell ref="G9:H9"/>
    <mergeCell ref="E9:F9"/>
    <mergeCell ref="I9:J9"/>
    <mergeCell ref="E7:J7"/>
  </mergeCells>
  <conditionalFormatting sqref="M14:M131">
    <cfRule type="cellIs" priority="1" operator="greaterThan" dxfId="1" stopIfTrue="1">
      <formula>0</formula>
    </cfRule>
    <cfRule type="cellIs" priority="2" operator="lessThan" dxfId="0" stopIfTrue="1">
      <formula>0</formula>
    </cfRule>
  </conditionalFormatting>
  <dataValidations count="3">
    <dataValidation sqref="I9:J9" showDropDown="0" showInputMessage="1" showErrorMessage="1" allowBlank="1" type="list">
      <formula1>"Tree, Summary, Detailed"</formula1>
    </dataValidation>
    <dataValidation sqref="I11:J11" showDropDown="0" showInputMessage="1" showErrorMessage="1" allowBlank="1" type="list">
      <formula1>"Ascending,Descending"</formula1>
    </dataValidation>
    <dataValidation sqref="I10:J10" showDropDown="0" showInputMessage="1" showErrorMessage="1" allowBlank="1" type="list">
      <formula1>"Tree, Summary, Detail"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Joey Shaw</dc:creator>
  <dcterms:created xmlns:dcterms="http://purl.org/dc/terms/" xmlns:xsi="http://www.w3.org/2001/XMLSchema-instance" xsi:type="dcterms:W3CDTF">2018-05-06T22:33:11Z</dcterms:created>
  <dcterms:modified xmlns:dcterms="http://purl.org/dc/terms/" xmlns:xsi="http://www.w3.org/2001/XMLSchema-instance" xsi:type="dcterms:W3CDTF">2026-06-03T19:03:16Z</dcterms:modified>
  <cp:lastModifiedBy>Tate Wilson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{DC32B767-B3AF-419B-98F0-00E434865615}</vt:lpwstr>
  </property>
</Properties>
</file>