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inforfg1-my.sharepoint.com/personal/twilson_inforfg_com/Documents/Desktop/"/>
    </mc:Choice>
  </mc:AlternateContent>
  <xr:revisionPtr revIDLastSave="2" documentId="13_ncr:1_{1AF77219-BBDF-4826-8D8C-9EB46A8A352B}" xr6:coauthVersionLast="47" xr6:coauthVersionMax="47" xr10:uidLastSave="{52EE981C-D756-4FC6-AACD-0EDFD872C71E}"/>
  <bookViews>
    <workbookView xWindow="28455" yWindow="-16320" windowWidth="29040" windowHeight="15720" firstSheet="1" activeTab="1" xr2:uid="{00000000-000D-0000-FFFF-FFFF00000000}"/>
  </bookViews>
  <sheets>
    <sheet name="__snloffice" sheetId="2" state="veryHidden" r:id="rId1"/>
    <sheet name="Comps" sheetId="1" r:id="rId2"/>
  </sheets>
  <definedNames>
    <definedName name="_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FDS_HYPERLINK_TOGGLE_STATE__" hidden="1">"ON"</definedName>
    <definedName name="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IntlFixup" hidden="1">TRUE</definedName>
    <definedName name="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1__123Graph_ACHART_1" hidden="1">#REF!</definedName>
    <definedName name="_10__123Graph_BCHART_17" hidden="1">#REF!</definedName>
    <definedName name="_11__123Graph_BCHART_19" hidden="1">#REF!</definedName>
    <definedName name="_23__123Graph_XCHART_2" hidden="1">#REF!</definedName>
    <definedName name="_24__123Graph_XCHART_4" hidden="1">#REF!</definedName>
    <definedName name="_25__123Graph_XCHART_5" hidden="1">#REF!</definedName>
    <definedName name="_3__123Graph_ACHART_2" hidden="1">#REF!</definedName>
    <definedName name="_4__123Graph_ACHART_4" hidden="1">#REF!</definedName>
    <definedName name="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bdm.0390D31B9DDC430895DA51396740E650.edm" hidden="1">#REF!</definedName>
    <definedName name="_bdm.21896BA706F04B61A4706E387595E573.edm" hidden="1">#REF!</definedName>
    <definedName name="_bdm.5E0146E00CD1449A9DB679403071135B.edm" hidden="1">#REF!</definedName>
    <definedName name="_bdm.67065F9898AC44E9A916867D78CAD177.edm" hidden="1">#REF!</definedName>
    <definedName name="_bdm.7DD6A96793594A048DC1EA9DC909B0AC.edm" hidden="1">#REF!</definedName>
    <definedName name="_bdm.860EDC4EC26644C782AFF2C476A79C8C.edm" hidden="1">#REF!</definedName>
    <definedName name="_bdm.8A1B83C9FE0F48BABF1BCDE8A6EFDD1E.edm" hidden="1">#REF!</definedName>
    <definedName name="_bdm.9741F78FEC3D4DF09984B3D3F14F4912.edm" hidden="1">#REF!</definedName>
    <definedName name="_bdm.A3265732C03A4151AFE1652990F45E0B.edm" hidden="1">#REF!</definedName>
    <definedName name="_bdm.B506EE73E3E646EABF5412DA88E0369D.edm" hidden="1">#REF!</definedName>
    <definedName name="_bdm.C0E5EBB5E9E9412BBA810D9013837C4E.edm" hidden="1">#REF!</definedName>
    <definedName name="_bdm.CC2C753C68C44C6EBA5ABFFB9C5FD405.edm" hidden="1">#REF!</definedName>
    <definedName name="_bdm.D6765C2A491342A89E641E0324AD9446.edm" hidden="1">#REF!</definedName>
    <definedName name="_bdm.D6807F17A49D42E0A711CBF1C88703B3.edm" hidden="1">#REF!</definedName>
    <definedName name="_bdm.E27030F4A2814D64A4A88CCCFD091157.edm" hidden="1">#REF!</definedName>
    <definedName name="_bdm.E8B571B580C54C2F97581663ED5DDA19.edm" hidden="1">#REF!</definedName>
    <definedName name="_bdm.F9123455C72F46B9BC508B850D9F51A1.edm" hidden="1">#REF!</definedName>
    <definedName name="_bdm.FastTrackBookmark.2_18_2007_3_14_23_PM.edm" hidden="1">#REF!</definedName>
    <definedName name="_bdm.FastTrackBookmark.2_18_2007_3_14_30_PM.edm" hidden="1">#REF!</definedName>
    <definedName name="_BQ4.2" hidden="1">#REF!</definedName>
    <definedName name="_BQ4.3" hidden="1">#REF!</definedName>
    <definedName name="_CCC1"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_Fill" hidden="1">#REF!</definedName>
    <definedName name="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Key1" hidden="1">#REF!</definedName>
    <definedName name="_Key2" hidden="1">#REF!</definedName>
    <definedName name="_Order1" hidden="1">255</definedName>
    <definedName name="_Order2" hidden="1">255</definedName>
    <definedName name="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Sort" hidden="1">#REF!</definedName>
    <definedName name="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 hidden="1">{#N/A,#N/A,FALSE,"CANADA - P&amp;L QTR";#N/A,#N/A,FALSE,"DFSCAN - P&amp;L QTR";#N/A,#N/A,FALSE,"OPC - P&amp;L QTR";#N/A,#N/A,FALSE,"CANOTH - P&amp;L QTR";#N/A,#N/A,FALSE,"TECHCAN - P&amp;L QTR";#N/A,#N/A,FALSE,"FINLINX - P&amp;L QTR";#N/A,#N/A,FALSE,"IFWORKOUT - P&amp;L QTR";#N/A,#N/A,FALSE,"AGILENTCA - P&amp;L QTR";#N/A,#N/A,FALSE,"RFG0011000 - P&amp;L QTR"}</definedName>
    <definedName name="a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AAA" hidden="1">{"Total Admin",#N/A,FALSE,"Admin";"Executive",#N/A,FALSE,"Admin";"Finance",#N/A,FALSE,"Admin";"Marketing",#N/A,FALSE,"Admin";"NonDepartmental",#N/A,FALSE,"Admin"}</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o" hidden="1">#REF!</definedName>
    <definedName name="AccessDatabase" hidden="1">"G:\GC\INV\554\07_01\554_0701.mdb"</definedName>
    <definedName name="Amort"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nscount" hidden="1">1</definedName>
    <definedName name="b"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b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BBB" hidden="1">{"TOTAL",#N/A,FALSE,"Total";"Total East",#N/A,FALSE,"East";"Atlanta",#N/A,FALSE,"East";"Baltimore",#N/A,FALSE,"East";"Charlotte",#N/A,FALSE,"East";"Maitland",#N/A,FALSE,"East";"Marlton Admin",#N/A,FALSE,"East";"Marlton Sales",#N/A,FALSE,"East";"Pittsburgh",#N/A,FALSE,"East";"Plymouth Meeting",#N/A,FALSE,"East";"Raleigh",#N/A,FALSE,"East";"Richmond",#N/A,FALSE,"East";"Tampa",#N/A,FALSE,"East";"White Plains",#N/A,FALSE,"East";"Total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Louis",#N/A,FALSE,"Central";"Total West",#N/A,FALSE,"West";"Austin",#N/A,FALSE,"West";"Dallas",#N/A,FALSE,"West";"Houston",#N/A,FALSE,"West";"Las Vegas",#N/A,FALSE,"West";"Pasadena",#N/A,FALSE,"West";"Phoenix",#N/A,FALSE,"West";"Pleasanton Admin",#N/A,FALSE,"West";"Pleasanton Sales",#N/A,FALSE,"West";"Portland",#N/A,FALSE,"West";"Salt Lake City",#N/A,FALSE,"West";"San Diego",#N/A,FALSE,"West";"Seattle",#N/A,FALSE,"West";"NHEC",#N/A,FALSE,"NHEC";"Total Wholesale",#N/A,FALSE,"Wholesale";"Whsle_Admin",#N/A,FALSE,"Wholesale";"Whsle_Lombard",#N/A,FALSE,"Wholesale";"Whsle_Marlton",#N/A,FALSE,"Wholesale";"Whsle_Pleasanton",#N/A,FALSE,"Wholesale";"Total Admin",#N/A,FALSE,"Admin";"Executive",#N/A,FALSE,"Admin";"Finance",#N/A,FALSE,"Admin";"Marketing",#N/A,FALSE,"Admin";"NonDepartmental",#N/A,FALSE,"Admin";"Total Credit",#N/A,FALSE,"Credit";"Appraisal",#N/A,FALSE,"Credit";"Customer Service",#N/A,FALSE,"Credit";"Home Office",#N/A,FALSE,"Credit";"Quality Control",#N/A,FALSE,"Credit";"Risk Mgmt",#N/A,FALSE,"Credit"}</definedName>
    <definedName name="bv" hidden="1">"c2205"</definedName>
    <definedName name="cc"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c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CC"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cccc"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cccc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DG"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IQWBGuid" hidden="1">"0c9e1791-fbbe-49df-8365-e459806d50bd"</definedName>
    <definedName name="CIQWBInfo" hidden="1">"{ ""CIQVersion"":""9.52.4409.4666"" }"</definedName>
    <definedName name="consumer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nsumer3a"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vad"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Cova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define" hidden="1">{#N/A,#N/A,FALSE,"Euromat"}</definedName>
    <definedName name="Depreciation" hidden="1">{#N/A,#N/A,FALSE,"Op Exp By Cost Ctr";#N/A,#N/A,FALSE,"ASSUMPTIONS";#N/A,#N/A,FALSE,"P&amp;L";#N/A,#N/A,FALSE,"Graph";#N/A,#N/A,FALSE,"Op Exp Chart";#N/A,#N/A,FALSE,"Op Exp By Cost Ctr";#N/A,#N/A,FALSE,"FTE Graph"}</definedName>
    <definedName name="EEE"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V__LASTREFTIME__" hidden="1">38282.5116550926</definedName>
    <definedName name="Fees"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Dan" hidden="1">{"Total Credit",#N/A,FALSE,"Credit";"Appraisal",#N/A,FALSE,"Credit";"Customer Service",#N/A,FALSE,"Credit";"Home Office",#N/A,FALSE,"Credit";"Quality Control",#N/A,FALSE,"Credit";"Risk Mgmt",#N/A,FALSE,"Credit"}</definedName>
    <definedName name="FFF" hidden="1">{"NHEC",#N/A,FALSE,"NHEC"}</definedName>
    <definedName name="FP"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GDC" hidden="1">{"Total Admin",#N/A,FALSE,"Admin";"Executive",#N/A,FALSE,"Admin";"Finance",#N/A,FALSE,"Admin";"Marketing",#N/A,FALSE,"Admin";"NonDepartmental",#N/A,FALSE,"Admin"}</definedName>
    <definedName name="GGG" hidden="1">{"TOTAL",#N/A,FALSE,"Total";"Total East",#N/A,FALSE,"East";"Total Central",#N/A,FALSE,"Central";"Total West",#N/A,FALSE,"West";"NHEC",#N/A,FALSE,"NHEC";"Total Wholesale",#N/A,FALSE,"Wholesale";"Total Credit",#N/A,FALSE,"Credit";"Total Admin",#N/A,FALSE,"Admin"}</definedName>
    <definedName name="HHH"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hhgh" hidden="1">{"Total Admin",#N/A,FALSE,"Admin";"Executive",#N/A,FALSE,"Admin";"Finance",#N/A,FALSE,"Admin";"Marketing",#N/A,FALSE,"Admin";"NonDepartmental",#N/A,FALSE,"Admin"}</definedName>
    <definedName name="III" hidden="1">{"Total Wholesale",#N/A,FALSE,"Wholesale";"Whsle_Admin",#N/A,FALSE,"Wholesale";"Whsle_Lombard",#N/A,FALSE,"Wholesale";"Whsle_Marlton",#N/A,FALSE,"Wholesale";"Whsle_Pleasanton",#N/A,FALSE,"Wholesale"}</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L_Q_EST_REUT" hidden="1">"c6800"</definedName>
    <definedName name="IQ_CAL_Y_EST_REUT" hidden="1">"c6801"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_EST_REUT" hidden="1">"c5453"</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EPS_GW_REUT" hidden="1">"c5395"</definedName>
    <definedName name="IQ_EST_ACT_EPS_NORM_REUT" hidden="1">"c5332"</definedName>
    <definedName name="IQ_EST_ACT_EPS_REPORTED_REUT" hidden="1">"c5402"</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IMATED_ASSESSABLE_DEPOSITS_FDIC" hidden="1">"c6490"</definedName>
    <definedName name="IQ_ESTIMATED_INSURED_DEPOSITS_FDIC" hidden="1">"c6491"</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SCAL_Q_EST_REUT" hidden="1">"c6798"</definedName>
    <definedName name="IQ_FISCAL_Y_EST_REUT" hidden="1">"c6799"</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"11/26/2024 06:39:23"</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_TARGET_REUT" hidden="1">"c3631"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_STDDEV_EST_REUT" hidden="1">"c3639"</definedName>
    <definedName name="IQ_REVALUATION_GAINS_FDIC" hidden="1">"c6428"</definedName>
    <definedName name="IQ_REVALUATION_LOSSES_FDIC" hidden="1">"c6429"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jv" hidden="1">{#N/A,#N/A,FALSE,"CANADA - P&amp;L QTR";#N/A,#N/A,FALSE,"DFSCAN - P&amp;L QTR";#N/A,#N/A,FALSE,"OPC - P&amp;L QTR";#N/A,#N/A,FALSE,"CANOTH - P&amp;L QTR";#N/A,#N/A,FALSE,"TECHCAN - P&amp;L QTR";#N/A,#N/A,FALSE,"FINLINX - P&amp;L QTR";#N/A,#N/A,FALSE,"IFWORKOUT - P&amp;L QTR";#N/A,#N/A,FALSE,"AGILENTCA - P&amp;L QTR";#N/A,#N/A,FALSE,"RFG0011000 - P&amp;L QTR"}</definedName>
    <definedName name="LLL" hidden="1">{"Total Admin",#N/A,FALSE,"Admin";"Executive",#N/A,FALSE,"Admin";"Finance",#N/A,FALSE,"Admin";"Marketing",#N/A,FALSE,"Admin";"NonDepartmental",#N/A,FALSE,"Admin"}</definedName>
    <definedName name="M"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MLNK0017761dc7b84ce49f6735607f067741" hidden="1">#REF!</definedName>
    <definedName name="MLNK008067c1bd0141c1a0d8e8c72aa95d85" comment="Dividend" hidden="1">#REF!</definedName>
    <definedName name="MLNK00e16290804543fdb368e6387c7aa92c" hidden="1">#REF!</definedName>
    <definedName name="MLNK08467adcfc684cca8a82950ebb4d438c" hidden="1">#REF!</definedName>
    <definedName name="MLNK096c723391cb47aa8fdd909a177a7c24" hidden="1">#REF!</definedName>
    <definedName name="MLNK18fe92e4b7924d64b11b0d36fc051fd9" comment="Trading Data - Canada" hidden="1">#REF!</definedName>
    <definedName name="MLNK191a8e8a2b254332a365337ea9e835fc" hidden="1">#REF!</definedName>
    <definedName name="MLNK1f79e4e60dea46088860e093d951e80c" hidden="1">#REF!</definedName>
    <definedName name="MLNK21233e5452834ee9bf1cff7e8b9110d1" hidden="1">#REF!</definedName>
    <definedName name="MLNK235705051fd54a94a12b6f4daf0a48a6" hidden="1">#REF!</definedName>
    <definedName name="MLNK25a44cdb9be44dc681b2e93c3a32b609" comment="Comps" hidden="1">#REF!</definedName>
    <definedName name="MLNK27a8b1bd6ca643d4b08720b6ac3e38c1" hidden="1">#REF!</definedName>
    <definedName name="MLNK368f552a066b4ea1b142018607201f8b" hidden="1">#REF!</definedName>
    <definedName name="MLNK3815fcbfebcb490baf9b86174576ce95" hidden="1">#REF!</definedName>
    <definedName name="MLNK4e27fff2c6d54cd89f951ee86ce4eaad" hidden="1">#REF!</definedName>
    <definedName name="MLNK4fd2e3ceac464726b63c904de1f9a796" hidden="1">#REF!</definedName>
    <definedName name="MLNK56b240f41d2942fcb9b403b5a476a7d8" hidden="1">#REF!</definedName>
    <definedName name="MLNK5ba01ab6b2dd4c4f94bf60093b153ee4" hidden="1">#REF!</definedName>
    <definedName name="MLNK5e5ab4f18b104bcaa26dfc9b8edd8d3d" hidden="1">Comps!$D$6:$W$39</definedName>
    <definedName name="MLNK5ec79545d49d493f93a2420475c22a3f" hidden="1">#REF!</definedName>
    <definedName name="MLNK5f342b94d77944659b1ef5a7dbaef93a" hidden="1">#REF!</definedName>
    <definedName name="MLNK601c1ef95cb34d09b82b1a6ff7d9605a" hidden="1">#REF!</definedName>
    <definedName name="MLNK692e97b0272147b189470355d0f6165a" hidden="1">#REF!</definedName>
    <definedName name="MLNK6d5fcc4c2c534538b719d06819b967a8" hidden="1">#REF!</definedName>
    <definedName name="MLNK78682168b0c24d918fa19ab282660391" comment="Trading Data - TSX" hidden="1">#REF!</definedName>
    <definedName name="MLNK8ad5f35a4bfd46728c3273a4d5c7a905" hidden="1">#REF!</definedName>
    <definedName name="MLNK90417d75114a48c0a1779bb363a329cd" hidden="1">#REF!</definedName>
    <definedName name="MLNK90bd4aad386a4451b6d8702c11dda57c" hidden="1">#REF!</definedName>
    <definedName name="MLNK94d282c0cd3c43fb89fa5c845ea3d8b5" hidden="1">Comps!$D$6:$W$42</definedName>
    <definedName name="MLNK96eba42b27654b0c96a777c2b1f2c026" hidden="1">#REF!</definedName>
    <definedName name="MLNK9c76f014126946d781f4ec0cf20e8cb4" hidden="1">#REF!</definedName>
    <definedName name="MLNK9ff9d28edd3148e7a8cba265311858fd" hidden="1">#REF!</definedName>
    <definedName name="MLNKa768bbe075e743f795a235173edaddd6" hidden="1">#REF!</definedName>
    <definedName name="MLNKa79299cebbbd4162ae3edb9216b5b356" hidden="1">#REF!</definedName>
    <definedName name="MLNKa999b39ef18b4931b94a318bba8e9bb8" hidden="1">#REF!</definedName>
    <definedName name="MLNKad7b52d9d1da42909516fb3eb60fcf9d" hidden="1">#REF!</definedName>
    <definedName name="MLNKb60a37edcb7e473a9ce34b9a5f47c82b" comment="Share Price" hidden="1">#REF!</definedName>
    <definedName name="MLNKb62cabc7bcec4cdbb3cfc3022396f79f" hidden="1">#REF!</definedName>
    <definedName name="MLNKbe0e2be4027b438ea02d75a505d588e9" hidden="1">#REF!</definedName>
    <definedName name="MLNKc1b93f4a9efa4906bae16c7cccff8d68" hidden="1">#REF!</definedName>
    <definedName name="MLNKc4cd6e0521df420d8dda32549959b881" hidden="1">#REF!</definedName>
    <definedName name="MLNKc7b49e5061db431a836a0cd4d2d30033" comment="Sheet1" hidden="1">#REF!</definedName>
    <definedName name="MLNKc930f2d6b0444c13bf5a495d7326f8e2" hidden="1">#REF!</definedName>
    <definedName name="MLNKced5d0e945a94784b165f0ebc610f111" hidden="1">#REF!</definedName>
    <definedName name="MLNKcee05d54c76044aabaf96e0a7c65c242" comment="Dividend" hidden="1">#REF!</definedName>
    <definedName name="MLNKd241237c88af4508bf3aca2c012af96c" hidden="1">#REF!</definedName>
    <definedName name="MLNKd24dae871040473a813590e9d4f4b491" hidden="1">#REF!</definedName>
    <definedName name="MLNKd275bd902a604f4fb880f53225a2667c" hidden="1">#REF!</definedName>
    <definedName name="MLNKd34b264671104085851f11311f202427" hidden="1">#REF!</definedName>
    <definedName name="MLNKd41edab3364143e09203b074ecf88c48" hidden="1">#REF!</definedName>
    <definedName name="MLNKd4454fa2c78c4246a8fb364d7ef30780" hidden="1">#REF!</definedName>
    <definedName name="MLNKd4f01939bcd24967bbcfbf3ca620aca0" comment="Historical Valuation" hidden="1">#REF!</definedName>
    <definedName name="MLNKd7df039e86cf4a18a8273f85e3d29d8b" comment="Yield" hidden="1">#REF!</definedName>
    <definedName name="MLNKda092e9dc81346ecb06f5cf05e7dba90" hidden="1">#REF!</definedName>
    <definedName name="MLNKda4026ac65084d30a1333076fbef014f" hidden="1">#REF!</definedName>
    <definedName name="MLNKdaff7656396a4e4096ecadc81a37f75b" hidden="1">#REF!</definedName>
    <definedName name="MLNKdba6335f5433442abbb3ca61d88516ed" hidden="1">#REF!</definedName>
    <definedName name="MLNKde5ef28fdf41452692b55d8a5e8f1a4c" hidden="1">#REF!</definedName>
    <definedName name="MLNKdf1e1d7dacd046249874f1d338d1c555" hidden="1">#REF!</definedName>
    <definedName name="MLNKe3010ac5b5bc4749b2bee97f5135e368" hidden="1">#REF!</definedName>
    <definedName name="MLNKe327292fed1643fc867ea79956241d28" hidden="1">#REF!</definedName>
    <definedName name="MLNKe54e41f04e9443a99a4e15130449ac17" hidden="1">#REF!</definedName>
    <definedName name="MLNKe76ccb5d0e0440fc9c0b513f2a72d8a0" hidden="1">Comps!$1:$1048576</definedName>
    <definedName name="MLNKf201d55c037d406db81a1f1188ec6a4c" hidden="1">#REF!</definedName>
    <definedName name="MLNKf4749ab5a14f4bc885c12c1aa49bfeb4" hidden="1">#REF!</definedName>
    <definedName name="MLNKf7640b0d849d4118ab005ca0374148c8" hidden="1">#REF!</definedName>
    <definedName name="MLNKfa116274ec374fc08b25aa36a389ea8f" hidden="1">#REF!</definedName>
    <definedName name="MLNKfc58c3645d7f42c59a9727ba333408b9" hidden="1">#REF!</definedName>
    <definedName name="MMM" hidden="1">{"TOTAL",#N/A,FALSE,"Total";"Total East",#N/A,FALSE,"East";"Atlanta",#N/A,FALSE,"East";"Baltimore",#N/A,FALSE,"East";"Charlotte",#N/A,FALSE,"East";"Maitland",#N/A,FALSE,"East";"Marlton Admin",#N/A,FALSE,"East";"Marlton Sales",#N/A,FALSE,"East";"Pittsburgh",#N/A,FALSE,"East";"Plymouth Meeting",#N/A,FALSE,"East";"Raleigh",#N/A,FALSE,"East";"Richmond",#N/A,FALSE,"East";"Tampa",#N/A,FALSE,"East";"White Plains",#N/A,FALSE,"East";"Total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Louis",#N/A,FALSE,"Central";"Total West",#N/A,FALSE,"West";"Austin",#N/A,FALSE,"West";"Dallas",#N/A,FALSE,"West";"Houston",#N/A,FALSE,"West";"Las Vegas",#N/A,FALSE,"West";"Pasadena",#N/A,FALSE,"West";"Phoenix",#N/A,FALSE,"West";"Pleasanton Admin",#N/A,FALSE,"West";"Pleasanton Sales",#N/A,FALSE,"West";"Portland",#N/A,FALSE,"West";"Salt Lake City",#N/A,FALSE,"West";"San Diego",#N/A,FALSE,"West";"Seattle",#N/A,FALSE,"West";"NHEC",#N/A,FALSE,"NHEC";"Total Wholesale",#N/A,FALSE,"Wholesale";"Whsle_Admin",#N/A,FALSE,"Wholesale";"Whsle_Lombard",#N/A,FALSE,"Wholesale";"Whsle_Marlton",#N/A,FALSE,"Wholesale";"Whsle_Pleasanton",#N/A,FALSE,"Wholesale";"Total Admin",#N/A,FALSE,"Admin";"Executive",#N/A,FALSE,"Admin";"Finance",#N/A,FALSE,"Admin";"Marketing",#N/A,FALSE,"Admin";"NonDepartmental",#N/A,FALSE,"Admin";"Total Credit",#N/A,FALSE,"Credit";"Appraisal",#N/A,FALSE,"Credit";"Customer Service",#N/A,FALSE,"Credit";"Home Office",#N/A,FALSE,"Credit";"Quality Control",#N/A,FALSE,"Credit";"Risk Mgmt",#N/A,FALSE,"Credit"}</definedName>
    <definedName name="new"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NNN"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noname" hidden="1">{#N/A,#N/A,FALSE,"Euromat"}</definedName>
    <definedName name="OOO" hidden="1">{"Total Credit",#N/A,FALSE,"Credit";"Appraisal",#N/A,FALSE,"Credit";"Customer Service",#N/A,FALSE,"Credit";"Home Office",#N/A,FALSE,"Credit";"Quality Control",#N/A,FALSE,"Credit";"Risk Mgmt",#N/A,FALSE,"Credit"}</definedName>
    <definedName name="PPP"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_xlnm.Print_Area" localSheetId="1">Comps!$A$1:$BI$45</definedName>
    <definedName name="Q"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QQQ" hidden="1">{"NHEC",#N/A,FALSE,"NHEC"}</definedName>
    <definedName name="RO"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RRR" hidden="1">{"TOTAL",#N/A,FALSE,"Total";"Total East",#N/A,FALSE,"East";"Total Central",#N/A,FALSE,"Central";"Total West",#N/A,FALSE,"West";"NHEC",#N/A,FALSE,"NHEC";"Total Wholesale",#N/A,FALSE,"Wholesale";"Total Credit",#N/A,FALSE,"Credit";"Total Admin",#N/A,FALSE,"Admin"}</definedName>
    <definedName name="SAPBEXdnldView" hidden="1">"3AZ7TPCT6F7CLWHBG4RBGUQ78"</definedName>
    <definedName name="SAPBEXsysID" hidden="1">"PW1"</definedName>
    <definedName name="SAPFuncF4Help" hidden="1">Main.SAPF4Help()</definedName>
    <definedName name="shit"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L"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SS"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taft" hidden="1">{#N/A,#N/A,FALSE,"Op Exp By Cost Ctr";#N/A,#N/A,FALSE,"ASSUMPTIONS";#N/A,#N/A,FALSE,"P&amp;L";#N/A,#N/A,FALSE,"Graph";#N/A,#N/A,FALSE,"Op Exp Chart";#N/A,#N/A,FALSE,"Op Exp By Cost Ctr";#N/A,#N/A,FALSE,"FTE Graph"}</definedName>
    <definedName name="TD_BRI"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test"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test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123" hidden="1">{#N/A,#N/A,FALSE,"Euromat"}</definedName>
    <definedName name="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a"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b"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c"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x"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a"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b"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69"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hreeTomC."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ms1and2"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TT" hidden="1">{"Total Wholesale",#N/A,FALSE,"Wholesale";"Whsle_Admin",#N/A,FALSE,"Wholesale";"Whsle_Lombard",#N/A,FALSE,"Wholesale";"Whsle_Marlton",#N/A,FALSE,"Wholesale";"Whsle_Pleasanton",#N/A,FALSE,"Wholesale"}</definedName>
    <definedName name="wrn.2001._.plan." hidden="1">{#N/A,#N/A,FALSE,"Op Exp By Cost Ctr";#N/A,#N/A,FALSE,"ASSUMPTIONS";#N/A,#N/A,FALSE,"P&amp;L";#N/A,#N/A,FALSE,"Graph";#N/A,#N/A,FALSE,"Op Exp Chart";#N/A,#N/A,FALSE,"Op Exp By Cost Ctr";#N/A,#N/A,FALSE,"FTE Graph"}</definedName>
    <definedName name="wrn.Admin." hidden="1">{"Total Admin",#N/A,FALSE,"Admin";"Executive",#N/A,FALSE,"Admin";"Finance",#N/A,FALSE,"Admin";"Marketing",#N/A,FALSE,"Admin";"NonDepartmental",#N/A,FALSE,"Admin"}</definedName>
    <definedName name="wrn.ALL." hidden="1">{"TOTAL",#N/A,FALSE,"Total";"Total East",#N/A,FALSE,"East";"Atlanta",#N/A,FALSE,"East";"Baltimore",#N/A,FALSE,"East";"Charlotte",#N/A,FALSE,"East";"Maitland",#N/A,FALSE,"East";"Marlton Admin",#N/A,FALSE,"East";"Marlton Sales",#N/A,FALSE,"East";"Pittsburgh",#N/A,FALSE,"East";"Plymouth Meeting",#N/A,FALSE,"East";"Raleigh",#N/A,FALSE,"East";"Richmond",#N/A,FALSE,"East";"Tampa",#N/A,FALSE,"East";"White Plains",#N/A,FALSE,"East";"Total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Louis",#N/A,FALSE,"Central";"Total West",#N/A,FALSE,"West";"Austin",#N/A,FALSE,"West";"Dallas",#N/A,FALSE,"West";"Houston",#N/A,FALSE,"West";"Las Vegas",#N/A,FALSE,"West";"Pasadena",#N/A,FALSE,"West";"Phoenix",#N/A,FALSE,"West";"Pleasanton Admin",#N/A,FALSE,"West";"Pleasanton Sales",#N/A,FALSE,"West";"Portland",#N/A,FALSE,"West";"Salt Lake City",#N/A,FALSE,"West";"San Diego",#N/A,FALSE,"West";"Seattle",#N/A,FALSE,"West";"NHEC",#N/A,FALSE,"NHEC";"Total Wholesale",#N/A,FALSE,"Wholesale";"Whsle_Admin",#N/A,FALSE,"Wholesale";"Whsle_Lombard",#N/A,FALSE,"Wholesale";"Whsle_Marlton",#N/A,FALSE,"Wholesale";"Whsle_Pleasanton",#N/A,FALSE,"Wholesale";"Total Admin",#N/A,FALSE,"Admin";"Executive",#N/A,FALSE,"Admin";"Finance",#N/A,FALSE,"Admin";"Marketing",#N/A,FALSE,"Admin";"NonDepartmental",#N/A,FALSE,"Admin";"Total Credit",#N/A,FALSE,"Credit";"Appraisal",#N/A,FALSE,"Credit";"Customer Service",#N/A,FALSE,"Credit";"Home Office",#N/A,FALSE,"Credit";"Quality Control",#N/A,FALSE,"Credit";"Risk Mgmt",#N/A,FALSE,"Credit"}</definedName>
    <definedName name="wrn.All._.3._.Pages."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wrn.Bluebook." hidden="1">{#N/A,#N/A,FALSE,"P&amp;L";#N/A,#N/A,FALSE,"Graph";#N/A,#N/A,FALSE,"Variance Commentary";#N/A,#N/A,FALSE,"FTE Graph"}</definedName>
    <definedName name="wrn.Business._.Activities." hidden="1">{#N/A,#N/A,FALSE,"Trends";#N/A,#N/A,FALSE,"LnsCust";#N/A,#N/A,FALSE,"Collections";#N/A,#N/A,FALSE,"Summary";#N/A,#N/A,FALSE,"Actual-Input";#N/A,#N/A,FALSE,"Plan"}</definedName>
    <definedName name="wrn.Central."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redit." hidden="1">{"Total Credit",#N/A,FALSE,"Credit";"Appraisal",#N/A,FALSE,"Credit";"Customer Service",#N/A,FALSE,"Credit";"Home Office",#N/A,FALSE,"Credit";"Quality Control",#N/A,FALSE,"Credit";"Risk Mgmt",#N/A,FALSE,"Credit"}</definedName>
    <definedName name="wrn.CUNA." hidden="1">{#N/A,#N/A,FALSE,"Sales Results";#N/A,#N/A,FALSE,"Sales Results"}</definedName>
    <definedName name="wrn.East."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uromaterials_LEa" hidden="1">{#N/A,#N/A,FALSE,"Euromat"}</definedName>
    <definedName name="wrn.Euromaterials_LEb" hidden="1">{#N/A,#N/A,FALSE,"Euromat"}</definedName>
    <definedName name="wrn.Executive._.Summary._.Growth."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wrn.Month_Level_01." hidden="1">{#N/A,#N/A,FALSE,"CANADA - P&amp;L MONTH";#N/A,#N/A,FALSE,"DFSCAN - P&amp;L MONTH";#N/A,#N/A,FALSE,"OPC - P&amp;L MONTH";#N/A,#N/A,FALSE,"CANOTH - P&amp;L MONTH"}</definedName>
    <definedName name="wrn.Month_Level_02." hidden="1">{#N/A,#N/A,FALSE,"CANADA - P&amp;L MONTH";#N/A,#N/A,FALSE,"DFSCAN - P&amp;L MONTH";#N/A,#N/A,FALSE,"OPC - P&amp;L MONTH";#N/A,#N/A,FALSE,"CANOTH - P&amp;L MONTH";#N/A,#N/A,FALSE,"TECHCAN - P&amp;L MONTH";#N/A,#N/A,FALSE,"FINLINX - P&amp;L MONTH";#N/A,#N/A,FALSE,"IFWORKOUT - P&amp;L MONTH";#N/A,#N/A,FALSE,"AGILENTICA - P&amp;L MONTH";#N/A,#N/A,FALSE,"RFG0011000 - P&amp;L MONTH"}</definedName>
    <definedName name="wrn.NHEC." hidden="1">{"NHEC",#N/A,FALSE,"NHEC"}</definedName>
    <definedName name="wrn.QTR_Level_01." hidden="1">{#N/A,#N/A,FALSE,"CANADA - P&amp;L QTR";#N/A,#N/A,FALSE,"DFSCAN - P&amp;L QTR";#N/A,#N/A,FALSE,"OPC - P&amp;L QTR";#N/A,#N/A,FALSE,"CANOTH - P&amp;L QTR"}</definedName>
    <definedName name="wrn.QTR_Level_02." hidden="1">{#N/A,#N/A,FALSE,"CANADA - P&amp;L QTR";#N/A,#N/A,FALSE,"DFSCAN - P&amp;L QTR";#N/A,#N/A,FALSE,"OPC - P&amp;L QTR";#N/A,#N/A,FALSE,"CANOTH - P&amp;L QTR";#N/A,#N/A,FALSE,"TECHCAN - P&amp;L QTR";#N/A,#N/A,FALSE,"FINLINX - P&amp;L QTR";#N/A,#N/A,FALSE,"IFWORKOUT - P&amp;L QTR";#N/A,#N/A,FALSE,"AGILENTCA - P&amp;L QTR";#N/A,#N/A,FALSE,"RFG0011000 - P&amp;L QTR"}</definedName>
    <definedName name="wrn.REPORT." hidden="1">{#N/A,#N/A,FALSE,"PAYOUT FAX";#N/A,#N/A,FALSE,"LOANS NOT FUNDED";#N/A,#N/A,FALSE,"CHCKDIGT";#N/A,#N/A,FALSE,"JRNL_ENT"}</definedName>
    <definedName name="wrn.REPORT._.SET." hidden="1">{"PRINTED COLUMNS ONLY",#N/A,FALSE,"PURCHASE FAX";"JE",#N/A,FALSE,"JRNL_ENT"}</definedName>
    <definedName name="wrn.report._.set._.with._.311." hidden="1">{"summary report",#N/A,FALSE,"SUMMARY REPORT";"salary model ytd",#N/A,FALSE,"SALARY MODEL - YTD";"salary model mtd",#N/A,FALSE,"SALARY MODEL - MTD";"detail 311",#N/A,FALSE,"311 ACTUAL"}</definedName>
    <definedName name="wrn.report._.set._.without._.311." hidden="1">{"summary report",#N/A,FALSE,"SUMMARY REPORT";"salary model ytd",#N/A,FALSE,"SALARY MODEL - YTD";"salary model mtd",#N/A,FALSE,"SALARY MODEL - MTD"}</definedName>
    <definedName name="wrn.scorecard."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wrn.scorecard.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wrn.SEC._.QUARTERLY._.PROJ." hidden="1">{"Cover Sheet",#N/A,FALSE,"Cover Sheet";"SEC QTRLY INC STMT",#N/A,FALSE,"SEC Quarterlies";"SEC QTRLY BAL SHEET",#N/A,FALSE,"SEC Quarterlies";"SEC QTRLY CASH FLOW",#N/A,FALSE,"SEC Quarterlies";"SEC QTRLY ASSUMPTIONS",#N/A,FALSE,"SEC Quarterlies"}</definedName>
    <definedName name="wrn.Summary." hidden="1">{#N/A,#N/A,FALSE,"INPUT";#N/A,#N/A,FALSE,"P&amp;L";#N/A,#N/A,FALSE,"Graph";#N/A,#N/A,FALSE,"Op Exp By Cost Ctr";#N/A,#N/A,FALSE,"Op Exp Chart"}</definedName>
    <definedName name="wrn.summary._.reports." hidden="1">{#N/A,#N/A,FALSE,"Total Capital Plan";#N/A,#N/A,FALSE,"2000 EDULINX Capital Plan";#N/A,#N/A,FALSE,"1999 EDULINX Capital Plan";#N/A,#N/A,FALSE,"1999 CIBC Funded Capital Plan";#N/A,#N/A,FALSE,"Summary"}</definedName>
    <definedName name="wrn.TOTAL." hidden="1">{"TOTAL",#N/A,FALSE,"Total";"Total East",#N/A,FALSE,"East";"Total Central",#N/A,FALSE,"Central";"Total West",#N/A,FALSE,"West";"NHEC",#N/A,FALSE,"NHEC";"Total Wholesale",#N/A,FALSE,"Wholesale";"Total Credit",#N/A,FALSE,"Credit";"Total Admin",#N/A,FALSE,"Admin"}</definedName>
    <definedName name="wrn.West."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holesale." hidden="1">{"Total Wholesale",#N/A,FALSE,"Wholesale";"Whsle_Admin",#N/A,FALSE,"Wholesale";"Whsle_Lombard",#N/A,FALSE,"Wholesale";"Whsle_Marlton",#N/A,FALSE,"Wholesale";"Whsle_Pleasanton",#N/A,FALSE,"Wholesale"}</definedName>
    <definedName name="Z_61F3E348_5958_11D3_8892_0000832DEAF9_.wvu.PrintTitles" hidden="1">#REF!,#REF!</definedName>
    <definedName name="Z_61F3E349_5958_11D3_8892_0000832DEAF9_.wvu.PrintTitles" hidden="1">#REF!,#REF!</definedName>
    <definedName name="Z_61F3E34B_5958_11D3_8892_0000832DEAF9_.wvu.PrintTitles" hidden="1">#REF!,#REF!</definedName>
    <definedName name="Z_61F3E34C_5958_11D3_8892_0000832DEAF9_.wvu.PrintTitles" hidden="1">#REF!,#REF!</definedName>
    <definedName name="Z_61F3E34E_5958_11D3_8892_0000832DEAF9_.wvu.PrintTitles" hidden="1">#REF!,#REF!</definedName>
    <definedName name="Z_61F3E34F_5958_11D3_8892_0000832DEAF9_.wvu.PrintTitles" hidden="1">#REF!,#REF!</definedName>
    <definedName name="Z_61F3E351_5958_11D3_8892_0000832DEAF9_.wvu.PrintTitles" hidden="1">#REF!,#REF!</definedName>
    <definedName name="Z_61F3E352_5958_11D3_8892_0000832DEAF9_.wvu.PrintTitles" hidden="1">#REF!,#REF!</definedName>
    <definedName name="Z_61F3E355_5958_11D3_8892_0000832DEAF9_.wvu.PrintTitles" hidden="1">#REF!,#REF!</definedName>
    <definedName name="Z_61F3E356_5958_11D3_8892_0000832DEAF9_.wvu.PrintTitles" hidden="1">#REF!,#REF!</definedName>
    <definedName name="Z_61F3E358_5958_11D3_8892_0000832DEAF9_.wvu.PrintTitles" hidden="1">#REF!,#REF!</definedName>
    <definedName name="Z_61F3E359_5958_11D3_8892_0000832DEAF9_.wvu.PrintTitles" hidden="1">#REF!,#REF!</definedName>
    <definedName name="Z_61F3E35B_5958_11D3_8892_0000832DEAF9_.wvu.PrintTitles" hidden="1">#REF!,#REF!</definedName>
    <definedName name="Z_61F3E35C_5958_11D3_8892_0000832DEAF9_.wvu.PrintTitles" hidden="1">#REF!,#REF!</definedName>
    <definedName name="Z_61F3E35E_5958_11D3_8892_0000832DEAF9_.wvu.PrintTitles" hidden="1">#REF!,#REF!</definedName>
    <definedName name="Z_61F3E35F_5958_11D3_8892_0000832DEAF9_.wvu.PrintTitles" hidden="1">#REF!,#REF!</definedName>
    <definedName name="Z_61F3E361_5958_11D3_8892_0000832DEAF9_.wvu.PrintTitles" hidden="1">#REF!,#REF!</definedName>
    <definedName name="Z_61F3E362_5958_11D3_8892_0000832DEAF9_.wvu.PrintTitles" hidden="1">#REF!,#REF!</definedName>
    <definedName name="Z_61F3E364_5958_11D3_8892_0000832DEAF9_.wvu.PrintTitles" hidden="1">#REF!,#REF!</definedName>
    <definedName name="Z_61F3E365_5958_11D3_8892_0000832DEAF9_.wvu.PrintTitles" hidden="1">#REF!,#REF!</definedName>
    <definedName name="Z_87743A9C_80A6_11D3_8889_0000832DEAF9_.wvu.Cols" hidden="1">#REF!,#REF!</definedName>
    <definedName name="Z_87743A9C_80A6_11D3_8889_0000832DEAF9_.wvu.PrintTitles" hidden="1">#REF!,#REF!</definedName>
    <definedName name="Z_87743A9C_80A6_11D3_8889_0000832DEAF9_.wvu.Rows" hidden="1">#REF!,#REF!,#REF!,#REF!,#REF!,#REF!,#REF!</definedName>
    <definedName name="Z_87743A9D_80A6_11D3_8889_0000832DEAF9_.wvu.Cols" hidden="1">#REF!,#REF!</definedName>
    <definedName name="Z_87743A9D_80A6_11D3_8889_0000832DEAF9_.wvu.PrintTitles" hidden="1">#REF!,#REF!</definedName>
    <definedName name="Z_87743A9D_80A6_11D3_8889_0000832DEAF9_.wvu.Rows" hidden="1">#REF!,#REF!,#REF!,#REF!,#REF!,#REF!,#REF!</definedName>
    <definedName name="Z_87743A9E_80A6_11D3_8889_0000832DEAF9_.wvu.Cols" hidden="1">#REF!,#REF!</definedName>
    <definedName name="Z_87743A9E_80A6_11D3_8889_0000832DEAF9_.wvu.PrintTitles" hidden="1">#REF!,#REF!</definedName>
    <definedName name="Z_87743A9E_80A6_11D3_8889_0000832DEAF9_.wvu.Rows" hidden="1">#REF!,#REF!,#REF!,#REF!,#REF!,#REF!,#REF!</definedName>
    <definedName name="Z_87743A9F_80A6_11D3_8889_0000832DEAF9_.wvu.Cols" hidden="1">#REF!,#REF!</definedName>
    <definedName name="Z_87743A9F_80A6_11D3_8889_0000832DEAF9_.wvu.PrintTitles" hidden="1">#REF!,#REF!</definedName>
    <definedName name="Z_87743A9F_80A6_11D3_8889_0000832DEAF9_.wvu.Rows" hidden="1">#REF!,#REF!,#REF!,#REF!,#REF!,#REF!,#REF!</definedName>
    <definedName name="Z_87743AA0_80A6_11D3_8889_0000832DEAF9_.wvu.Cols" hidden="1">#REF!,#REF!</definedName>
    <definedName name="Z_87743AA0_80A6_11D3_8889_0000832DEAF9_.wvu.PrintTitles" hidden="1">#REF!,#REF!</definedName>
    <definedName name="Z_87743AA0_80A6_11D3_8889_0000832DEAF9_.wvu.Rows" hidden="1">#REF!,#REF!,#REF!,#REF!,#REF!,#REF!,#REF!</definedName>
    <definedName name="Z_87743AA1_80A6_11D3_8889_0000832DEAF9_.wvu.Cols" hidden="1">#REF!,#REF!</definedName>
    <definedName name="Z_87743AA1_80A6_11D3_8889_0000832DEAF9_.wvu.PrintTitles" hidden="1">#REF!,#REF!</definedName>
    <definedName name="Z_87743AA1_80A6_11D3_8889_0000832DEAF9_.wvu.Rows" hidden="1">#REF!,#REF!,#REF!,#REF!,#REF!,#REF!,#REF!</definedName>
    <definedName name="Z_87743AA2_80A6_11D3_8889_0000832DEAF9_.wvu.Cols" hidden="1">#REF!,#REF!</definedName>
    <definedName name="Z_87743AA2_80A6_11D3_8889_0000832DEAF9_.wvu.PrintTitles" hidden="1">#REF!,#REF!</definedName>
    <definedName name="Z_87743AA2_80A6_11D3_8889_0000832DEAF9_.wvu.Rows" hidden="1">#REF!,#REF!,#REF!,#REF!,#REF!,#REF!,#REF!</definedName>
    <definedName name="Z_87743AA3_80A6_11D3_8889_0000832DEAF9_.wvu.Cols" hidden="1">#REF!,#REF!</definedName>
    <definedName name="Z_87743AA3_80A6_11D3_8889_0000832DEAF9_.wvu.PrintTitles" hidden="1">#REF!,#REF!</definedName>
    <definedName name="Z_87743AA3_80A6_11D3_8889_0000832DEAF9_.wvu.Rows" hidden="1">#REF!,#REF!,#REF!,#REF!,#REF!,#REF!,#REF!</definedName>
    <definedName name="Z_87743AA4_80A6_11D3_8889_0000832DEAF9_.wvu.Cols" hidden="1">#REF!,#REF!</definedName>
    <definedName name="Z_87743AA4_80A6_11D3_8889_0000832DEAF9_.wvu.PrintTitles" hidden="1">#REF!,#REF!</definedName>
    <definedName name="Z_87743AA4_80A6_11D3_8889_0000832DEAF9_.wvu.Rows" hidden="1">#REF!,#REF!,#REF!,#REF!,#REF!,#REF!,#REF!</definedName>
    <definedName name="Z_87743AA5_80A6_11D3_8889_0000832DEAF9_.wvu.Cols" hidden="1">#REF!,#REF!</definedName>
    <definedName name="Z_87743AA5_80A6_11D3_8889_0000832DEAF9_.wvu.PrintTitles" hidden="1">#REF!,#REF!</definedName>
    <definedName name="Z_87743AA5_80A6_11D3_8889_0000832DEAF9_.wvu.Rows" hidden="1">#REF!,#REF!,#REF!,#REF!,#REF!,#REF!,#REF!</definedName>
    <definedName name="infor_comps_group1_block" localSheetId="1">'Comps'!$B$10:$AA$15</definedName>
    <definedName name="infor_comps_group1_label" localSheetId="1">'Comps'!$D$9</definedName>
    <definedName name="infor_comps_group2_block" localSheetId="1">'Comps'!$B$20:$AA$25</definedName>
    <definedName name="infor_comps_group2_label" localSheetId="1">'Comps'!$D$19</definedName>
    <definedName name="infor_comps_group3_block" localSheetId="1">'Comps'!$B$30:$AA$35</definedName>
    <definedName name="infor_comps_group3_label" localSheetId="1">'Comps'!$D$29</definedName>
    <definedName name="infor_comps_output_ccy" localSheetId="1">'Comps'!$F$3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 i="1" l="1" a="1"/>
  <c r="K35" i="1" s="1"/>
  <c r="J35" i="1" a="1"/>
  <c r="J35" i="1"/>
  <c r="K34" i="1" a="1"/>
  <c r="K34" i="1" s="1"/>
  <c r="J34" i="1" a="1"/>
  <c r="J34" i="1" s="1"/>
  <c r="K33" i="1" a="1"/>
  <c r="K33" i="1" s="1"/>
  <c r="J33" i="1" a="1"/>
  <c r="J33" i="1" s="1"/>
  <c r="K32" i="1" a="1"/>
  <c r="K32" i="1" s="1"/>
  <c r="J32" i="1" a="1"/>
  <c r="J32" i="1" s="1"/>
  <c r="K31" i="1" a="1"/>
  <c r="K31" i="1" s="1"/>
  <c r="J31" i="1" a="1"/>
  <c r="J31" i="1" s="1"/>
  <c r="K30" i="1" a="1"/>
  <c r="K30" i="1" s="1"/>
  <c r="J30" i="1" a="1"/>
  <c r="J30" i="1" s="1"/>
  <c r="K25" i="1" a="1"/>
  <c r="K25" i="1"/>
  <c r="J25" i="1" a="1"/>
  <c r="J25" i="1"/>
  <c r="K24" i="1" a="1"/>
  <c r="K24" i="1"/>
  <c r="J24" i="1" a="1"/>
  <c r="J24" i="1" s="1"/>
  <c r="K23" i="1" a="1"/>
  <c r="K23" i="1"/>
  <c r="J23" i="1" a="1"/>
  <c r="J23" i="1"/>
  <c r="K22" i="1" a="1"/>
  <c r="K22" i="1"/>
  <c r="J22" i="1" a="1"/>
  <c r="J22" i="1"/>
  <c r="K21" i="1" a="1"/>
  <c r="K21" i="1"/>
  <c r="J21" i="1" a="1"/>
  <c r="J21" i="1"/>
  <c r="K20" i="1" a="1"/>
  <c r="K20" i="1"/>
  <c r="J20" i="1" a="1"/>
  <c r="J20" i="1"/>
  <c r="K15" i="1" a="1"/>
  <c r="K15" i="1"/>
  <c r="K14" i="1" a="1"/>
  <c r="K14" i="1"/>
  <c r="K13" i="1" a="1"/>
  <c r="K13" i="1"/>
  <c r="K12" i="1" a="1"/>
  <c r="K12" i="1"/>
  <c r="K11" i="1" a="1"/>
  <c r="K11" i="1"/>
  <c r="K10" i="1" a="1"/>
  <c r="K10" i="1" s="1"/>
  <c r="J15" i="1" a="1"/>
  <c r="J15" i="1"/>
  <c r="J14" i="1" a="1"/>
  <c r="J14" i="1"/>
  <c r="J13" i="1" a="1"/>
  <c r="J13" i="1"/>
  <c r="J12" i="1" a="1"/>
  <c r="J12" i="1"/>
  <c r="J11" i="1" a="1"/>
  <c r="J11" i="1"/>
  <c r="J10" i="1" a="1"/>
  <c r="J10" i="1" s="1"/>
  <c r="I35" i="1" a="1"/>
  <c r="I34" i="1" a="1"/>
  <c r="I33" i="1" a="1"/>
  <c r="I32" i="1" a="1"/>
  <c r="I31" i="1" a="1"/>
  <c r="I30" i="1" a="1"/>
  <c r="D35" i="1" a="1"/>
  <c r="D34" i="1" a="1"/>
  <c r="D33" i="1" a="1"/>
  <c r="D32" i="1" a="1"/>
  <c r="D31" i="1" a="1"/>
  <c r="D30" i="1" a="1"/>
  <c r="I25" i="1" a="1"/>
  <c r="D30" i="1" l="1"/>
  <c r="D31" i="1"/>
  <c r="D32" i="1"/>
  <c r="D33" i="1"/>
  <c r="D34" i="1"/>
  <c r="D35" i="1"/>
  <c r="I30" i="1"/>
  <c r="I31" i="1"/>
  <c r="I32" i="1"/>
  <c r="I33" i="1"/>
  <c r="I34" i="1"/>
  <c r="I35" i="1"/>
  <c r="I25" i="1"/>
  <c r="I24" i="1" a="1"/>
  <c r="I24" i="1" l="1"/>
  <c r="I23" i="1" a="1"/>
  <c r="I23" i="1" l="1"/>
  <c r="I22" i="1" a="1"/>
  <c r="I22" i="1" l="1"/>
  <c r="I21" i="1" a="1"/>
  <c r="I21" i="1" l="1"/>
  <c r="I20" i="1" a="1"/>
  <c r="I20" i="1" l="1"/>
  <c r="D25" i="1" a="1"/>
  <c r="D25" i="1" l="1"/>
  <c r="D24" i="1" a="1"/>
  <c r="D24" i="1" l="1"/>
  <c r="D23" i="1" a="1"/>
  <c r="D23" i="1" l="1"/>
  <c r="D22" i="1" a="1"/>
  <c r="D22" i="1" l="1"/>
  <c r="D21" i="1" a="1"/>
  <c r="D21" i="1" l="1"/>
  <c r="D20" i="1" a="1"/>
  <c r="D20" i="1" l="1"/>
  <c r="I15" i="1" a="1"/>
  <c r="I15" i="1" l="1"/>
  <c r="I14" i="1" a="1"/>
  <c r="I14" i="1" l="1"/>
  <c r="I13" i="1" a="1"/>
  <c r="I13" i="1" l="1"/>
  <c r="I12" i="1" a="1"/>
  <c r="I12" i="1" l="1"/>
  <c r="I11" i="1" a="1"/>
  <c r="I11" i="1" l="1"/>
  <c r="I10" i="1" a="1"/>
  <c r="I10" i="1" l="1"/>
  <c r="D15" i="1" a="1"/>
  <c r="D15" i="1" l="1"/>
  <c r="D14" i="1" a="1"/>
  <c r="D14" i="1" l="1"/>
  <c r="D13" i="1" a="1"/>
  <c r="D13" i="1" l="1"/>
  <c r="D12" i="1" a="1"/>
  <c r="D12" i="1" l="1"/>
  <c r="D11" i="1" a="1"/>
  <c r="D11" i="1" l="1"/>
  <c r="D10" i="1" a="1"/>
  <c r="D10" i="1" l="1"/>
  <c r="F2" i="1"/>
  <c r="D6" i="1"/>
  <c r="H7" i="1"/>
  <c r="M7" i="1"/>
  <c r="N7" i="1"/>
  <c r="P7" i="1"/>
  <c r="Q7" i="1"/>
  <c r="AD7" i="1"/>
  <c r="R7" i="1" s="1"/>
  <c r="AE7" i="1"/>
  <c r="AF7" i="1"/>
  <c r="V7" i="1"/>
  <c r="W7" i="1"/>
  <c r="AI7" i="1"/>
  <c r="AJ7" i="1"/>
  <c r="AK7" i="1"/>
  <c r="AN7" i="1"/>
  <c r="AO7" i="1"/>
  <c r="AP7" i="1"/>
  <c r="BF7" i="1"/>
  <c r="BG7" i="1"/>
  <c r="BH7" i="1"/>
  <c r="BA31" i="1" a="1"/>
  <c r="AV32" i="1" a="1"/>
  <c r="AO33" i="1" a="1"/>
  <c r="AJ34" i="1" a="1"/>
  <c r="AE35" i="1" a="1"/>
  <c r="BG35" i="1"/>
  <c r="BA30" i="1" a="1"/>
  <c r="AF35" i="1" a="1"/>
  <c r="BC30" i="1" a="1"/>
  <c r="AN30" i="1" a="1"/>
  <c r="BG33" i="1"/>
  <c r="AP31" i="1" a="1"/>
  <c r="BC34" i="1" a="1"/>
  <c r="AH33" i="1" a="1"/>
  <c r="AY35" i="1" a="1"/>
  <c r="AN32" i="1" a="1"/>
  <c r="BF34" i="1"/>
  <c r="BG34" i="1"/>
  <c r="AV30" i="1" a="1"/>
  <c r="AX31" i="1" a="1"/>
  <c r="BH34" i="1"/>
  <c r="AM33" i="1" a="1"/>
  <c r="AH34" i="1" a="1"/>
  <c r="G33" i="1" a="1"/>
  <c r="AD35" i="1" a="1"/>
  <c r="H33" i="1" a="1"/>
  <c r="BC31" i="1" a="1"/>
  <c r="AX32" i="1" a="1"/>
  <c r="AP33" i="1" a="1"/>
  <c r="AK34" i="1" a="1"/>
  <c r="BH35" i="1"/>
  <c r="AO34" i="1" a="1"/>
  <c r="BC32" i="1" a="1"/>
  <c r="BH30" i="1"/>
  <c r="BE32" i="1"/>
  <c r="AY33" i="1" a="1"/>
  <c r="G30" i="1" a="1"/>
  <c r="AT34" i="1" a="1"/>
  <c r="H30" i="1" a="1"/>
  <c r="BG32" i="1"/>
  <c r="AO35" i="1" a="1"/>
  <c r="AC31" i="1" a="1"/>
  <c r="BE31" i="1"/>
  <c r="AY32" i="1" a="1"/>
  <c r="AR33" i="1" a="1"/>
  <c r="AM34" i="1" a="1"/>
  <c r="AH35" i="1" a="1"/>
  <c r="AC30" i="1" a="1"/>
  <c r="BE30" i="1"/>
  <c r="G34" i="1" a="1"/>
  <c r="AE31" i="1" a="1"/>
  <c r="BG31" i="1"/>
  <c r="AV33" i="1" a="1"/>
  <c r="AJ35" i="1" a="1"/>
  <c r="AP34" i="1" a="1"/>
  <c r="AH31" i="1" a="1"/>
  <c r="AM35" i="1" a="1"/>
  <c r="AI31" i="1" a="1"/>
  <c r="AD32" i="1" a="1"/>
  <c r="AZ33" i="1" a="1"/>
  <c r="AJ31" i="1" a="1"/>
  <c r="BA33" i="1" a="1"/>
  <c r="AJ30" i="1" a="1"/>
  <c r="AK31" i="1" a="1"/>
  <c r="AF32" i="1" a="1"/>
  <c r="BC33" i="1" a="1"/>
  <c r="AP35" i="1" a="1"/>
  <c r="AH32" i="1" a="1"/>
  <c r="AC33" i="1" a="1"/>
  <c r="AY34" i="1" a="1"/>
  <c r="AM30" i="1" a="1"/>
  <c r="AN31" i="1" a="1"/>
  <c r="AD33" i="1" a="1"/>
  <c r="BF33" i="1"/>
  <c r="AT35" i="1" a="1"/>
  <c r="AO31" i="1" a="1"/>
  <c r="AE33" i="1" a="1"/>
  <c r="AV35" i="1" a="1"/>
  <c r="AK32" i="1" a="1"/>
  <c r="BH33" i="1"/>
  <c r="AX35" i="1" a="1"/>
  <c r="AM32" i="1" a="1"/>
  <c r="BE34" i="1"/>
  <c r="G32" i="1" a="1"/>
  <c r="AT31" i="1" a="1"/>
  <c r="AD34" i="1" a="1"/>
  <c r="AT30" i="1" a="1"/>
  <c r="AO32" i="1" a="1"/>
  <c r="AE34" i="1" a="1"/>
  <c r="AK33" i="1" a="1"/>
  <c r="AF34" i="1" a="1"/>
  <c r="BC35" i="1" a="1"/>
  <c r="AR32" i="1" a="1"/>
  <c r="BE35" i="1"/>
  <c r="AT32" i="1" a="1"/>
  <c r="AI34" i="1" a="1"/>
  <c r="AZ30" i="1" a="1"/>
  <c r="AD31" i="1" a="1"/>
  <c r="BF31" i="1"/>
  <c r="AZ32" i="1" a="1"/>
  <c r="AT33" i="1" a="1"/>
  <c r="AN34" i="1" a="1"/>
  <c r="AI35" i="1" a="1"/>
  <c r="AD30" i="1" a="1"/>
  <c r="BF30" i="1"/>
  <c r="H34" i="1" a="1"/>
  <c r="BA32" i="1" a="1"/>
  <c r="AE30" i="1" a="1"/>
  <c r="BG30" i="1"/>
  <c r="AF31" i="1" a="1"/>
  <c r="BH31" i="1"/>
  <c r="AX33" i="1" a="1"/>
  <c r="AK35" i="1" a="1"/>
  <c r="AF30" i="1" a="1"/>
  <c r="AC32" i="1" a="1"/>
  <c r="AR34" i="1" a="1"/>
  <c r="AH30" i="1" a="1"/>
  <c r="G35" i="1" a="1"/>
  <c r="BF32" i="1"/>
  <c r="AN35" i="1" a="1"/>
  <c r="AI30" i="1" a="1"/>
  <c r="H35" i="1" a="1"/>
  <c r="AE32" i="1" a="1"/>
  <c r="AV34" i="1" a="1"/>
  <c r="BH32" i="1"/>
  <c r="AX34" i="1" a="1"/>
  <c r="AK30" i="1" a="1"/>
  <c r="AM31" i="1" a="1"/>
  <c r="BE33" i="1"/>
  <c r="AR35" i="1" a="1"/>
  <c r="G31" i="1" a="1"/>
  <c r="AI32" i="1" a="1"/>
  <c r="AZ34" i="1" a="1"/>
  <c r="H31" i="1" a="1"/>
  <c r="AJ32" i="1" a="1"/>
  <c r="BA34" i="1" a="1"/>
  <c r="AO30" i="1" a="1"/>
  <c r="AF33" i="1" a="1"/>
  <c r="AP30" i="1" a="1"/>
  <c r="AR31" i="1" a="1"/>
  <c r="AC34" i="1" a="1"/>
  <c r="AR30" i="1" a="1"/>
  <c r="AI33" i="1" a="1"/>
  <c r="AZ35" i="1" a="1"/>
  <c r="H32" i="1" a="1"/>
  <c r="AJ33" i="1" a="1"/>
  <c r="BA35" i="1" a="1"/>
  <c r="AP32" i="1" a="1"/>
  <c r="AX30" i="1" a="1"/>
  <c r="AY31" i="1" a="1"/>
  <c r="AC35" i="1" a="1"/>
  <c r="AY30" i="1" a="1"/>
  <c r="AZ31" i="1" a="1"/>
  <c r="AN33" i="1" a="1"/>
  <c r="BF35" i="1"/>
  <c r="AV31" i="1" a="1"/>
  <c r="AV21" i="1" a="1"/>
  <c r="AO22" i="1" a="1"/>
  <c r="AJ23" i="1" a="1"/>
  <c r="AE24" i="1" a="1"/>
  <c r="BG24" i="1"/>
  <c r="BA25" i="1" a="1"/>
  <c r="AV20" i="1" a="1"/>
  <c r="AX20" i="1" a="1"/>
  <c r="AY20" i="1" a="1"/>
  <c r="AZ21" i="1" a="1"/>
  <c r="AN23" i="1" a="1"/>
  <c r="AD25" i="1" a="1"/>
  <c r="AZ20" i="1" a="1"/>
  <c r="BA21" i="1" a="1"/>
  <c r="AJ24" i="1" a="1"/>
  <c r="BG25" i="1"/>
  <c r="BC21" i="1" a="1"/>
  <c r="BE21" i="1"/>
  <c r="AM24" i="1" a="1"/>
  <c r="AC20" i="1" a="1"/>
  <c r="G24" i="1" a="1"/>
  <c r="AZ22" i="1" a="1"/>
  <c r="AI25" i="1" a="1"/>
  <c r="BF20" i="1"/>
  <c r="BG21" i="1"/>
  <c r="AJ25" i="1" a="1"/>
  <c r="AE20" i="1" a="1"/>
  <c r="AK21" i="1" a="1"/>
  <c r="BC23" i="1" a="1"/>
  <c r="AH22" i="1" a="1"/>
  <c r="AR25" i="1" a="1"/>
  <c r="H21" i="1" a="1"/>
  <c r="AO21" i="1" a="1"/>
  <c r="BA24" i="1" a="1"/>
  <c r="AF23" i="1" a="1"/>
  <c r="AP20" i="1" a="1"/>
  <c r="AR21" i="1" a="1"/>
  <c r="BE24" i="1"/>
  <c r="AT21" i="1" a="1"/>
  <c r="AD24" i="1" a="1"/>
  <c r="H22" i="1" a="1"/>
  <c r="AX21" i="1" a="1"/>
  <c r="AP22" i="1" a="1"/>
  <c r="AK23" i="1" a="1"/>
  <c r="AF24" i="1" a="1"/>
  <c r="BH24" i="1"/>
  <c r="BC25" i="1" a="1"/>
  <c r="AT22" i="1" a="1"/>
  <c r="BF25" i="1"/>
  <c r="AV22" i="1" a="1"/>
  <c r="AX22" i="1" a="1"/>
  <c r="AK24" i="1" a="1"/>
  <c r="BC20" i="1" a="1"/>
  <c r="AY22" i="1" a="1"/>
  <c r="AH25" i="1" a="1"/>
  <c r="BF21" i="1"/>
  <c r="AT23" i="1" a="1"/>
  <c r="H24" i="1" a="1"/>
  <c r="BA22" i="1" a="1"/>
  <c r="AO24" i="1" a="1"/>
  <c r="BG20" i="1"/>
  <c r="AF22" i="1" a="1"/>
  <c r="AP25" i="1" a="1"/>
  <c r="BE23" i="1"/>
  <c r="G21" i="1" a="1"/>
  <c r="AD23" i="1" a="1"/>
  <c r="AZ24" i="1" a="1"/>
  <c r="AE23" i="1" a="1"/>
  <c r="AO20" i="1" a="1"/>
  <c r="AX25" i="1" a="1"/>
  <c r="AC24" i="1" a="1"/>
  <c r="G22" i="1" a="1"/>
  <c r="AN22" i="1" a="1"/>
  <c r="BF24" i="1"/>
  <c r="AY21" i="1" a="1"/>
  <c r="AR22" i="1" a="1"/>
  <c r="AM23" i="1" a="1"/>
  <c r="AH24" i="1" a="1"/>
  <c r="AC25" i="1" a="1"/>
  <c r="BE25" i="1"/>
  <c r="G23" i="1" a="1"/>
  <c r="AI24" i="1" a="1"/>
  <c r="H23" i="1" a="1"/>
  <c r="AO23" i="1" a="1"/>
  <c r="AE25" i="1" a="1"/>
  <c r="BA20" i="1" a="1"/>
  <c r="AP23" i="1" a="1"/>
  <c r="AF25" i="1" a="1"/>
  <c r="BH25" i="1"/>
  <c r="AC21" i="1" a="1"/>
  <c r="AR23" i="1" a="1"/>
  <c r="BE20" i="1"/>
  <c r="AD21" i="1" a="1"/>
  <c r="AN24" i="1" a="1"/>
  <c r="AD20" i="1" a="1"/>
  <c r="AE21" i="1" a="1"/>
  <c r="AV23" i="1" a="1"/>
  <c r="AX24" i="1" a="1"/>
  <c r="AY24" i="1" a="1"/>
  <c r="AI22" i="1" a="1"/>
  <c r="AN20" i="1" a="1"/>
  <c r="BG23" i="1"/>
  <c r="AK22" i="1" a="1"/>
  <c r="BC24" i="1" a="1"/>
  <c r="AH23" i="1" a="1"/>
  <c r="AR20" i="1" a="1"/>
  <c r="AT20" i="1" a="1"/>
  <c r="AF21" i="1" a="1"/>
  <c r="BH21" i="1"/>
  <c r="BC22" i="1" a="1"/>
  <c r="AX23" i="1" a="1"/>
  <c r="AP24" i="1" a="1"/>
  <c r="AK25" i="1" a="1"/>
  <c r="AF20" i="1" a="1"/>
  <c r="BH20" i="1"/>
  <c r="AH21" i="1" a="1"/>
  <c r="AC22" i="1" a="1"/>
  <c r="BE22" i="1"/>
  <c r="AY23" i="1" a="1"/>
  <c r="AR24" i="1" a="1"/>
  <c r="AM25" i="1" a="1"/>
  <c r="AH20" i="1" a="1"/>
  <c r="G20" i="1" a="1"/>
  <c r="G25" i="1" a="1"/>
  <c r="AI21" i="1" a="1"/>
  <c r="AD22" i="1" a="1"/>
  <c r="BF22" i="1"/>
  <c r="AZ23" i="1" a="1"/>
  <c r="AT24" i="1" a="1"/>
  <c r="AN25" i="1" a="1"/>
  <c r="AI20" i="1" a="1"/>
  <c r="H20" i="1" a="1"/>
  <c r="H25" i="1" a="1"/>
  <c r="AJ21" i="1" a="1"/>
  <c r="AE22" i="1" a="1"/>
  <c r="BG22" i="1"/>
  <c r="BA23" i="1" a="1"/>
  <c r="AV24" i="1" a="1"/>
  <c r="AO25" i="1" a="1"/>
  <c r="AJ20" i="1" a="1"/>
  <c r="BH22" i="1"/>
  <c r="AK20" i="1" a="1"/>
  <c r="AM21" i="1" a="1"/>
  <c r="AC23" i="1" a="1"/>
  <c r="AM20" i="1" a="1"/>
  <c r="AN21" i="1" a="1"/>
  <c r="BF23" i="1"/>
  <c r="AT25" i="1" a="1"/>
  <c r="AJ22" i="1" a="1"/>
  <c r="AV25" i="1" a="1"/>
  <c r="AP21" i="1" a="1"/>
  <c r="BH23" i="1"/>
  <c r="AM22" i="1" a="1"/>
  <c r="AY25" i="1" a="1"/>
  <c r="AI23" i="1" a="1"/>
  <c r="AZ25" i="1" a="1"/>
  <c r="AO11" i="1" a="1"/>
  <c r="AJ12" i="1" a="1"/>
  <c r="AE13" i="1" a="1"/>
  <c r="BG13" i="1"/>
  <c r="BA14" i="1" a="1"/>
  <c r="AV15" i="1" a="1"/>
  <c r="BC14" i="1" a="1"/>
  <c r="AC14" i="1" a="1"/>
  <c r="G14" i="1" a="1"/>
  <c r="AN12" i="1" a="1"/>
  <c r="AI13" i="1" a="1"/>
  <c r="BF14" i="1"/>
  <c r="AV11" i="1" a="1"/>
  <c r="AP12" i="1" a="1"/>
  <c r="BC15" i="1" a="1"/>
  <c r="AY11" i="1" a="1"/>
  <c r="AH14" i="1" a="1"/>
  <c r="BE15" i="1"/>
  <c r="AY13" i="1" a="1"/>
  <c r="AD12" i="1" a="1"/>
  <c r="H12" i="1" a="1"/>
  <c r="AE12" i="1" a="1"/>
  <c r="AO15" i="1" a="1"/>
  <c r="AK11" i="1" a="1"/>
  <c r="AX14" i="1" a="1"/>
  <c r="AM11" i="1" a="1"/>
  <c r="AY14" i="1" a="1"/>
  <c r="AN11" i="1" a="1"/>
  <c r="AZ14" i="1" a="1"/>
  <c r="AP11" i="1" a="1"/>
  <c r="AK12" i="1" a="1"/>
  <c r="AF13" i="1" a="1"/>
  <c r="BH13" i="1"/>
  <c r="AX15" i="1" a="1"/>
  <c r="AR11" i="1" a="1"/>
  <c r="AM12" i="1" a="1"/>
  <c r="AH13" i="1" a="1"/>
  <c r="BE14" i="1"/>
  <c r="AY15" i="1" a="1"/>
  <c r="AT11" i="1" a="1"/>
  <c r="AD14" i="1" a="1"/>
  <c r="AZ15" i="1" a="1"/>
  <c r="H14" i="1" a="1"/>
  <c r="AO12" i="1" a="1"/>
  <c r="AJ13" i="1" a="1"/>
  <c r="AE14" i="1" a="1"/>
  <c r="BG14" i="1"/>
  <c r="BA15" i="1" a="1"/>
  <c r="AX11" i="1" a="1"/>
  <c r="AK13" i="1" a="1"/>
  <c r="AF14" i="1" a="1"/>
  <c r="BH14" i="1"/>
  <c r="AR12" i="1" a="1"/>
  <c r="AM13" i="1" a="1"/>
  <c r="AC15" i="1" a="1"/>
  <c r="G15" i="1" a="1"/>
  <c r="BE12" i="1"/>
  <c r="G12" i="1" a="1"/>
  <c r="AZ13" i="1" a="1"/>
  <c r="AN15" i="1" a="1"/>
  <c r="AJ11" i="1" a="1"/>
  <c r="AV14" i="1" a="1"/>
  <c r="BC13" i="1" a="1"/>
  <c r="BE13" i="1"/>
  <c r="BF13" i="1"/>
  <c r="AZ11" i="1" a="1"/>
  <c r="AT12" i="1" a="1"/>
  <c r="AN13" i="1" a="1"/>
  <c r="AI14" i="1" a="1"/>
  <c r="AD15" i="1" a="1"/>
  <c r="BF15" i="1"/>
  <c r="H15" i="1" a="1"/>
  <c r="BA11" i="1" a="1"/>
  <c r="AV12" i="1" a="1"/>
  <c r="AO13" i="1" a="1"/>
  <c r="AJ14" i="1" a="1"/>
  <c r="AE15" i="1" a="1"/>
  <c r="BG15" i="1"/>
  <c r="AP13" i="1" a="1"/>
  <c r="AF15" i="1" a="1"/>
  <c r="BH15" i="1"/>
  <c r="AC11" i="1" a="1"/>
  <c r="AY12" i="1" a="1"/>
  <c r="AR13" i="1" a="1"/>
  <c r="AM14" i="1" a="1"/>
  <c r="AH15" i="1" a="1"/>
  <c r="AD11" i="1" a="1"/>
  <c r="AZ12" i="1" a="1"/>
  <c r="AT13" i="1" a="1"/>
  <c r="AN14" i="1" a="1"/>
  <c r="BG11" i="1"/>
  <c r="AV13" i="1" a="1"/>
  <c r="AF11" i="1" a="1"/>
  <c r="BC12" i="1" a="1"/>
  <c r="AP14" i="1" a="1"/>
  <c r="AC12" i="1" a="1"/>
  <c r="AR14" i="1" a="1"/>
  <c r="AM15" i="1" a="1"/>
  <c r="BF12" i="1"/>
  <c r="BG12" i="1"/>
  <c r="AF12" i="1" a="1"/>
  <c r="AP15" i="1" a="1"/>
  <c r="AC13" i="1" a="1"/>
  <c r="G13" i="1" a="1"/>
  <c r="AD13" i="1" a="1"/>
  <c r="AT15" i="1" a="1"/>
  <c r="BC11" i="1" a="1"/>
  <c r="AX12" i="1" a="1"/>
  <c r="AK14" i="1" a="1"/>
  <c r="BE11" i="1"/>
  <c r="G11" i="1" a="1"/>
  <c r="BF11" i="1"/>
  <c r="AI15" i="1" a="1"/>
  <c r="H11" i="1" a="1"/>
  <c r="AE11" i="1" a="1"/>
  <c r="BA12" i="1" a="1"/>
  <c r="AO14" i="1" a="1"/>
  <c r="AJ15" i="1" a="1"/>
  <c r="BH11" i="1"/>
  <c r="AX13" i="1" a="1"/>
  <c r="AK15" i="1" a="1"/>
  <c r="AH11" i="1" a="1"/>
  <c r="AI11" i="1" a="1"/>
  <c r="AT14" i="1" a="1"/>
  <c r="BA13" i="1" a="1"/>
  <c r="BH12" i="1"/>
  <c r="AH12" i="1" a="1"/>
  <c r="AR15" i="1" a="1"/>
  <c r="AI12" i="1" a="1"/>
  <c r="H13" i="1" a="1"/>
  <c r="AO10" i="1" a="1"/>
  <c r="AF10" i="1" a="1"/>
  <c r="AP10" i="1" a="1"/>
  <c r="BF10" i="1"/>
  <c r="BG10" i="1"/>
  <c r="BH10" i="1"/>
  <c r="AV10" i="1" a="1"/>
  <c r="H10" i="1" a="1"/>
  <c r="AY10" i="1" a="1"/>
  <c r="AT10" i="1" a="1"/>
  <c r="AI10" i="1" a="1"/>
  <c r="AJ10" i="1" a="1"/>
  <c r="AZ10" i="1" a="1"/>
  <c r="G10" i="1" a="1"/>
  <c r="BA10" i="1" a="1"/>
  <c r="BC10" i="1" a="1"/>
  <c r="BE10" i="1"/>
  <c r="AR10" i="1" a="1"/>
  <c r="AD10" i="1" a="1"/>
  <c r="AC10" i="1" a="1"/>
  <c r="AK10" i="1" a="1"/>
  <c r="AH10" i="1" a="1"/>
  <c r="AE10" i="1" a="1"/>
  <c r="AN10" i="1" a="1"/>
  <c r="AM10" i="1" a="1"/>
  <c r="AX10" i="1" a="1"/>
  <c r="S7" i="1" l="1"/>
  <c r="BC35" i="1"/>
  <c r="BA35" i="1"/>
  <c r="AZ35" i="1"/>
  <c r="AY35" i="1"/>
  <c r="AX35" i="1"/>
  <c r="AV35" i="1"/>
  <c r="AT35" i="1"/>
  <c r="AR35" i="1"/>
  <c r="X35" i="1" s="1"/>
  <c r="AP35" i="1"/>
  <c r="AO35" i="1"/>
  <c r="AN35" i="1"/>
  <c r="AM35" i="1"/>
  <c r="AK35" i="1"/>
  <c r="AJ35" i="1"/>
  <c r="AI35" i="1"/>
  <c r="AH35" i="1"/>
  <c r="AF35" i="1"/>
  <c r="AE35" i="1"/>
  <c r="AD35" i="1"/>
  <c r="AC35" i="1"/>
  <c r="BC34" i="1"/>
  <c r="BA34" i="1"/>
  <c r="AZ34" i="1"/>
  <c r="AY34" i="1"/>
  <c r="AX34" i="1"/>
  <c r="AV34" i="1"/>
  <c r="AT34" i="1"/>
  <c r="AR34" i="1"/>
  <c r="X34" i="1" s="1"/>
  <c r="AP34" i="1"/>
  <c r="AO34" i="1"/>
  <c r="AN34" i="1"/>
  <c r="AM34" i="1"/>
  <c r="AK34" i="1"/>
  <c r="AJ34" i="1"/>
  <c r="AI34" i="1"/>
  <c r="AH34" i="1"/>
  <c r="AF34" i="1"/>
  <c r="AE34" i="1"/>
  <c r="AD34" i="1"/>
  <c r="AC34" i="1"/>
  <c r="BC33" i="1"/>
  <c r="BA33" i="1"/>
  <c r="AZ33" i="1"/>
  <c r="AY33" i="1"/>
  <c r="AX33" i="1"/>
  <c r="AV33" i="1"/>
  <c r="AT33" i="1"/>
  <c r="AR33" i="1"/>
  <c r="X33" i="1" s="1"/>
  <c r="AP33" i="1"/>
  <c r="AO33" i="1"/>
  <c r="AN33" i="1"/>
  <c r="AM33" i="1"/>
  <c r="AK33" i="1"/>
  <c r="AJ33" i="1"/>
  <c r="AI33" i="1"/>
  <c r="AH33" i="1"/>
  <c r="AF33" i="1"/>
  <c r="AE33" i="1"/>
  <c r="AD33" i="1"/>
  <c r="AC33" i="1"/>
  <c r="BC32" i="1"/>
  <c r="BA32" i="1"/>
  <c r="AZ32" i="1"/>
  <c r="AY32" i="1"/>
  <c r="AX32" i="1"/>
  <c r="AV32" i="1"/>
  <c r="AT32" i="1"/>
  <c r="AR32" i="1"/>
  <c r="X32" i="1" s="1"/>
  <c r="AP32" i="1"/>
  <c r="AO32" i="1"/>
  <c r="AN32" i="1"/>
  <c r="AM32" i="1"/>
  <c r="AK32" i="1"/>
  <c r="AJ32" i="1"/>
  <c r="AI32" i="1"/>
  <c r="AH32" i="1"/>
  <c r="AF32" i="1"/>
  <c r="AE32" i="1"/>
  <c r="AD32" i="1"/>
  <c r="AC32" i="1"/>
  <c r="BC31" i="1"/>
  <c r="BA31" i="1"/>
  <c r="AZ31" i="1"/>
  <c r="AY31" i="1"/>
  <c r="AX31" i="1"/>
  <c r="AV31" i="1"/>
  <c r="AT31" i="1"/>
  <c r="AR31" i="1"/>
  <c r="X31" i="1" s="1"/>
  <c r="AP31" i="1"/>
  <c r="AO31" i="1"/>
  <c r="AN31" i="1"/>
  <c r="AM31" i="1"/>
  <c r="AK31" i="1"/>
  <c r="AJ31" i="1"/>
  <c r="AI31" i="1"/>
  <c r="AH31" i="1"/>
  <c r="AF31" i="1"/>
  <c r="AE31" i="1"/>
  <c r="AD31" i="1"/>
  <c r="AC31" i="1"/>
  <c r="BC30" i="1"/>
  <c r="BA30" i="1"/>
  <c r="AZ30" i="1"/>
  <c r="AY30" i="1"/>
  <c r="AX30" i="1"/>
  <c r="AV30" i="1"/>
  <c r="AT30" i="1"/>
  <c r="AR30" i="1"/>
  <c r="X30" i="1" s="1"/>
  <c r="AP30" i="1"/>
  <c r="AO30" i="1"/>
  <c r="AN30" i="1"/>
  <c r="AM30" i="1"/>
  <c r="AK30" i="1"/>
  <c r="AJ30" i="1"/>
  <c r="AI30" i="1"/>
  <c r="AH30" i="1"/>
  <c r="AF30" i="1"/>
  <c r="AE30" i="1"/>
  <c r="AD30" i="1"/>
  <c r="AC30" i="1"/>
  <c r="BC25" i="1"/>
  <c r="BA25" i="1"/>
  <c r="AZ25" i="1"/>
  <c r="AY25" i="1"/>
  <c r="AX25" i="1"/>
  <c r="AV25" i="1"/>
  <c r="AT25" i="1"/>
  <c r="AR25" i="1"/>
  <c r="X25" i="1" s="1"/>
  <c r="AP25" i="1"/>
  <c r="AO25" i="1"/>
  <c r="AN25" i="1"/>
  <c r="AM25" i="1"/>
  <c r="AK25" i="1"/>
  <c r="AJ25" i="1"/>
  <c r="AI25" i="1"/>
  <c r="AH25" i="1"/>
  <c r="AF25" i="1"/>
  <c r="AE25" i="1"/>
  <c r="AD25" i="1"/>
  <c r="AC25" i="1"/>
  <c r="BC24" i="1"/>
  <c r="BA24" i="1"/>
  <c r="AZ24" i="1"/>
  <c r="AY24" i="1"/>
  <c r="AX24" i="1"/>
  <c r="AV24" i="1"/>
  <c r="AT24" i="1"/>
  <c r="AR24" i="1"/>
  <c r="X24" i="1" s="1"/>
  <c r="AP24" i="1"/>
  <c r="AO24" i="1"/>
  <c r="AN24" i="1"/>
  <c r="AM24" i="1"/>
  <c r="AK24" i="1"/>
  <c r="AJ24" i="1"/>
  <c r="AI24" i="1"/>
  <c r="AH24" i="1"/>
  <c r="AF24" i="1"/>
  <c r="AE24" i="1"/>
  <c r="AD24" i="1"/>
  <c r="AC24" i="1"/>
  <c r="BC23" i="1"/>
  <c r="BA23" i="1"/>
  <c r="AZ23" i="1"/>
  <c r="AY23" i="1"/>
  <c r="AX23" i="1"/>
  <c r="AV23" i="1"/>
  <c r="AT23" i="1"/>
  <c r="AR23" i="1"/>
  <c r="X23" i="1" s="1"/>
  <c r="AP23" i="1"/>
  <c r="AO23" i="1"/>
  <c r="AN23" i="1"/>
  <c r="AM23" i="1"/>
  <c r="AK23" i="1"/>
  <c r="AJ23" i="1"/>
  <c r="AI23" i="1"/>
  <c r="AH23" i="1"/>
  <c r="AF23" i="1"/>
  <c r="AE23" i="1"/>
  <c r="AD23" i="1"/>
  <c r="AC23" i="1"/>
  <c r="BC22" i="1"/>
  <c r="BA22" i="1"/>
  <c r="AZ22" i="1"/>
  <c r="AY22" i="1"/>
  <c r="AX22" i="1"/>
  <c r="AV22" i="1"/>
  <c r="AT22" i="1"/>
  <c r="AR22" i="1"/>
  <c r="X22" i="1" s="1"/>
  <c r="AP22" i="1"/>
  <c r="AO22" i="1"/>
  <c r="AN22" i="1"/>
  <c r="AM22" i="1"/>
  <c r="AK22" i="1"/>
  <c r="AJ22" i="1"/>
  <c r="AI22" i="1"/>
  <c r="AH22" i="1"/>
  <c r="AF22" i="1"/>
  <c r="AE22" i="1"/>
  <c r="AD22" i="1"/>
  <c r="AC22" i="1"/>
  <c r="BC21" i="1"/>
  <c r="BA21" i="1"/>
  <c r="AZ21" i="1"/>
  <c r="AY21" i="1"/>
  <c r="AX21" i="1"/>
  <c r="AV21" i="1"/>
  <c r="AT21" i="1"/>
  <c r="AR21" i="1"/>
  <c r="X21" i="1" s="1"/>
  <c r="AP21" i="1"/>
  <c r="AO21" i="1"/>
  <c r="AN21" i="1"/>
  <c r="AM21" i="1"/>
  <c r="AK21" i="1"/>
  <c r="AJ21" i="1"/>
  <c r="AI21" i="1"/>
  <c r="AH21" i="1"/>
  <c r="AF21" i="1"/>
  <c r="AE21" i="1"/>
  <c r="AD21" i="1"/>
  <c r="AC21" i="1"/>
  <c r="BC20" i="1"/>
  <c r="BA20" i="1"/>
  <c r="AZ20" i="1"/>
  <c r="AY20" i="1"/>
  <c r="AX20" i="1"/>
  <c r="AV20" i="1"/>
  <c r="AT20" i="1"/>
  <c r="AR20" i="1"/>
  <c r="X20" i="1" s="1"/>
  <c r="AP20" i="1"/>
  <c r="AO20" i="1"/>
  <c r="AN20" i="1"/>
  <c r="AM20" i="1"/>
  <c r="AK20" i="1"/>
  <c r="AJ20" i="1"/>
  <c r="AI20" i="1"/>
  <c r="AH20" i="1"/>
  <c r="AF20" i="1"/>
  <c r="AE20" i="1"/>
  <c r="AD20" i="1"/>
  <c r="AC20" i="1"/>
  <c r="BC15" i="1"/>
  <c r="BA15" i="1"/>
  <c r="AZ15" i="1"/>
  <c r="AY15" i="1"/>
  <c r="AX15" i="1"/>
  <c r="AV15" i="1"/>
  <c r="AT15" i="1"/>
  <c r="AR15" i="1"/>
  <c r="X15" i="1" s="1"/>
  <c r="AP15" i="1"/>
  <c r="AO15" i="1"/>
  <c r="AN15" i="1"/>
  <c r="AM15" i="1"/>
  <c r="AK15" i="1"/>
  <c r="AJ15" i="1"/>
  <c r="AI15" i="1"/>
  <c r="AH15" i="1"/>
  <c r="AF15" i="1"/>
  <c r="AE15" i="1"/>
  <c r="AD15" i="1"/>
  <c r="AC15" i="1"/>
  <c r="BC14" i="1"/>
  <c r="BA14" i="1"/>
  <c r="AZ14" i="1"/>
  <c r="AY14" i="1"/>
  <c r="AX14" i="1"/>
  <c r="AV14" i="1"/>
  <c r="AT14" i="1"/>
  <c r="AR14" i="1"/>
  <c r="X14" i="1" s="1"/>
  <c r="AP14" i="1"/>
  <c r="AO14" i="1"/>
  <c r="AN14" i="1"/>
  <c r="AM14" i="1"/>
  <c r="AK14" i="1"/>
  <c r="AJ14" i="1"/>
  <c r="AI14" i="1"/>
  <c r="AH14" i="1"/>
  <c r="AF14" i="1"/>
  <c r="AE14" i="1"/>
  <c r="AD14" i="1"/>
  <c r="AC14" i="1"/>
  <c r="BC13" i="1"/>
  <c r="BA13" i="1"/>
  <c r="AZ13" i="1"/>
  <c r="AY13" i="1"/>
  <c r="AX13" i="1"/>
  <c r="AV13" i="1"/>
  <c r="AT13" i="1"/>
  <c r="AR13" i="1"/>
  <c r="X13" i="1" s="1"/>
  <c r="AP13" i="1"/>
  <c r="AO13" i="1"/>
  <c r="AN13" i="1"/>
  <c r="AM13" i="1"/>
  <c r="AK13" i="1"/>
  <c r="AJ13" i="1"/>
  <c r="AI13" i="1"/>
  <c r="AH13" i="1"/>
  <c r="AF13" i="1"/>
  <c r="AE13" i="1"/>
  <c r="AD13" i="1"/>
  <c r="AC13" i="1"/>
  <c r="BC12" i="1"/>
  <c r="BA12" i="1"/>
  <c r="AZ12" i="1"/>
  <c r="AY12" i="1"/>
  <c r="AX12" i="1"/>
  <c r="AV12" i="1"/>
  <c r="AT12" i="1"/>
  <c r="AR12" i="1"/>
  <c r="X12" i="1" s="1"/>
  <c r="AP12" i="1"/>
  <c r="AO12" i="1"/>
  <c r="AN12" i="1"/>
  <c r="AM12" i="1"/>
  <c r="AK12" i="1"/>
  <c r="AJ12" i="1"/>
  <c r="AI12" i="1"/>
  <c r="AH12" i="1"/>
  <c r="AF12" i="1"/>
  <c r="AE12" i="1"/>
  <c r="AD12" i="1"/>
  <c r="AC12" i="1"/>
  <c r="BC11" i="1"/>
  <c r="BA11" i="1"/>
  <c r="AZ11" i="1"/>
  <c r="AY11" i="1"/>
  <c r="AX11" i="1"/>
  <c r="AV11" i="1"/>
  <c r="AT11" i="1"/>
  <c r="AR11" i="1"/>
  <c r="X11" i="1" s="1"/>
  <c r="AP11" i="1"/>
  <c r="AO11" i="1"/>
  <c r="AN11" i="1"/>
  <c r="AM11" i="1"/>
  <c r="AK11" i="1"/>
  <c r="AJ11" i="1"/>
  <c r="AI11" i="1"/>
  <c r="AH11" i="1"/>
  <c r="AF11" i="1"/>
  <c r="AE11" i="1"/>
  <c r="AD11" i="1"/>
  <c r="AC11" i="1"/>
  <c r="G7" i="1"/>
  <c r="AP10" i="1"/>
  <c r="AF10" i="1"/>
  <c r="AO10" i="1"/>
  <c r="AN10" i="1"/>
  <c r="AE10" i="1"/>
  <c r="AK10" i="1"/>
  <c r="AD10" i="1"/>
  <c r="AJ10" i="1"/>
  <c r="AI10" i="1"/>
  <c r="H35" i="1"/>
  <c r="G35" i="1"/>
  <c r="H34" i="1"/>
  <c r="G34" i="1"/>
  <c r="H33" i="1"/>
  <c r="G33" i="1"/>
  <c r="H32" i="1"/>
  <c r="G32" i="1"/>
  <c r="H31" i="1"/>
  <c r="G31" i="1"/>
  <c r="H30" i="1"/>
  <c r="G30" i="1"/>
  <c r="H25" i="1"/>
  <c r="G25" i="1"/>
  <c r="H24" i="1"/>
  <c r="G24" i="1"/>
  <c r="H23" i="1"/>
  <c r="G23" i="1"/>
  <c r="H22" i="1"/>
  <c r="G22" i="1"/>
  <c r="H21" i="1"/>
  <c r="G21" i="1"/>
  <c r="H20" i="1"/>
  <c r="G20" i="1"/>
  <c r="BC10" i="1"/>
  <c r="BA10" i="1"/>
  <c r="AZ10" i="1"/>
  <c r="AY10" i="1"/>
  <c r="AX10" i="1"/>
  <c r="AM10" i="1"/>
  <c r="AH10" i="1"/>
  <c r="AC10" i="1"/>
  <c r="H15" i="1"/>
  <c r="G15" i="1"/>
  <c r="H14" i="1"/>
  <c r="G14" i="1"/>
  <c r="H13" i="1"/>
  <c r="G13" i="1"/>
  <c r="H12" i="1"/>
  <c r="G12" i="1"/>
  <c r="H11" i="1"/>
  <c r="G11" i="1"/>
  <c r="H10" i="1"/>
  <c r="G10" i="1"/>
  <c r="AV10" i="1"/>
  <c r="AT10" i="1"/>
  <c r="AR10" i="1"/>
  <c r="X10" i="1" s="1"/>
  <c r="X39" i="1" l="1"/>
  <c r="BB21" i="1"/>
  <c r="BB22" i="1"/>
  <c r="BB23" i="1"/>
  <c r="BB24" i="1"/>
  <c r="BB25" i="1"/>
  <c r="BB31" i="1"/>
  <c r="BB32" i="1"/>
  <c r="BB33" i="1"/>
  <c r="BB34" i="1"/>
  <c r="BB35" i="1"/>
  <c r="X41" i="1"/>
  <c r="X40" i="1"/>
  <c r="X44" i="1"/>
  <c r="X43" i="1"/>
  <c r="BB20" i="1"/>
  <c r="BB30" i="1"/>
  <c r="X37" i="1"/>
  <c r="Z14" i="1"/>
  <c r="X27" i="1"/>
  <c r="BB11" i="1"/>
  <c r="BB12" i="1"/>
  <c r="BB13" i="1"/>
  <c r="BB14" i="1"/>
  <c r="BB15" i="1"/>
  <c r="Z31" i="1"/>
  <c r="Y31" i="1"/>
  <c r="Z32" i="1"/>
  <c r="Y32" i="1"/>
  <c r="Z33" i="1"/>
  <c r="Y33" i="1"/>
  <c r="Z35" i="1"/>
  <c r="Y35" i="1"/>
  <c r="Z30" i="1"/>
  <c r="Y30" i="1"/>
  <c r="Y34" i="1"/>
  <c r="Z34" i="1"/>
  <c r="Z15" i="1"/>
  <c r="Y23" i="1"/>
  <c r="Z23" i="1"/>
  <c r="Z12" i="1"/>
  <c r="Z24" i="1"/>
  <c r="Y24" i="1"/>
  <c r="Z21" i="1"/>
  <c r="Y21" i="1"/>
  <c r="Z22" i="1"/>
  <c r="Y22" i="1"/>
  <c r="Z20" i="1"/>
  <c r="Y20" i="1"/>
  <c r="Z25" i="1"/>
  <c r="Y25" i="1"/>
  <c r="Z11" i="1"/>
  <c r="Z13" i="1"/>
  <c r="Y14" i="1"/>
  <c r="Y15" i="1"/>
  <c r="Z10" i="1"/>
  <c r="Y12" i="1"/>
  <c r="Y11" i="1"/>
  <c r="Y13" i="1"/>
  <c r="Y10" i="1"/>
  <c r="X17" i="1"/>
  <c r="BB10" i="1"/>
  <c r="M11" i="1"/>
  <c r="Q11" i="1"/>
  <c r="L11" i="1"/>
  <c r="N11" i="1"/>
  <c r="O11" i="1"/>
  <c r="P11" i="1"/>
  <c r="R33" i="1"/>
  <c r="S11" i="1"/>
  <c r="R34" i="1"/>
  <c r="S12" i="1"/>
  <c r="U12" i="1"/>
  <c r="V12" i="1"/>
  <c r="W12" i="1"/>
  <c r="O22" i="1"/>
  <c r="L22" i="1"/>
  <c r="M22" i="1"/>
  <c r="N22" i="1"/>
  <c r="P22" i="1"/>
  <c r="Q22" i="1"/>
  <c r="M34" i="1"/>
  <c r="O34" i="1"/>
  <c r="N34" i="1"/>
  <c r="P34" i="1"/>
  <c r="Q34" i="1"/>
  <c r="L34" i="1"/>
  <c r="R35" i="1"/>
  <c r="S14" i="1"/>
  <c r="Q12" i="1"/>
  <c r="L12" i="1"/>
  <c r="P12" i="1"/>
  <c r="M12" i="1"/>
  <c r="N12" i="1"/>
  <c r="O12" i="1"/>
  <c r="U23" i="1"/>
  <c r="V23" i="1"/>
  <c r="W23" i="1"/>
  <c r="V30" i="1"/>
  <c r="U30" i="1"/>
  <c r="W30" i="1"/>
  <c r="V35" i="1"/>
  <c r="U35" i="1"/>
  <c r="W35" i="1"/>
  <c r="S15" i="1"/>
  <c r="L35" i="1"/>
  <c r="M35" i="1"/>
  <c r="N35" i="1"/>
  <c r="P35" i="1"/>
  <c r="Q35" i="1"/>
  <c r="O35" i="1"/>
  <c r="S21" i="1"/>
  <c r="R14" i="1"/>
  <c r="R15" i="1"/>
  <c r="R32" i="1"/>
  <c r="S10" i="1"/>
  <c r="V22" i="1"/>
  <c r="U22" i="1"/>
  <c r="W22" i="1"/>
  <c r="U34" i="1"/>
  <c r="V34" i="1"/>
  <c r="W34" i="1"/>
  <c r="S13" i="1"/>
  <c r="R10" i="1"/>
  <c r="S20" i="1"/>
  <c r="U31" i="1"/>
  <c r="V31" i="1"/>
  <c r="W31" i="1"/>
  <c r="S23" i="1"/>
  <c r="S25" i="1"/>
  <c r="U20" i="1"/>
  <c r="V20" i="1"/>
  <c r="W20" i="1"/>
  <c r="Q20" i="1"/>
  <c r="P20" i="1"/>
  <c r="M20" i="1"/>
  <c r="L20" i="1"/>
  <c r="N20" i="1"/>
  <c r="O20" i="1"/>
  <c r="R23" i="1"/>
  <c r="S33" i="1"/>
  <c r="O23" i="1"/>
  <c r="Q23" i="1"/>
  <c r="P23" i="1"/>
  <c r="N23" i="1"/>
  <c r="L23" i="1"/>
  <c r="M23" i="1"/>
  <c r="R12" i="1"/>
  <c r="V24" i="1"/>
  <c r="W24" i="1"/>
  <c r="U24" i="1"/>
  <c r="R13" i="1"/>
  <c r="R20" i="1"/>
  <c r="R22" i="1"/>
  <c r="R24" i="1"/>
  <c r="S34" i="1"/>
  <c r="W13" i="1"/>
  <c r="V13" i="1"/>
  <c r="U13" i="1"/>
  <c r="R11" i="1"/>
  <c r="S31" i="1"/>
  <c r="S35" i="1"/>
  <c r="L30" i="1"/>
  <c r="M30" i="1"/>
  <c r="O30" i="1"/>
  <c r="N30" i="1"/>
  <c r="P30" i="1"/>
  <c r="Q30" i="1"/>
  <c r="V14" i="1"/>
  <c r="U14" i="1"/>
  <c r="W14" i="1"/>
  <c r="S30" i="1"/>
  <c r="L14" i="1"/>
  <c r="M14" i="1"/>
  <c r="O14" i="1"/>
  <c r="N14" i="1"/>
  <c r="P14" i="1"/>
  <c r="Q14" i="1"/>
  <c r="U15" i="1"/>
  <c r="V15" i="1"/>
  <c r="W15" i="1"/>
  <c r="L25" i="1"/>
  <c r="M25" i="1"/>
  <c r="N25" i="1"/>
  <c r="O25" i="1"/>
  <c r="P25" i="1"/>
  <c r="Q25" i="1"/>
  <c r="O32" i="1"/>
  <c r="L32" i="1"/>
  <c r="M32" i="1"/>
  <c r="N32" i="1"/>
  <c r="P32" i="1"/>
  <c r="Q32" i="1"/>
  <c r="O15" i="1"/>
  <c r="P15" i="1"/>
  <c r="Q15" i="1"/>
  <c r="N15" i="1"/>
  <c r="L15" i="1"/>
  <c r="M15" i="1"/>
  <c r="W21" i="1"/>
  <c r="V21" i="1"/>
  <c r="U21" i="1"/>
  <c r="V33" i="1"/>
  <c r="U33" i="1"/>
  <c r="W33" i="1"/>
  <c r="S22" i="1"/>
  <c r="O13" i="1"/>
  <c r="L13" i="1"/>
  <c r="M13" i="1"/>
  <c r="N13" i="1"/>
  <c r="P13" i="1"/>
  <c r="Q13" i="1"/>
  <c r="S24" i="1"/>
  <c r="M24" i="1"/>
  <c r="O24" i="1"/>
  <c r="L24" i="1"/>
  <c r="N24" i="1"/>
  <c r="Q24" i="1"/>
  <c r="P24" i="1"/>
  <c r="O31" i="1"/>
  <c r="Q31" i="1"/>
  <c r="P31" i="1"/>
  <c r="N31" i="1"/>
  <c r="M31" i="1"/>
  <c r="L31" i="1"/>
  <c r="V25" i="1"/>
  <c r="U25" i="1"/>
  <c r="W25" i="1"/>
  <c r="V32" i="1"/>
  <c r="W32" i="1"/>
  <c r="U32" i="1"/>
  <c r="R21" i="1"/>
  <c r="S32" i="1"/>
  <c r="U10" i="1"/>
  <c r="W10" i="1"/>
  <c r="V10" i="1"/>
  <c r="L10" i="1"/>
  <c r="M10" i="1"/>
  <c r="N10" i="1"/>
  <c r="P10" i="1"/>
  <c r="O10" i="1"/>
  <c r="Q10" i="1"/>
  <c r="R25" i="1"/>
  <c r="R30" i="1"/>
  <c r="U11" i="1"/>
  <c r="V11" i="1"/>
  <c r="W11" i="1"/>
  <c r="Q21" i="1"/>
  <c r="L21" i="1"/>
  <c r="N21" i="1"/>
  <c r="M21" i="1"/>
  <c r="O21" i="1"/>
  <c r="P21" i="1"/>
  <c r="L33" i="1"/>
  <c r="M33" i="1"/>
  <c r="N33" i="1"/>
  <c r="O33" i="1"/>
  <c r="P33" i="1"/>
  <c r="Q33" i="1"/>
  <c r="R31" i="1"/>
  <c r="Z39" i="1" l="1"/>
  <c r="Z41" i="1"/>
  <c r="Z40" i="1"/>
  <c r="Y41" i="1"/>
  <c r="Y40" i="1"/>
  <c r="Y39" i="1"/>
  <c r="Z44" i="1"/>
  <c r="Z43" i="1"/>
  <c r="Y43" i="1"/>
  <c r="Y44" i="1"/>
  <c r="W44" i="1"/>
  <c r="W43" i="1"/>
  <c r="U44" i="1"/>
  <c r="U43" i="1"/>
  <c r="V43" i="1"/>
  <c r="V44" i="1"/>
  <c r="S44" i="1"/>
  <c r="S43" i="1"/>
  <c r="R44" i="1"/>
  <c r="R43" i="1"/>
  <c r="P44" i="1"/>
  <c r="P43" i="1"/>
  <c r="L43" i="1"/>
  <c r="L44" i="1"/>
  <c r="Q44" i="1"/>
  <c r="Q43" i="1"/>
  <c r="O43" i="1"/>
  <c r="O44" i="1"/>
  <c r="N44" i="1"/>
  <c r="N43" i="1"/>
  <c r="M43" i="1"/>
  <c r="M44" i="1"/>
  <c r="Z37" i="1"/>
  <c r="Y37" i="1"/>
  <c r="Y27" i="1"/>
  <c r="Z27" i="1"/>
  <c r="Z17" i="1"/>
  <c r="Y17" i="1"/>
  <c r="L37" i="1"/>
  <c r="M37" i="1"/>
  <c r="O27" i="1"/>
  <c r="O41" i="1"/>
  <c r="O40" i="1"/>
  <c r="U17" i="1"/>
  <c r="U39" i="1"/>
  <c r="P41" i="1"/>
  <c r="P27" i="1"/>
  <c r="P40" i="1"/>
  <c r="Q40" i="1"/>
  <c r="Q27" i="1"/>
  <c r="Q41" i="1"/>
  <c r="U37" i="1"/>
  <c r="W37" i="1"/>
  <c r="W17" i="1"/>
  <c r="W39" i="1"/>
  <c r="M27" i="1"/>
  <c r="M41" i="1"/>
  <c r="M40" i="1"/>
  <c r="W40" i="1"/>
  <c r="W41" i="1"/>
  <c r="W27" i="1"/>
  <c r="Q37" i="1"/>
  <c r="V17" i="1"/>
  <c r="V39" i="1"/>
  <c r="N27" i="1"/>
  <c r="N41" i="1"/>
  <c r="N40" i="1"/>
  <c r="S40" i="1"/>
  <c r="S27" i="1"/>
  <c r="S41" i="1"/>
  <c r="V37" i="1"/>
  <c r="U40" i="1"/>
  <c r="U27" i="1"/>
  <c r="U41" i="1"/>
  <c r="Q39" i="1"/>
  <c r="Q17" i="1"/>
  <c r="P37" i="1"/>
  <c r="M17" i="1"/>
  <c r="M39" i="1"/>
  <c r="L39" i="1"/>
  <c r="L17" i="1"/>
  <c r="N37" i="1"/>
  <c r="R40" i="1"/>
  <c r="R27" i="1"/>
  <c r="R41" i="1"/>
  <c r="L27" i="1"/>
  <c r="L40" i="1"/>
  <c r="L41" i="1"/>
  <c r="S37" i="1"/>
  <c r="R39" i="1"/>
  <c r="R17" i="1"/>
  <c r="V40" i="1"/>
  <c r="V27" i="1"/>
  <c r="V41" i="1"/>
  <c r="S39" i="1"/>
  <c r="S17" i="1"/>
  <c r="R37" i="1"/>
  <c r="O17" i="1"/>
  <c r="O39" i="1"/>
  <c r="P17" i="1"/>
  <c r="P39" i="1"/>
  <c r="N39" i="1"/>
  <c r="N17" i="1"/>
  <c r="O3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<sst xmlns="http://schemas.openxmlformats.org/spreadsheetml/2006/main" count="67" uniqueCount="51">
  <si>
    <t>Currency:</t>
  </si>
  <si>
    <t>EV/Revenue</t>
  </si>
  <si>
    <t>EV/EBITDA</t>
  </si>
  <si>
    <t>Min</t>
  </si>
  <si>
    <t>Max</t>
  </si>
  <si>
    <t>Price</t>
  </si>
  <si>
    <t>Native</t>
  </si>
  <si>
    <t>Market</t>
  </si>
  <si>
    <t>Enterprise</t>
  </si>
  <si>
    <t>EV / Revenue</t>
  </si>
  <si>
    <t>EV / EBITDA</t>
  </si>
  <si>
    <t>P / E</t>
  </si>
  <si>
    <t>Book</t>
  </si>
  <si>
    <t>Revenue</t>
  </si>
  <si>
    <t>EBITDA</t>
  </si>
  <si>
    <t>EPS</t>
  </si>
  <si>
    <t>Company</t>
  </si>
  <si>
    <t>Currency</t>
  </si>
  <si>
    <t>Cap</t>
  </si>
  <si>
    <t>Value</t>
  </si>
  <si>
    <t>Equity</t>
  </si>
  <si>
    <t>Debt</t>
  </si>
  <si>
    <t>Group Average</t>
  </si>
  <si>
    <t>Global Average</t>
  </si>
  <si>
    <t>Div.</t>
  </si>
  <si>
    <t>Yield</t>
  </si>
  <si>
    <t>Net Debt</t>
  </si>
  <si>
    <t>Rev. Growth</t>
  </si>
  <si>
    <t>Cash &amp; ST</t>
  </si>
  <si>
    <t>Investments</t>
  </si>
  <si>
    <t>Gross Margin (%)</t>
  </si>
  <si>
    <t>Global Median</t>
  </si>
  <si>
    <t>Global Average (Excl. High / Low)</t>
  </si>
  <si>
    <t>$F$2</t>
  </si>
  <si>
    <t>Period:</t>
  </si>
  <si>
    <t>LTM</t>
  </si>
  <si>
    <t>Description</t>
  </si>
  <si>
    <t>[Group #1]</t>
  </si>
  <si>
    <t>[Group #2]</t>
  </si>
  <si>
    <t>[Group #3]</t>
  </si>
  <si>
    <t>CAD</t>
  </si>
  <si>
    <t>\</t>
  </si>
  <si>
    <t>ROE</t>
  </si>
  <si>
    <t>BVPS</t>
  </si>
  <si>
    <t>TBVPS</t>
  </si>
  <si>
    <t>P / B</t>
  </si>
  <si>
    <t>P / TBV</t>
  </si>
  <si>
    <t>Current</t>
  </si>
  <si>
    <t>25th Percentile</t>
  </si>
  <si>
    <t>75th Percentile</t>
  </si>
  <si>
    <t>允䅁䡁䅍䅁䍁䅁䅁䅁䝂䅁䅁杔䅁䕁䄸䅣あ䝁䅫睢畂䡁䅍杏杁䕁䅍兤祂䡁䅉児䙂䙁䅕杕獁䍁䅁兔桂䝁䅣児乂䝁䅫䅢獂䝁䅫睢畂䡁䅍䅌杁䕁䄴兑㥁䍁䄰兌䅁䑁䅷䅁䝁䅁䅁兌瑁䅁䅁李䅁䑁䅧䅁橁䕁䅫杔坂䕁䅅䅔䩂䕁䅑䅉䝂䙁䅕杔䑂䙁䅑兓偂䕁䄴䅉兂䕁䅅杕䉂䕁䄰兒啂䕁䅕杕䅁䅁䅑䅁奁䅁䅁䅋睁䑁䅅兌䭂䝁䅅杢瑁䑁䅉兎灁䅁䅁杂䅁䍁䅯䅁䭂䙁䅁兔療䡁䅉睚桂䝁䄴䅉䑂䝁䅧兙穂䝁䅕䅉流䍁䅁睑療䍁䄴䅁佂䅁䅁杓䅁䕁䅍兗祁䑁䅁杍ぁ䑁䅑兎㉁䑁䅕䅏偂䡁䅁䅤灂䝁䄸杢穂䑁䅯睑ㅂ䡁䅉杣㥁䙁䅕睕䕂䍁䅷䅉佂䕁䅅児佂䙁䅕䅔䵂䅁䅁䅗䅁䉁䅙䅁睁䑁䅙睌硁䑁䅁睌祁䑁䅁杍ㅁ䅁䅁兂䅁䅁䅑䅁瑁䅁䅁䅎䅁䝁䅉䅁䑂䙁䅫杍睁䑁䅉兎ぁ䑁䅕李ㅁ䑁䅧睔睂䡁䅑兡療䝁䄴督㙁䕁䅍兤祂䡁䅉児噂䙁䅍䅒獁䍁䅁兔桂䝁䅣児乂䝁䅫䅢獂䝁䅫睢畂䡁䅍䅌杁䕁䄴兑㥁䍁䄰兌䅁䕁䄸䅁捂䅁䅁杒剂䑁䅁䅎ㅁ䑁䅙兎㑁䕁䄸䅣あ䝁䅫睢畂䡁䅍杏䑂䡁䅕杣祂䑁䄰兖呂䕁䅑䅌杁䕁䄰兙湂䑁䄰兔灂䝁䅷䅢灂䝁䄸杢穂䍁䅷䅉佂䕁䅅児瑁䍁䄰䅁兂䅁䅁杍䅁䕁䄸䅣あ䝁䅫睢畂䡁䅍杏杁䕁䅍兤祂䡁䅉児䙂䙁䅕杕獁䍁䅁杔䉂䑁䄰兌瑁䅁䅁睐䅁䅁䄴䅁䑂䙁䅫杍睁䑁䅉䅎䅁䉁䅍䅁䥁䅁䅁睑䉂䕁䅑䅁䩁䅁䅁䅎䅁䕁䅍兗祁䑁䅁杍㉁䑁䅑兎㉁䑁䅕䅏偂䡁䅁䅤灂䝁䄸杢穂䑁䅯䅉佂䕁䅅児瑁䍁䄰䅁啂䅁䅁䅎䅁䕁䅍兗祁䑁䅁杍ぁ䑁䅑兎㉁䑁䅕䅏偂䡁䅁䅤灂䝁䄸杢穂䑁䅯䅉佂䕁䅅児瑁䍁䄰䅁卂䅁䅁杙䅁䕁䅍兗祁䑁䅁杍ぁ䑁䅑兎㉁䑁䅕䅏偂䡁䅁䅤灂䝁䄸杢穂䑁䅯睑ㅂ䡁䅉杣㥁䙁䅕睕䕂䍁䅷䅉乂䝁䅅睚㥁䕁䄰兡獂䝁䅷兡療䝁䄴督獁䍁䅁杔䉂䑁䄰兌瑁䅁䅁兕䅁䅁䄴䅁䑂䙁䅫杍睁䑁䅉李䅁䉁䅕䅁浂䅁䅁睑婂䑁䅉䅍祁䑁䅑䅎ㅁ䑁䅙兎㑁䕁䄸䅣あ䝁䅫睢畂䡁䅍杏䑂䡁䅕杣祂䑁䄰兖呂䕁䅑䅌杁䕁䄰兙湂䑁䄰兔灂䝁䅷䅢灂䝁䄸杢穂䍁䅷䅉佂䕁䅅児佂䙁䅕䅔䵂䅁䅁兖䅁䕁䅙䅁䑂䙁䅫杍睁䑁䅉䅎ぁ䑁䅕李ㅁ䑁䅧睔睂䡁䅑兡療䝁䄴督㙁䕁䅍兤祂䡁䅉児噂䙁䅍䅒獁䍁䅁杔䉂䑁䄰兌瑁䅁䅁䅘䅁䕁䅯䅁偂䡁䅁䅤灂䝁䄸杢穂䑁䅯睑ㅂ䡁䅉杣㥁䙁䅉党睂䝁䄸杣あ䝁䅕䅚杁䕁䅍兤祂䡁䅉党畂䝁䅍入獁䕁䄴兑㥁䍁䄰兌䅁䑁䅯䅁佁䅁䅁睑婂䑁䅉䅍祁䑁䅕䅁啁䅁䅁䅃䅁䕁䅙兕睁䅁䅁睄䅁䑁䅑䅁䑂䙁䅫杍睁䑁䅉兎ぁ䑁䅕李ㅁ䑁䅧睔睂䡁䅑兡療䝁䄴督㙁䍁䅁杔䉂䑁䄰兌瑁䅁䅁睕䅁䙁䅑䅁䱂䝁䄴兡湂䝁䅧䅤瑁䙁䅍睤灂䝁䅙䅤杁䙁䅑杣桂䝁䄴督睂䝁䄸杣あ䝁䅅䅤灂䝁䄸杢杁䕁䅧睢獂䝁䅑兡畂䝁䅣督杁䕁䅫杢橂䍁䄴䅁潁䅁䅁杚䅁䕁䅍兗祁䑁䅁杍ㅁ䑁䅑兎㉁䑁䅕䅏偂䡁䅁䅤灂䝁䄸杢穂䑁䅯睑ㅂ䡁䅉杣㥁䙁䅕睕䕂䍁䅷䅉乂䝁䅅睚㥁䕁䄰兡獂䝁䅷兡療䝁䄴督獁䍁䅁杔䉂䑁䄰杔噂䕁䅷䅔䅁䙁䅙䅁䭂䅁䅁睑婂䑁䅉䅍祁䑁䅕䅎ㅁ䑁䅙兎㑁䕁䄸䅣あ䝁䅫睢畂䡁䅍杏䑂䡁䅕杣祂䑁䄰兖呂䕁䅑䅌杁䕁䄴兑㥁䕁䄴兖䵂䕁䅷䅁婂䅁䅁杈䅁䕁䄴兑呂䕁䅑兑剂䕁䅣睕㙁䕁䄰杕啂䕁䄴䅉䅁䍁䄰䅁楂䅁䅁睑婂䑁䅉䅍祁䑁䅙䅎ㅁ䑁䅙兎㑁䕁䄸䅣あ䝁䅫睢畂䡁䅍杏䑂䡁䅕杣祂䑁䄰兖呂䕁䅑䅌杁䕁䄰兙湂䑁䄰兔灂䝁䅷䅢灂䝁䄸杢穂䍁䅷䅉佂䕁䅅児瑁䍁䄰䅁扂䅁䅁杚䅁䕁䅍兗祁䑁䅁杍㉁䑁䅑兎㉁䑁䅕䅏偂䡁䅁䅤灂䝁䄸杢穂䑁䅯睑ㅂ䡁䅉杣㥁䙁䅕睕䕂䍁䅷䅉乂䝁䅅睚㥁䕁䄰兡獂䝁䅷兡療䝁䄴督獁䍁䅁杔䉂䑁䄰杔噂䕁䅷䅔䅁䙁䅣䅁佁䅁䅁睑婂䑁䅉䅍祁䑁䅣䅁桂䅁䅁杅䅁䕁䄴兗呂䕁䅕杏䩂䕁䅉兔䅁䕁䅣䅁䭂䅁䅁睑婂䑁䅉䅍祁䑁䅙䅎ㅁ䑁䅙兎㑁䕁䄸䅣あ䝁䅫睢畂䡁䅍杏䑂䡁䅕杣祂䑁䄰兖呂䕁䅑䅌杁䕁䄴兑㥁䕁䄴兖䵂䕁䅷䅁慂䅁䅁䅍䅁䕁䅧党桂䡁䅉䅤獂䝁䅅杢歂䍁䅁兒㑂䡁䅁杣求䡁䅍督獁䍁䅁兓畂䝁䅍杌䅁䍁䅷䅁䥁䅁䅁兓䍂䕁䄰䅁䩂䅁䅁䅈䅁䕁䅫兕時䕁䅍兑呂䕁䅧睘䙂䙁䅅兖䩂䙁䅙䅁㥁䅁䅁杈䅁䕁䄸䅣あ䝁䅫睢畂䡁䅍杏杁䕁䄴兑㥁䕁䄴兑䅁䅁䅍䅁歁䅁䅁兓剂䙁䄸睑䉂䙁䅍䅓時䙁䅍䅖時䕁䅫杔坂䕁䅕睕啂䅁䅁充䅁䉁䅷䅁佂䕁䅅睕䕂䕁䅅兕䡂䙁䅍杏䥂䙁䅑䅔䕂䅁䅁睋䅁䅁䄴䅁䩂䙁䅅睘啂䕁䅕杖䅁䅁䅷䅁佂䅁䅁睔睂䡁䅑兡療䝁䄴督㙁䍁䅁睑ㅂ䡁䅉杣㥁䙁䅕睕䕂䍁䅷䅉乂䝁䅅睚㥁䕁䄰兡獂䝁䅷兡療䝁䄴督獁䍁䅁杔䉂䑁䄰兌瑁䅁䅁䅏䅁䉁䅷䅁䩂䙁䅅睘啂䕁䄸䅖䉂䕁䅷睘䕂䕁䅕村啂䅁䅁杘䅁䙁䅁䅁偂䡁䅁䅤灂䝁䄸杢穂䑁䅯䅉䑂䡁䅕杣祂䑁䄰兖呂䕁䅑䅌杁䕁䄰兙湂䑁䄰䅖潂䝁䄸兤穂䝁䅅杢歂䡁䅍䅌杁䕁䄴兑㥁䕁䄴兑䅁䉁䄰䅁捁䅁䅁睔睂䡁䅑兡療䝁䄴督㙁䍁䅁杔䉂䑁䄰兌䅁䑁䅍䅁杁䅁䅁兓剂䙁䄸䅖偂䙁䅑兑䵂䙁䄸兒剂䙁䅕兓啂䙁䅫䅁摂䅁䅁䅗䅁䕁䅫杢あ䝁䅕杣畂䝁䅅䅤灂䝁䄸杢桂䝁䅷䅉䍂䡁䅕督灂䝁䄴党穂䡁䅍䅉乂䝁䅅睙潂䝁䅫杢求䡁䅍䅉䑂䝁䄸杣睂䝁䄸杣桂䡁䅑兡療䝁䄴䅁䭂䅁䅁杒䅁䕁䅯杌䍂䍁䄴䅉䥂䡁䅕杢あ䍁䅁䅖祂䝁䅅杢穂䡁䅁睢祂䡁䅑䅉呂䝁䅕杣㉂䝁䅫睙求䡁䅍䅌杁䕁䅫杢橂䍁䄴䅁楁䅁䅁䅃䅁䕁䅯䅕乂䅁䅁兔䅁䅁䅙䅁佂䕁䅅䅁塁䅁䅁杌䅁䕁䄰兙祂䡁䅑党畂䍁䅁䅖祂䝁䅅杢穂䡁䅁睢祂䡁䅑䅌杁䕁䅷䅤歂䍁䄴䅁畁䅁䅁䅊䅁䕁䄰兤獂䝁䅷党畂䍁䅁睒祂䝁䄸兤睂䍁䅁䅔あ䝁䅑杌䅁䍁䅁䅁佁䅁䅁睑婂䑁䅉䅍祁䑁䅧䅁牂䅁䅁杈䅁䕁䄴兑呂䕁䅑兑剂䕁䅣睕㙁䕁䅯村䥂䙁䅑䅉䅁䍁䅅䅁兂䅁䅁睔睂䡁䅑兡療䝁䄴督㙁䍁䅁睑ㅂ䡁䅉杣㥁䙁䅕睕䕂䍁䅷䅉乂䝁䅅睚㥁䙁䅑䅡療䡁䅕督桂䝁䄴䅚穂䍁䅷䅉佂䕁䅅児瑁䍁䄰䅁㝁䅁䅁䅈䅁䕁䄴兑呂䕁䅑兑剂䕁䅣睕㙁䙁䅣兒卂䕁䄴䅁灁䅁䅁䅅䅁䙁䅑睕奂䑁䅯兔啂䕁䅷䅁晁䅁䅁䅆䅁䕁䄴兗呂䕁䅕杏呂䕁䄴䅒卂䅁䅁睉䅁䉁䄴䅁偂䡁䅁䅤灂䝁䄸杢穂䑁䅯䅉佂䕁䅅児瑁䍁䄰䅁ㅁ䅁䅁权䅁䕁䄴兖䵂䕁䅷䅁䑂䅁䅁䅆䅁䕁䄴兗呂䕁䅕杏䱂䕁䄴䅗杁䅁䅁睊䅁䉁䅉䅁佂䙁䅫睕䙂䑁䅯䅗兂䕁䄸䅁汁䅁䅁杔䅁䕁䄸䅣あ䝁䅫睢畂䡁䅍杏杁䍁䅁睑ㅂ䡁䅉杣㥁䙁䅉党睂䝁䄸杣あ䝁䅕䅚杁䕁䅍兤祂䡁䅉党畂䝁䅍入獁䕁䄴兑㥁䕁䄴兑䅁䍁䄸䅁祁䅁䅁睔睂䡁䅑兡療䝁䄴督㙁䍁䅁睑ㅂ䡁䅉杣㥁䕁䅕兖卂䍁䅷䅉佂䕁䅅児佂䕁䅅䅁扁䅁䅁杔䅁䕁䄸䅣あ䝁䅫睢畂䡁䅍杏杁䕁䅍兤祂䡁䅉児噂䙁䅍䅒獁䍁䅁兔桂䝁䅣児乂䝁䅫䅢獂䝁䅫睢畂䡁䅍䅌杁䕁䄴兑㥁䕁䄴兑䅁䅁䅳䅁祁䅁䅁睔睂䡁䅑兡療䝁䄴督㙁䍁䅁睑ㅂ䡁䅉杣㥁䙁䅕睕䕂䍁䅷䅉佂䕁䅅児瑁䍁䄰䅁㍁䅁䅁杍䅁䕁䄸䅣あ䝁䅫睢畂䡁䅍杏杁䕁䅍兤祂䡁䅉児噂䙁䅍䅒獁䍁䅁杔䉂䑁䄰杔䉂䅁䅁睂䅁䍁䅉䅁偂䡁䅁䅤灂䝁䄸杢穂䑁䅯䅉佂䕁䅅児佂䙁䅕䅔䵂䅁䅁兒䅁䍁䅉䅁偂䡁䅁䅤灂䝁䄸杢穂䑁䅯䅉佂䕁䅅児佂䡁䅕䅢獂䅁䅁兏䅁䍁䄴䅁偂䡁䅁䅤灂䝁䄸杢穂䑁䅯睑ㅂ䡁䅉杣㥁䕁䅍兑䕂䍁䅷杔䉂䑁䄰兌瑁䅁䅁睓䅁䕁䅯䅁偂䡁䅁䅤灂䝁䄸杢穂䑁䅯睑ㅂ䡁䅉杣㥁䙁䅉党睂䝁䄸杣あ䝁䅕䅚杁䕁䅍兤祂䡁䅉党畂䝁䅍入獁䕁䄴兑㥁䕁䄴兑䅁䑁䅅䅁䵂䅁䅁睔睂䡁䅑兡療䝁䄴督㙁䕁䅍兤祂䡁䅉児噂䙁䅍䅒獁䍁䅁兔桂䝁䅣児乂䝁䅫䅢獂䝁䅫睢畂䡁䅍䅌杁䕁䄴兑㥁䍁䄰兌䅁䕁䅁䅁兂䅁䅁睔睂䡁䅑兡療䝁䄴督㙁䕁䅍兤祂䡁䅉児噂䙁䅍䅒獁䍁䅁兔桂䝁䅣児乂䝁䅫䅢獂䝁䅫睢畂䡁䅍䅌杁䕁䄴兑㥁䕁䄴兖瑁䍁䄰䅁䥂䅁䅁䅕䅁䕁䄸䅣あ䝁䅫睢畂䡁䅍杏䑂䡁䅕杣祂䑁䄰兖呂䕁䅑䅌杁䕁䄰兙湂䑁䄰兔灂䝁䅷䅢灂䝁䄸杢穂䍁䅷䅉佂䕁䅅児佂䙁䅕䅔䵂䅁䅁䅒䅁䑁䅁䅁偂䡁䅁䅤灂䝁䄸杢穂䑁䅯睑ㅂ䡁䅉杣㥁䙁䅕睕䕂䍁䅷䅉佂䕁䅅児瑁䍁䄰䅁䉂䅁䅁䅎䅁䕁䄸䅣あ䝁䅫睢畂䡁䅍杏䑂䡁䅕杣祂䑁䄰兖呂䕁䅑䅌杁䕁䄴兑㥁䕁䄴兖䵂䕁䅷䅁䍂䅁䅁杌䅁䕁䄸䅣あ䝁䅫睢畂䡁䅍杏䑂䡁䅕杣祂䑁䄰兖呂䕁䅑䅌佂䕁䅅児瑁䍁䄰䅁䵂䅁䅁䅈䅁䕁䄸䅣あ䝁䅫睢畂䡁䅍杏佂䕁䅅児佂䕁䅅䅁睁䅁䅁䅈䅁䙁䅍䅕時䕁䅍兑呂䕁䅧睘䙂䙁䅅兖䩂䙁䅙䅁⭁䅁䅁䅇䅁䙁䅍䅕時䕁䅍杒兂䙁䅍睘䙂䙁䅍䅖䅁䉁䅷䅁杁䅁䅁睕兂䙁䄸睑偂䕁䄰䅕䉂䕁䄴兗時䕁䄴兑乂䕁䅕䅁䅁䅁䅁杇䅁䙁䅍䅕時䕁䅑兓坂䙁䄸兗䩂䕁䅕䅔䕂䅁䅁兄䅁䉁䅷䅁呂䙁䅁睘䙂䕁䅉兓啂䕁䅑兑時䕁䅕睕啂䅁䅁兇䅁䉁䅙䅁呂䙁䅁睘䙂䙁䅁睕時䕁䅕睕啂䅁䅁杇䅁䍁䅧䅁呂䙁䅁睘䡂䙁䅉睔呂䙁䅍睘乂䕁䅅杕䡂䕁䅫杔時䕁䅕睕啂䅁䅁杆䅁䑁䅁䅁呂䙁䅁睘䡂䙁䅉睔呂䙁䅍睘乂䕁䅅杕䡂䕁䅫杔時䕁䄴兖乂䙁䄸兒呂䙁䅑䅁奁䅁䅁杉䅁䙁䅍䅕時䕁䅷兑呂䙁䅑睕䉂䕁䅷兒兂䙁䅉兓䑂䕁䅕䅁䍁䅁䅁杇䅁䙁䅍䅕時䕁䄰兑卂䕁䅳兒啂䕁䅍兑兂䅁䅁权䅁䉁䄴䅁呂䙁䅁睘兂䙁䅉兓䑂䕁䅕睘䑂䕁䅷睔呂䕁䅕䅁時䅁䅁杆䅁䙁䅍䅕時䙁䅉兒坂䙁䄸兒呂䙁䅑䅁十䅁䅁䅈䅁䙁䅍䅕時䙁䅑睔啂䕁䅅䅔時䕁䅑兒䍂䙁䅑䅁允䅁䅁䅉䅁䙁䅍䅕時䙁䅑睔啂䕁䅅䅔時䕁䅕兕噂䕁䅫䅖婂䅁䅁杄䅁䍁䅧䅁呂䙁䅁睘啂䙁䅉兑䕂䕁䅫杔䡂䙁䄸睑噂䙁䅉杕䙂䕁䄴睑婂䅁䅁䅃䅁䑁䅉䅁呂䝁䅍䅡畂䝁䅕兡歂䝁䅕杣杁䕁䄴兙あ䝁䅫睢畂䝁䅅䅢獁䍁䅁兓畂䝁䅍杌䅁䍁䅑䅁畁䅁䅁䅖䝂䕁䅫䅉䩂䝁䄴䅤求䡁䅉杢桂䡁䅑兡療䝁䄴兙獂䍁䅁兓畂䝁䅍杌䅁䅁䅅䅁十䅁䅁䅖呂䙁䅧杏啂䕁䅙兓䩂䅁䅁杈䅁䅁䅧䅁噂䙁䅍䅒䅁䑁䅉䅁祁䅁䅁睖求䡁䅉杢求䡁䅉䅉䙂䝁䄴䅤求䡁䅉䅣祂䝁䅫督求䡁䅍䅌杁䕁䅫杢橂䍁䄴䅁煁䅁䅁䅆䅁䙁䅧䅕偂䍁䅷䅉䩂䝁䄴睙畁䅁䅁杊䅁䅁䄴䅁橂䡁䅫杍睁䑁䅉兎䅁䝁䅁䅁佁䅁䅁兓剂䙁䄸杕䙂䙁䅙䅁楂䅁䅁䅃䅁䕁䅷䅖乂䅁䅁睙䅁䉁䅑䅁呂䙁䅁睘䙂䕁䅉兓啂䕁䅑兑䅁䝁䅑䅁十䅁䅁䅖呂䙁䅧杏偂䙁䅑兒奂䅁䅁党䅁䍁䅷䅁偂䡁䅁党畂䍁䅁䅖求䡁䅧䅤杁䕁䅍睢祂䡁䅁睢祂䝁䅅䅤灂䝁䄸杢䅁䝁䅙䅁睁䅁䅁睔睂䡁䅑兡療䝁䄴督㙁䕁䅍兤祂䡁䅉児䑂䕁䅅䅒獁䍁䅁杔䉂䑁䄰兌瑁䅁䅁睚䅁䕁䅷䅁偂䡁䅁䅤灂䝁䄸杢穂䑁䅯睑ㅂ䡁䅉杣㥁䕁䅍兑䕂䍁䅷䅉乂䝁䅅睚㥁䕁䄰兡獂䝁䅷兡療䝁䄴督獁䍁䅁杔䉂䑁䄰兌瑁䅁䅁䅡䅁䍁䅁䅁呂䙁䅁睘䡂䙁䅉睔呂䙁䅍睘乂䕁䅅杕䡂䕁䅫杔䅁䝁䅫䅁煁䅁䅁睉䩂䕁䄴杖䉂䕁䅷兓䕂䍁䅁兔䙂䙁䅑杕䩂䕁䅍䅉佂䕁䅅兔䙂䅁䅁条䅁䉁䅙䅁䉂䡁䅁䅣獂䝁䅕䅉䩂䝁䄴睙畁䅁䅁兢䅁䉁䅷䅁佂䕁䅅睕䕂䕁䅅兕䡂䙁䅍杏䉂䕁䅅䅕䵂䅁䅁䅢䅁䑁䅑䅁䩂䙁䅅睘䍂䕁䅅睕䩂䕁䅍睘䙂䙁䅁睕時䕁䅉兒䝂䕁䄸杕䙂䙁䄸兒奂䙁䅑杕䉂䅁䅁杢䅁䅁䄴䅁䩂䙁䅅睘卂䕁䄸兒䅁䝁䄸䅁䥁䅁䅁杕偂䕁䅕䅁睂䅁䅁䅅䅁䕁䅫兕時䕁䅉杖兂䙁䅍䅁硂䅁䅁杅䅁䕁䅫兕時䙁䅑村坂䙁䅁睕䅁䡁䅉䅁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</si>
</sst>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mm\.\ d\,\ yyyy"/>
    <numFmt numFmtId="165" formatCode="0.0\x_);\(0.0\x\);&quot;-- &quot;"/>
    <numFmt numFmtId="166" formatCode="&quot;$&quot;#,##0.00_);\(&quot;$&quot;#,##0.00\);&quot;-- &quot;"/>
    <numFmt numFmtId="167" formatCode="&quot;$&quot;#,##0_);\(&quot;$&quot;#,##0\);&quot;-- &quot;"/>
    <numFmt numFmtId="168" formatCode="0.0%_);\(0.0%\);&quot;-- &quot;"/>
    <numFmt numFmtId="169" formatCode="&quot;$&quot;#,##0.0_);\(&quot;$&quot;#,##0.0\);&quot;-- &quot;"/>
    <numFmt numFmtId="170" formatCode="#,##0.0%_);\(#,##0.0%\);&quot;--&quot;"/>
    <numFmt numFmtId="171" formatCode="#,##0.0_);\(#,##0.0\);&quot;--&quot;"/>
    <numFmt numFmtId="172" formatCode="#,##0.0\x_);\(#,##0.0\x\);&quot;--&quot;"/>
  </numFmts>
  <fonts count="21" x14ac:knownFonts="1">
    <font>
      <sz val="11"/>
      <color theme="1"/>
      <name val="Calibri"/>
      <family val="2"/>
      <scheme val="minor"/>
    </font>
    <font>
      <sz val="11"/>
      <color theme="1"/>
      <name val="Calibri"/>
      <family val="2"/>
      <scheme val="minor"/>
    </font>
    <font>
      <sz val="9"/>
      <color theme="1"/>
      <name val="Arial"/>
      <family val="2"/>
    </font>
    <font>
      <sz val="9"/>
      <color rgb="FF0000FF"/>
      <name val="Palatino Linotype"/>
      <family val="1"/>
    </font>
    <font>
      <sz val="9"/>
      <color theme="1"/>
      <name val="Palatino Linotype"/>
      <family val="1"/>
    </font>
    <font>
      <b/>
      <i/>
      <sz val="9"/>
      <color theme="0"/>
      <name val="Palatino Linotype"/>
      <family val="1"/>
    </font>
    <font>
      <sz val="9"/>
      <color theme="0"/>
      <name val="Palatino Linotype"/>
      <family val="1"/>
    </font>
    <font>
      <b/>
      <sz val="9"/>
      <color theme="0"/>
      <name val="Palatino Linotype"/>
      <family val="1"/>
    </font>
    <font>
      <b/>
      <u val="singleAccounting"/>
      <sz val="9"/>
      <color theme="0"/>
      <name val="Palatino Linotype"/>
      <family val="1"/>
    </font>
    <font>
      <sz val="11"/>
      <color theme="1"/>
      <name val="Palatino Linotype"/>
      <family val="2"/>
    </font>
    <font>
      <sz val="9"/>
      <color rgb="FF000000"/>
      <name val="Palatino Linotype"/>
      <family val="1"/>
    </font>
    <font>
      <sz val="9"/>
      <color rgb="FF800080"/>
      <name val="Palatino Linotype"/>
      <family val="1"/>
    </font>
    <font>
      <sz val="9"/>
      <name val="Palatino Linotype"/>
      <family val="1"/>
    </font>
    <font>
      <b/>
      <sz val="9"/>
      <color theme="1"/>
      <name val="Palatino Linotype"/>
      <family val="1"/>
    </font>
    <font>
      <b/>
      <sz val="9"/>
      <color rgb="FF0000FF"/>
      <name val="Palatino Linotype"/>
      <family val="1"/>
    </font>
    <font>
      <b/>
      <sz val="9"/>
      <color rgb="FF000000"/>
      <name val="Palatino Linotype"/>
      <family val="1"/>
    </font>
    <font>
      <b/>
      <u val="singleAccounting"/>
      <sz val="9"/>
      <color theme="1"/>
      <name val="Palatino Linotype"/>
      <family val="1"/>
    </font>
    <font>
      <sz val="6"/>
      <color rgb="FF000000"/>
      <name val="Arial"/>
      <family val="2"/>
    </font>
    <font>
      <b/>
      <u/>
      <sz val="9"/>
      <color rgb="FF000000"/>
      <name val="Palatino Linotype"/>
      <family val="1"/>
    </font>
    <font>
      <sz val="9"/>
      <color rgb="FFFF0000"/>
      <name val="Palatino Linotype"/>
      <family val="1"/>
    </font>
    <font>
      <b/>
      <sz val="9"/>
      <color rgb="FFFF0000"/>
      <name val="Palatino Linotype"/>
      <family val="1"/>
    </font>
  </fonts>
  <fills count="9">
    <fill>
      <patternFill patternType="none"/>
    </fill>
    <fill>
      <patternFill patternType="gray125"/>
    </fill>
    <fill>
      <patternFill patternType="solid">
        <fgColor rgb="FFFFFFCC"/>
      </patternFill>
    </fill>
    <fill>
      <patternFill patternType="solid">
        <fgColor theme="4"/>
        <bgColor indexed="64"/>
      </patternFill>
    </fill>
    <fill>
      <patternFill patternType="solid">
        <fgColor theme="9"/>
        <bgColor indexed="64"/>
      </patternFill>
    </fill>
    <fill>
      <patternFill patternType="solid">
        <fgColor theme="8"/>
        <bgColor indexed="64"/>
      </patternFill>
    </fill>
    <fill>
      <patternFill patternType="solid">
        <fgColor rgb="FFFFFFCC"/>
        <bgColor indexed="64"/>
      </patternFill>
    </fill>
    <fill>
      <patternFill patternType="solid">
        <fgColor rgb="FFFFFFCC"/>
        <bgColor rgb="FF000000"/>
      </patternFill>
    </fill>
    <fill>
      <patternFill patternType="solid">
        <fgColor theme="5"/>
        <bgColor indexed="64"/>
      </patternFill>
    </fill>
  </fills>
  <borders count="8">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top/>
      <bottom style="thin">
        <color rgb="FF000000"/>
      </bottom>
      <diagonal/>
    </border>
    <border>
      <left/>
      <right/>
      <top style="thin">
        <color indexed="64"/>
      </top>
      <bottom/>
      <diagonal/>
    </border>
    <border>
      <left/>
      <right/>
      <top style="thin">
        <color rgb="FF000000"/>
      </top>
      <bottom/>
      <diagonal/>
    </border>
  </borders>
  <cellStyleXfs count="5">
    <xf numFmtId="0" fontId="0" fillId="0" borderId="0"/>
    <xf numFmtId="0" fontId="1" fillId="2" borderId="1" applyNumberFormat="0" applyFont="0" applyAlignment="0" applyProtection="0"/>
    <xf numFmtId="0" fontId="2" fillId="0" borderId="0"/>
    <xf numFmtId="0" fontId="9" fillId="0" borderId="0"/>
    <xf numFmtId="0" fontId="2" fillId="0" borderId="0"/>
  </cellStyleXfs>
  <cellXfs count="83">
    <xf numFmtId="0" fontId="0" fillId="0" borderId="0" xfId="0"/>
    <xf numFmtId="0" fontId="3" fillId="0" borderId="0" xfId="2" applyFont="1" applyAlignment="1">
      <alignment horizontal="center"/>
    </xf>
    <xf numFmtId="0" fontId="4" fillId="0" borderId="0" xfId="2" applyFont="1"/>
    <xf numFmtId="0" fontId="5" fillId="3" borderId="0" xfId="2" applyFont="1" applyFill="1"/>
    <xf numFmtId="0" fontId="6" fillId="3" borderId="0" xfId="2" applyFont="1" applyFill="1"/>
    <xf numFmtId="0" fontId="7" fillId="3" borderId="0" xfId="2" applyFont="1" applyFill="1" applyAlignment="1">
      <alignment horizontal="center"/>
    </xf>
    <xf numFmtId="0" fontId="8" fillId="3" borderId="0" xfId="2" applyFont="1" applyFill="1" applyAlignment="1">
      <alignment horizontal="centerContinuous"/>
    </xf>
    <xf numFmtId="0" fontId="7" fillId="3" borderId="0" xfId="2" applyFont="1" applyFill="1"/>
    <xf numFmtId="15" fontId="7" fillId="3" borderId="0" xfId="2" applyNumberFormat="1" applyFont="1" applyFill="1" applyAlignment="1">
      <alignment horizontal="center"/>
    </xf>
    <xf numFmtId="0" fontId="3" fillId="0" borderId="0" xfId="2" applyFont="1" applyAlignment="1">
      <alignment horizontal="center" vertical="center"/>
    </xf>
    <xf numFmtId="0" fontId="4" fillId="0" borderId="0" xfId="2" applyFont="1" applyAlignment="1">
      <alignment vertical="center"/>
    </xf>
    <xf numFmtId="0" fontId="3" fillId="0" borderId="0" xfId="2" applyFont="1" applyAlignment="1">
      <alignment horizontal="left" vertical="center"/>
    </xf>
    <xf numFmtId="166" fontId="10" fillId="0" borderId="0" xfId="3" applyNumberFormat="1" applyFont="1" applyAlignment="1">
      <alignment horizontal="right" vertical="center"/>
    </xf>
    <xf numFmtId="166" fontId="11" fillId="0" borderId="0" xfId="2" applyNumberFormat="1" applyFont="1" applyAlignment="1">
      <alignment horizontal="right" vertical="center"/>
    </xf>
    <xf numFmtId="166" fontId="11" fillId="0" borderId="0" xfId="2" applyNumberFormat="1" applyFont="1" applyAlignment="1">
      <alignment horizontal="right" vertical="center" indent="2"/>
    </xf>
    <xf numFmtId="165" fontId="10" fillId="0" borderId="0" xfId="0" applyNumberFormat="1" applyFont="1" applyAlignment="1">
      <alignment horizontal="right" vertical="center" indent="1"/>
    </xf>
    <xf numFmtId="168" fontId="4" fillId="0" borderId="0" xfId="2" applyNumberFormat="1" applyFont="1" applyAlignment="1">
      <alignment horizontal="right" vertical="center" indent="1"/>
    </xf>
    <xf numFmtId="165" fontId="4" fillId="0" borderId="0" xfId="2" applyNumberFormat="1" applyFont="1" applyAlignment="1">
      <alignment horizontal="right" vertical="center" indent="1"/>
    </xf>
    <xf numFmtId="167" fontId="11" fillId="0" borderId="0" xfId="2" applyNumberFormat="1" applyFont="1" applyAlignment="1">
      <alignment horizontal="right" vertical="center"/>
    </xf>
    <xf numFmtId="169" fontId="11" fillId="0" borderId="0" xfId="2" applyNumberFormat="1" applyFont="1" applyAlignment="1">
      <alignment horizontal="right" vertical="center"/>
    </xf>
    <xf numFmtId="166" fontId="12" fillId="0" borderId="0" xfId="3" applyNumberFormat="1" applyFont="1" applyAlignment="1">
      <alignment horizontal="right" vertical="center"/>
    </xf>
    <xf numFmtId="167" fontId="11" fillId="0" borderId="0" xfId="2" applyNumberFormat="1" applyFont="1" applyAlignment="1">
      <alignment horizontal="right" vertical="center" indent="1"/>
    </xf>
    <xf numFmtId="167" fontId="11" fillId="0" borderId="0" xfId="0" applyNumberFormat="1" applyFont="1" applyAlignment="1">
      <alignment horizontal="right" vertical="center" indent="1"/>
    </xf>
    <xf numFmtId="0" fontId="13" fillId="4" borderId="2" xfId="2" applyFont="1" applyFill="1" applyBorder="1" applyAlignment="1">
      <alignment vertical="center"/>
    </xf>
    <xf numFmtId="0" fontId="13" fillId="4" borderId="2" xfId="2" applyFont="1" applyFill="1" applyBorder="1" applyAlignment="1">
      <alignment horizontal="right" vertical="center"/>
    </xf>
    <xf numFmtId="165" fontId="13" fillId="4" borderId="2" xfId="2" applyNumberFormat="1" applyFont="1" applyFill="1" applyBorder="1" applyAlignment="1">
      <alignment horizontal="right" vertical="center" indent="1"/>
    </xf>
    <xf numFmtId="0" fontId="4" fillId="0" borderId="0" xfId="2" applyFont="1" applyAlignment="1">
      <alignment horizontal="right" vertical="center"/>
    </xf>
    <xf numFmtId="0" fontId="14" fillId="0" borderId="0" xfId="2" applyFont="1" applyAlignment="1">
      <alignment horizontal="center" vertical="center"/>
    </xf>
    <xf numFmtId="0" fontId="13" fillId="0" borderId="0" xfId="2" applyFont="1" applyAlignment="1">
      <alignment vertical="center"/>
    </xf>
    <xf numFmtId="0" fontId="7" fillId="3" borderId="0" xfId="2" applyFont="1" applyFill="1" applyAlignment="1">
      <alignment horizontal="centerContinuous"/>
    </xf>
    <xf numFmtId="11" fontId="7" fillId="3" borderId="0" xfId="2" applyNumberFormat="1" applyFont="1" applyFill="1" applyAlignment="1">
      <alignment horizontal="center"/>
    </xf>
    <xf numFmtId="168" fontId="10" fillId="0" borderId="0" xfId="2" applyNumberFormat="1" applyFont="1" applyAlignment="1">
      <alignment horizontal="right" vertical="center" indent="1"/>
    </xf>
    <xf numFmtId="0" fontId="3" fillId="6" borderId="3" xfId="3" applyFont="1" applyFill="1" applyBorder="1" applyAlignment="1">
      <alignment horizontal="center" vertical="center"/>
    </xf>
    <xf numFmtId="165" fontId="15" fillId="4" borderId="2" xfId="2" applyNumberFormat="1" applyFont="1" applyFill="1" applyBorder="1" applyAlignment="1">
      <alignment horizontal="right" vertical="center" indent="1"/>
    </xf>
    <xf numFmtId="168" fontId="13" fillId="4" borderId="2" xfId="2" applyNumberFormat="1" applyFont="1" applyFill="1" applyBorder="1" applyAlignment="1">
      <alignment horizontal="right" vertical="center" indent="1"/>
    </xf>
    <xf numFmtId="0" fontId="4" fillId="0" borderId="0" xfId="2" applyFont="1" applyAlignment="1">
      <alignment horizontal="right"/>
    </xf>
    <xf numFmtId="166" fontId="11" fillId="0" borderId="0" xfId="2" applyNumberFormat="1" applyFont="1" applyAlignment="1">
      <alignment horizontal="center" vertical="center"/>
    </xf>
    <xf numFmtId="0" fontId="13" fillId="4" borderId="2" xfId="2" applyFont="1" applyFill="1" applyBorder="1" applyAlignment="1">
      <alignment horizontal="center" vertical="center"/>
    </xf>
    <xf numFmtId="0" fontId="4" fillId="0" borderId="0" xfId="2" applyFont="1" applyAlignment="1">
      <alignment horizontal="center" vertical="center"/>
    </xf>
    <xf numFmtId="0" fontId="8" fillId="3" borderId="0" xfId="4" applyFont="1" applyFill="1" applyAlignment="1">
      <alignment horizontal="centerContinuous" vertical="top"/>
    </xf>
    <xf numFmtId="170" fontId="4" fillId="0" borderId="0" xfId="2" applyNumberFormat="1" applyFont="1" applyAlignment="1">
      <alignment vertical="center"/>
    </xf>
    <xf numFmtId="170" fontId="13" fillId="0" borderId="0" xfId="2" applyNumberFormat="1" applyFont="1" applyAlignment="1">
      <alignment vertical="center"/>
    </xf>
    <xf numFmtId="0" fontId="7" fillId="5" borderId="0" xfId="2" applyFont="1" applyFill="1" applyAlignment="1">
      <alignment vertical="center"/>
    </xf>
    <xf numFmtId="165" fontId="7" fillId="5" borderId="0" xfId="2" applyNumberFormat="1" applyFont="1" applyFill="1" applyAlignment="1">
      <alignment horizontal="right" vertical="center" indent="1"/>
    </xf>
    <xf numFmtId="168" fontId="7" fillId="5" borderId="0" xfId="2" applyNumberFormat="1" applyFont="1" applyFill="1" applyAlignment="1">
      <alignment horizontal="right" vertical="center" indent="1"/>
    </xf>
    <xf numFmtId="0" fontId="4" fillId="0" borderId="6" xfId="2" applyFont="1" applyBorder="1" applyAlignment="1">
      <alignment vertical="center"/>
    </xf>
    <xf numFmtId="0" fontId="4" fillId="0" borderId="6" xfId="2" applyFont="1" applyBorder="1" applyAlignment="1">
      <alignment horizontal="right" vertical="center"/>
    </xf>
    <xf numFmtId="0" fontId="7" fillId="5" borderId="7" xfId="2" applyFont="1" applyFill="1" applyBorder="1" applyAlignment="1">
      <alignment vertical="center"/>
    </xf>
    <xf numFmtId="165" fontId="7" fillId="5" borderId="7" xfId="2" applyNumberFormat="1" applyFont="1" applyFill="1" applyBorder="1" applyAlignment="1">
      <alignment horizontal="right" vertical="center" indent="1"/>
    </xf>
    <xf numFmtId="168" fontId="7" fillId="5" borderId="7" xfId="2" applyNumberFormat="1" applyFont="1" applyFill="1" applyBorder="1" applyAlignment="1">
      <alignment horizontal="right" vertical="center" indent="1"/>
    </xf>
    <xf numFmtId="0" fontId="7" fillId="5" borderId="5" xfId="2" applyFont="1" applyFill="1" applyBorder="1" applyAlignment="1">
      <alignment vertical="center"/>
    </xf>
    <xf numFmtId="165" fontId="7" fillId="5" borderId="5" xfId="2" applyNumberFormat="1" applyFont="1" applyFill="1" applyBorder="1" applyAlignment="1">
      <alignment horizontal="right" vertical="center" indent="1"/>
    </xf>
    <xf numFmtId="168" fontId="7" fillId="5" borderId="5" xfId="2" applyNumberFormat="1" applyFont="1" applyFill="1" applyBorder="1" applyAlignment="1">
      <alignment horizontal="right" vertical="center" indent="1"/>
    </xf>
    <xf numFmtId="11" fontId="7" fillId="3" borderId="0" xfId="2" quotePrefix="1" applyNumberFormat="1" applyFont="1" applyFill="1" applyAlignment="1">
      <alignment horizontal="center"/>
    </xf>
    <xf numFmtId="4" fontId="17" fillId="0" borderId="0" xfId="0" applyNumberFormat="1" applyFont="1" applyAlignment="1">
      <alignment horizontal="right"/>
    </xf>
    <xf numFmtId="11" fontId="7" fillId="3" borderId="0" xfId="2" applyNumberFormat="1" applyFont="1" applyFill="1" applyAlignment="1">
      <alignment horizontal="left"/>
    </xf>
    <xf numFmtId="0" fontId="18" fillId="0" borderId="0" xfId="2" applyFont="1" applyAlignment="1">
      <alignment vertical="center"/>
    </xf>
    <xf numFmtId="0" fontId="10" fillId="0" borderId="0" xfId="2" applyFont="1" applyAlignment="1">
      <alignment horizontal="left" vertical="center"/>
    </xf>
    <xf numFmtId="0" fontId="3" fillId="7" borderId="3" xfId="1" applyNumberFormat="1" applyFont="1" applyFill="1" applyBorder="1" applyAlignment="1">
      <alignment horizontal="center" vertical="center"/>
    </xf>
    <xf numFmtId="170" fontId="7" fillId="5" borderId="7" xfId="2" applyNumberFormat="1" applyFont="1" applyFill="1" applyBorder="1" applyAlignment="1">
      <alignment horizontal="right" vertical="center" indent="1"/>
    </xf>
    <xf numFmtId="170" fontId="7" fillId="5" borderId="0" xfId="2" applyNumberFormat="1" applyFont="1" applyFill="1" applyAlignment="1">
      <alignment horizontal="right" vertical="center" indent="1"/>
    </xf>
    <xf numFmtId="170" fontId="7" fillId="5" borderId="5" xfId="2" applyNumberFormat="1" applyFont="1" applyFill="1" applyBorder="1" applyAlignment="1">
      <alignment horizontal="right" vertical="center" indent="1"/>
    </xf>
    <xf numFmtId="164" fontId="10" fillId="2" borderId="4" xfId="1" applyNumberFormat="1" applyFont="1" applyBorder="1" applyAlignment="1">
      <alignment horizontal="center" vertical="center"/>
    </xf>
    <xf numFmtId="0" fontId="3" fillId="2" borderId="3" xfId="1" applyNumberFormat="1" applyFont="1" applyBorder="1" applyAlignment="1">
      <alignment horizontal="center" vertical="center"/>
    </xf>
    <xf numFmtId="0" fontId="16" fillId="0" borderId="0" xfId="2" applyFont="1" applyAlignment="1">
      <alignment horizontal="centerContinuous" vertical="center"/>
    </xf>
    <xf numFmtId="165" fontId="3" fillId="2" borderId="4" xfId="1" applyNumberFormat="1" applyFont="1" applyBorder="1" applyAlignment="1">
      <alignment horizontal="right" vertical="center"/>
    </xf>
    <xf numFmtId="165" fontId="3" fillId="2" borderId="3" xfId="1" applyNumberFormat="1" applyFont="1" applyBorder="1" applyAlignment="1">
      <alignment horizontal="right" vertical="center"/>
    </xf>
    <xf numFmtId="171" fontId="10" fillId="0" borderId="0" xfId="2" applyNumberFormat="1" applyFont="1" applyAlignment="1">
      <alignment horizontal="center" vertical="center"/>
    </xf>
    <xf numFmtId="171" fontId="11" fillId="0" borderId="0" xfId="2" applyNumberFormat="1" applyFont="1" applyAlignment="1">
      <alignment horizontal="center" vertical="center"/>
    </xf>
    <xf numFmtId="171" fontId="4" fillId="0" borderId="0" xfId="2" applyNumberFormat="1" applyFont="1" applyAlignment="1">
      <alignment horizontal="center" vertical="center"/>
    </xf>
    <xf numFmtId="167" fontId="11" fillId="0" borderId="0" xfId="2" applyNumberFormat="1" applyFont="1" applyAlignment="1">
      <alignment horizontal="center" vertical="center"/>
    </xf>
    <xf numFmtId="170" fontId="11" fillId="0" borderId="0" xfId="2" applyNumberFormat="1" applyFont="1" applyAlignment="1">
      <alignment horizontal="center" vertical="center"/>
    </xf>
    <xf numFmtId="170" fontId="4" fillId="0" borderId="0" xfId="2" applyNumberFormat="1" applyFont="1" applyAlignment="1">
      <alignment horizontal="center" vertical="center"/>
    </xf>
    <xf numFmtId="167" fontId="4" fillId="0" borderId="0" xfId="2" applyNumberFormat="1" applyFont="1" applyAlignment="1">
      <alignment horizontal="center" vertical="center"/>
    </xf>
    <xf numFmtId="167" fontId="10" fillId="0" borderId="0" xfId="2" applyNumberFormat="1" applyFont="1" applyAlignment="1">
      <alignment horizontal="center" vertical="center"/>
    </xf>
    <xf numFmtId="166" fontId="10" fillId="0" borderId="0" xfId="2" applyNumberFormat="1" applyFont="1" applyAlignment="1">
      <alignment horizontal="center" vertical="center"/>
    </xf>
    <xf numFmtId="170" fontId="10" fillId="0" borderId="0" xfId="0" applyNumberFormat="1" applyFont="1" applyAlignment="1">
      <alignment horizontal="right" vertical="center" indent="1"/>
    </xf>
    <xf numFmtId="170" fontId="15" fillId="4" borderId="2" xfId="2" applyNumberFormat="1" applyFont="1" applyFill="1" applyBorder="1" applyAlignment="1">
      <alignment horizontal="right" vertical="center" indent="1"/>
    </xf>
    <xf numFmtId="0" fontId="7" fillId="8" borderId="0" xfId="4" applyFont="1" applyFill="1" applyAlignment="1">
      <alignment vertical="center"/>
    </xf>
    <xf numFmtId="0" fontId="19" fillId="8" borderId="0" xfId="2" applyFont="1" applyFill="1"/>
    <xf numFmtId="172" fontId="20" fillId="8" borderId="0" xfId="2" applyNumberFormat="1" applyFont="1" applyFill="1" applyAlignment="1">
      <alignment horizontal="center" vertical="center"/>
    </xf>
    <xf numFmtId="170" fontId="20" fillId="8" borderId="0" xfId="2" applyNumberFormat="1" applyFont="1" applyFill="1" applyAlignment="1">
      <alignment horizontal="center" vertical="center"/>
    </xf>
    <xf numFmtId="167" fontId="12" fillId="0" borderId="0" xfId="2" applyNumberFormat="1" applyFont="1" applyAlignment="1">
      <alignment horizontal="right" vertical="center"/>
    </xf>
  </cellXfs>
  <cellStyles count="5">
    <cellStyle name="Normal" xfId="0" builtinId="0"/>
    <cellStyle name="Normal 2" xfId="2" xr:uid="{00000000-0005-0000-0000-000001000000}"/>
    <cellStyle name="Normal 2 2 14" xfId="3" xr:uid="{00000000-0005-0000-0000-000002000000}"/>
    <cellStyle name="Normal 2 3" xfId="4" xr:uid="{1DC0D5DA-9B95-4ABB-BD56-633985D4BCF5}"/>
    <cellStyle name="Note" xfId="1" builtinId="10"/>
  </cellStyles>
  <dxfs count="7">
    <dxf>
      <numFmt numFmtId="173" formatCode="\C&quot;$&quot;#,##0.00_);\(&quot;$&quot;#,##0.00\)"/>
    </dxf>
    <dxf>
      <numFmt numFmtId="174" formatCode="[$€-2]#,##0.00_)"/>
    </dxf>
    <dxf>
      <numFmt numFmtId="173" formatCode="\C&quot;$&quot;#,##0.00_);\(&quot;$&quot;#,##0.00\)"/>
    </dxf>
    <dxf>
      <numFmt numFmtId="174" formatCode="[$€-2]#,##0.00_)"/>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1. INFOR (New)">
      <a:dk1>
        <a:sysClr val="windowText" lastClr="000000"/>
      </a:dk1>
      <a:lt1>
        <a:sysClr val="window" lastClr="FFFFFF"/>
      </a:lt1>
      <a:dk2>
        <a:srgbClr val="000000"/>
      </a:dk2>
      <a:lt2>
        <a:srgbClr val="FFFFFF"/>
      </a:lt2>
      <a:accent1>
        <a:srgbClr val="0E213F"/>
      </a:accent1>
      <a:accent2>
        <a:srgbClr val="46566E"/>
      </a:accent2>
      <a:accent3>
        <a:srgbClr val="ADB9CA"/>
      </a:accent3>
      <a:accent4>
        <a:srgbClr val="A4844B"/>
      </a:accent4>
      <a:accent5>
        <a:srgbClr val="767171"/>
      </a:accent5>
      <a:accent6>
        <a:srgbClr val="E5E3E3"/>
      </a:accent6>
      <a:hlink>
        <a:srgbClr val="800000"/>
      </a:hlink>
      <a:folHlink>
        <a:srgbClr val="33330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94ADD8-1419-4DE6-962A-2183003E5A3C}">
  <we:reference id="wa200009404" version="1.0.0.5" store="en-US" storeType="OMEX"/>
  <we:alternateReferences>
    <we:reference id="WA200009404" version="1.0.0.5" store="" storeType="OMEX"/>
  </we:alternateReferences>
  <we:properties>
    <we:property name="claude.fileId" value="&quot;0643bb8c-5127-4f1b-801a-8f91b7776b6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CC18-82C1-4217-8E64-2C394CDCE557}">
  <dimension ref="A1"/>
  <sheetViews>
    <sheetView workbookViewId="0"/>
  </sheetViews>
  <sheetFormatPr defaultRowHeight="14.4" x14ac:dyDescent="0.55000000000000004"/>
  <sheetData>
    <row r="1" spans="1:1" x14ac:dyDescent="0.55000000000000004">
      <c r="A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H44"/>
  <sheetViews>
    <sheetView showGridLines="0" tabSelected="1" view="pageBreakPreview" zoomScaleNormal="85" zoomScaleSheetLayoutView="100" workbookViewId="0">
      <pane xSplit="6" ySplit="7" topLeftCell="J8" activePane="bottomRight" state="frozen"/>
      <selection pane="topRight" activeCell="G1" sqref="G1"/>
      <selection pane="bottomLeft" activeCell="A11" sqref="A11"/>
      <selection pane="bottomRight"/>
    </sheetView>
  </sheetViews>
  <sheetFormatPr defaultColWidth="9.578125" defaultRowHeight="20.100000000000001" customHeight="1" outlineLevelRow="1" outlineLevelCol="1" x14ac:dyDescent="0.6"/>
  <cols>
    <col min="1" max="1" width="2.68359375" style="2" customWidth="1"/>
    <col min="2" max="2" width="19.26171875" style="1" customWidth="1"/>
    <col min="3" max="3" width="2.68359375" style="2" customWidth="1"/>
    <col min="4" max="6" width="11.41796875" style="2" customWidth="1"/>
    <col min="7" max="9" width="11.41796875" style="2" hidden="1" customWidth="1" outlineLevel="1"/>
    <col min="10" max="10" width="11.41796875" style="2" customWidth="1" collapsed="1"/>
    <col min="11" max="12" width="11.15625" style="2" customWidth="1"/>
    <col min="13" max="19" width="11.41796875" style="2" customWidth="1"/>
    <col min="20" max="20" width="2.578125" style="2" hidden="1" customWidth="1" outlineLevel="1"/>
    <col min="21" max="26" width="11.41796875" style="2" hidden="1" customWidth="1" outlineLevel="1"/>
    <col min="27" max="27" width="50.578125" style="2" customWidth="1" collapsed="1"/>
    <col min="28" max="28" width="2.68359375" style="2" customWidth="1"/>
    <col min="29" max="32" width="9.578125" style="2"/>
    <col min="33" max="33" width="1.578125" style="2" customWidth="1"/>
    <col min="34" max="37" width="9.578125" style="2"/>
    <col min="38" max="38" width="1.578125" style="2" customWidth="1"/>
    <col min="39" max="42" width="9.578125" style="2"/>
    <col min="43" max="43" width="1.578125" style="2" customWidth="1"/>
    <col min="44" max="44" width="9.578125" style="2" customWidth="1"/>
    <col min="45" max="45" width="1.578125" style="2" customWidth="1"/>
    <col min="46" max="46" width="9.578125" style="2" customWidth="1"/>
    <col min="47" max="47" width="1.578125" style="2" customWidth="1"/>
    <col min="48" max="48" width="9.578125" style="2" customWidth="1"/>
    <col min="49" max="49" width="1.578125" style="2" customWidth="1"/>
    <col min="50" max="55" width="9.578125" style="2"/>
    <col min="56" max="56" width="1.578125" style="2" customWidth="1"/>
    <col min="57" max="60" width="9.578125" style="2" customWidth="1"/>
    <col min="61" max="16384" width="9.578125" style="2"/>
  </cols>
  <sheetData>
    <row r="1" spans="2:60" ht="15" customHeight="1" x14ac:dyDescent="0.6"/>
    <row r="2" spans="2:60" ht="15" hidden="1" customHeight="1" outlineLevel="1" x14ac:dyDescent="0.6">
      <c r="E2" s="10" t="s">
        <v>33</v>
      </c>
      <c r="F2" s="62">
        <f ca="1">TODAY()-1</f>
        <v>46180</v>
      </c>
      <c r="K2" s="10"/>
      <c r="L2" s="64" t="s">
        <v>1</v>
      </c>
      <c r="M2" s="64"/>
      <c r="N2" s="64"/>
      <c r="O2" s="64" t="s">
        <v>2</v>
      </c>
      <c r="P2" s="64"/>
      <c r="Q2" s="64"/>
    </row>
    <row r="3" spans="2:60" ht="15" hidden="1" customHeight="1" outlineLevel="1" x14ac:dyDescent="0.6">
      <c r="E3" s="10" t="s">
        <v>0</v>
      </c>
      <c r="F3" s="63" t="s">
        <v>40</v>
      </c>
      <c r="G3" s="35"/>
      <c r="K3" s="10" t="s">
        <v>3</v>
      </c>
      <c r="L3" s="65">
        <v>0</v>
      </c>
      <c r="M3" s="65">
        <v>0</v>
      </c>
      <c r="N3" s="65">
        <v>0</v>
      </c>
      <c r="O3" s="65">
        <v>0</v>
      </c>
      <c r="P3" s="65">
        <v>0</v>
      </c>
      <c r="Q3" s="65">
        <v>0</v>
      </c>
      <c r="AA3" s="54"/>
    </row>
    <row r="4" spans="2:60" ht="15" hidden="1" customHeight="1" outlineLevel="1" x14ac:dyDescent="0.6">
      <c r="E4" s="10" t="s">
        <v>34</v>
      </c>
      <c r="F4" s="58">
        <v>2026</v>
      </c>
      <c r="K4" s="10" t="s">
        <v>4</v>
      </c>
      <c r="L4" s="66">
        <v>20</v>
      </c>
      <c r="M4" s="66">
        <v>20</v>
      </c>
      <c r="N4" s="66">
        <v>20</v>
      </c>
      <c r="O4" s="66">
        <v>50</v>
      </c>
      <c r="P4" s="66">
        <v>50</v>
      </c>
      <c r="Q4" s="66">
        <v>50</v>
      </c>
    </row>
    <row r="5" spans="2:60" ht="15" customHeight="1" collapsed="1" x14ac:dyDescent="0.6"/>
    <row r="6" spans="2:60" ht="14.5" customHeight="1" x14ac:dyDescent="0.9">
      <c r="D6" s="3" t="str">
        <f>"(In "&amp;IF(F3="USD","US","C")&amp;"$MM, unless otherwise noted)"</f>
        <v>(In C$MM, unless otherwise noted)</v>
      </c>
      <c r="E6" s="4"/>
      <c r="F6" s="4"/>
      <c r="G6" s="5" t="s">
        <v>5</v>
      </c>
      <c r="H6" s="5" t="s">
        <v>5</v>
      </c>
      <c r="I6" s="5" t="s">
        <v>6</v>
      </c>
      <c r="J6" s="5" t="s">
        <v>7</v>
      </c>
      <c r="K6" s="5" t="s">
        <v>8</v>
      </c>
      <c r="L6" s="6" t="s">
        <v>9</v>
      </c>
      <c r="M6" s="6"/>
      <c r="N6" s="6"/>
      <c r="O6" s="6" t="s">
        <v>10</v>
      </c>
      <c r="P6" s="6"/>
      <c r="Q6" s="6"/>
      <c r="R6" s="6" t="s">
        <v>27</v>
      </c>
      <c r="S6" s="29"/>
      <c r="T6" s="53"/>
      <c r="U6" s="6" t="s">
        <v>11</v>
      </c>
      <c r="V6" s="6"/>
      <c r="W6" s="6"/>
      <c r="X6" s="6" t="s">
        <v>42</v>
      </c>
      <c r="Y6" s="6" t="s">
        <v>45</v>
      </c>
      <c r="Z6" s="6" t="s">
        <v>46</v>
      </c>
      <c r="AA6" s="30"/>
      <c r="AC6" s="6" t="s">
        <v>13</v>
      </c>
      <c r="AD6" s="6"/>
      <c r="AE6" s="6"/>
      <c r="AF6" s="6"/>
      <c r="AH6" s="6" t="s">
        <v>14</v>
      </c>
      <c r="AI6" s="6"/>
      <c r="AJ6" s="6"/>
      <c r="AK6" s="6"/>
      <c r="AM6" s="6" t="s">
        <v>15</v>
      </c>
      <c r="AN6" s="6"/>
      <c r="AO6" s="6"/>
      <c r="AP6" s="6"/>
      <c r="AR6" s="5" t="s">
        <v>42</v>
      </c>
      <c r="AT6" s="5" t="s">
        <v>43</v>
      </c>
      <c r="AV6" s="5" t="s">
        <v>44</v>
      </c>
      <c r="AX6" s="5" t="s">
        <v>24</v>
      </c>
      <c r="AY6" s="5" t="s">
        <v>12</v>
      </c>
      <c r="AZ6" s="5"/>
      <c r="BA6" s="5" t="s">
        <v>28</v>
      </c>
      <c r="BB6" s="5"/>
      <c r="BC6" s="5"/>
      <c r="BE6" s="39" t="s">
        <v>30</v>
      </c>
      <c r="BF6" s="39"/>
      <c r="BG6" s="6"/>
      <c r="BH6" s="6"/>
    </row>
    <row r="7" spans="2:60" ht="14.5" customHeight="1" x14ac:dyDescent="0.6">
      <c r="D7" s="7" t="s">
        <v>16</v>
      </c>
      <c r="E7" s="4"/>
      <c r="F7" s="4"/>
      <c r="G7" s="8" t="str">
        <f ca="1">CONCATENATE("(",TEXT($F$2,"dd-mmm-yy"),")")</f>
        <v>(07-Jun-26)</v>
      </c>
      <c r="H7" s="8" t="str">
        <f>"("&amp;F3&amp;")"</f>
        <v>(CAD)</v>
      </c>
      <c r="I7" s="8" t="s">
        <v>17</v>
      </c>
      <c r="J7" s="5" t="s">
        <v>18</v>
      </c>
      <c r="K7" s="5" t="s">
        <v>19</v>
      </c>
      <c r="L7" s="5" t="s">
        <v>35</v>
      </c>
      <c r="M7" s="5" t="str">
        <f>"CY"&amp;$F$4&amp;"E"</f>
        <v>CY2026E</v>
      </c>
      <c r="N7" s="5" t="str">
        <f>"CY"&amp;$F$4+1&amp;"E"</f>
        <v>CY2027E</v>
      </c>
      <c r="O7" s="5" t="s">
        <v>35</v>
      </c>
      <c r="P7" s="5" t="str">
        <f>"CY"&amp;$F$4&amp;"E"</f>
        <v>CY2026E</v>
      </c>
      <c r="Q7" s="5" t="str">
        <f>"CY"&amp;$F$4+1&amp;"E"</f>
        <v>CY2027E</v>
      </c>
      <c r="R7" s="53" t="str">
        <f>RIGHT(AD7,2)&amp;"E-"&amp;RIGHT(AE7,2)&amp;"E"</f>
        <v>25E-26E</v>
      </c>
      <c r="S7" s="53" t="str">
        <f>RIGHT(AE7,2)&amp;"E-"&amp;RIGHT(AF7,2)&amp;"E"</f>
        <v>26E-27E</v>
      </c>
      <c r="T7" s="53"/>
      <c r="U7" s="5" t="s">
        <v>35</v>
      </c>
      <c r="V7" s="5" t="str">
        <f>"CY"&amp;$F$4&amp;"E"</f>
        <v>CY2026E</v>
      </c>
      <c r="W7" s="5" t="str">
        <f>"CY"&amp;$F$4+1&amp;"E"</f>
        <v>CY2027E</v>
      </c>
      <c r="X7" s="5" t="s">
        <v>35</v>
      </c>
      <c r="Y7" s="5" t="s">
        <v>47</v>
      </c>
      <c r="Z7" s="5" t="s">
        <v>47</v>
      </c>
      <c r="AA7" s="55" t="s">
        <v>36</v>
      </c>
      <c r="AC7" s="5" t="s">
        <v>35</v>
      </c>
      <c r="AD7" s="5" t="str">
        <f>"CY"&amp;$F$4-1</f>
        <v>CY2025</v>
      </c>
      <c r="AE7" s="5" t="str">
        <f>"CY"&amp;$F$4</f>
        <v>CY2026</v>
      </c>
      <c r="AF7" s="5" t="str">
        <f>"CY"&amp;$F$4+1</f>
        <v>CY2027</v>
      </c>
      <c r="AH7" s="5" t="s">
        <v>35</v>
      </c>
      <c r="AI7" s="5" t="str">
        <f>"CY"&amp;$F$4-1</f>
        <v>CY2025</v>
      </c>
      <c r="AJ7" s="5" t="str">
        <f>"CY"&amp;$F$4</f>
        <v>CY2026</v>
      </c>
      <c r="AK7" s="5" t="str">
        <f>"CY"&amp;$F$4+1</f>
        <v>CY2027</v>
      </c>
      <c r="AM7" s="5" t="s">
        <v>35</v>
      </c>
      <c r="AN7" s="5" t="str">
        <f>"CY"&amp;$F$4-1</f>
        <v>CY2025</v>
      </c>
      <c r="AO7" s="5" t="str">
        <f>"CY"&amp;$F$4</f>
        <v>CY2026</v>
      </c>
      <c r="AP7" s="5" t="str">
        <f>"CY"&amp;$F$4+1</f>
        <v>CY2027</v>
      </c>
      <c r="AR7" s="5" t="s">
        <v>35</v>
      </c>
      <c r="AT7" s="5" t="s">
        <v>35</v>
      </c>
      <c r="AV7" s="5" t="s">
        <v>35</v>
      </c>
      <c r="AX7" s="5" t="s">
        <v>25</v>
      </c>
      <c r="AY7" s="5" t="s">
        <v>19</v>
      </c>
      <c r="AZ7" s="5" t="s">
        <v>21</v>
      </c>
      <c r="BA7" s="5" t="s">
        <v>29</v>
      </c>
      <c r="BB7" s="5" t="s">
        <v>26</v>
      </c>
      <c r="BC7" s="5" t="s">
        <v>20</v>
      </c>
      <c r="BE7" s="5" t="s">
        <v>35</v>
      </c>
      <c r="BF7" s="5" t="str">
        <f>"CY"&amp;$F$4-1</f>
        <v>CY2025</v>
      </c>
      <c r="BG7" s="5" t="str">
        <f>"CY"&amp;$F$4</f>
        <v>CY2026</v>
      </c>
      <c r="BH7" s="5" t="str">
        <f>"CY"&amp;$F$4+1</f>
        <v>CY2027</v>
      </c>
    </row>
    <row r="8" spans="2:60" ht="3" customHeight="1" x14ac:dyDescent="0.6">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X8" s="1"/>
      <c r="AY8" s="1"/>
      <c r="AZ8" s="1"/>
      <c r="BA8" s="1"/>
      <c r="BB8" s="1"/>
      <c r="BC8" s="1"/>
      <c r="BD8" s="1"/>
      <c r="BE8" s="1" t="s">
        <v>41</v>
      </c>
      <c r="BF8" s="1"/>
      <c r="BG8" s="1"/>
      <c r="BH8" s="1"/>
    </row>
    <row r="9" spans="2:60" s="10" customFormat="1" ht="14.5" customHeight="1" x14ac:dyDescent="0.6">
      <c r="B9" s="1"/>
      <c r="D9" s="56" t="s">
        <v>37</v>
      </c>
    </row>
    <row r="10" spans="2:60" s="10" customFormat="1" ht="14.5" customHeight="1" x14ac:dyDescent="0.55000000000000004">
      <c r="B10" s="32"/>
      <c r="D10" s="10" t="str" cm="1">
        <f t="array" ref="D10">IF($B10="","",_xll.SNL.Clients.Office.Excel.Functions.SPG($B10, "SP_COMPANY_NAME"))</f>
        <v/>
      </c>
      <c r="G10" s="12" t="str" cm="1">
        <f t="array" ref="G10">IF($B10="","",_xll.SNL.Clients.Office.Excel.Functions.SPG($B10,"SP_LASTSALEPRICE",WORKDAY($F$2+1,-1),"Options:Curr="&amp;I10&amp;",NA=--"))</f>
        <v/>
      </c>
      <c r="H10" s="13" t="str" cm="1">
        <f t="array" ref="H10">IF($B10="","",_xll.SNL.Clients.Office.Excel.Functions.SPG($B10,"SP_PRICE_CLOSE",WORKDAY($F$2+1,-1),"Options:Curr="&amp;$F$3&amp;", NA=--"))</f>
        <v/>
      </c>
      <c r="I10" s="36" t="str" cm="1">
        <f t="array" ref="I10">IF($B10="","",_xll.SNL.Clients.Office.Excel.Functions.SPG($B10,"SP_TRADING_CURRENCY","Options: NA=--"))</f>
        <v/>
      </c>
      <c r="J10" s="82" t="str" cm="1">
        <f t="array" ref="J10">IF($B10="","n/a ",_xll.SNL.Clients.Office.Excel.Functions.SPG($B10,"SP_MARKETCAP",WORKDAY($F$2+1,-1),"Options:Curr="&amp;$F$3&amp;", Mag=Millions, NA=--"))</f>
        <v xml:space="preserve">n/a </v>
      </c>
      <c r="K10" s="82" t="str" cm="1">
        <f t="array" ref="K10">IF($B10="","n/a ",_xll.SNL.Clients.Office.Excel.Functions.SPG($B10,"IQ_TEV",WORKDAY($F$2+1,-1),"Options:Curr="&amp;$F$3&amp;", Mag=Millions, NA=--"))</f>
        <v xml:space="preserve">n/a </v>
      </c>
      <c r="L10" s="15" t="str">
        <f t="shared" ref="L10:L15" si="0">IFERROR(IF(OR($K10/AC10&gt;L$4,$K10/AC10&lt;L$3),"nmf ",$K10/AC10),"n/a ")</f>
        <v xml:space="preserve">n/a </v>
      </c>
      <c r="M10" s="15" t="str">
        <f t="shared" ref="M10:N15" si="1">IFERROR(IF(OR($K10/AE10&gt;M$4,$K10/AE10&lt;M$3),"nmf ",$K10/AE10),"n/a ")</f>
        <v xml:space="preserve">n/a </v>
      </c>
      <c r="N10" s="15" t="str">
        <f t="shared" si="1"/>
        <v xml:space="preserve">n/a </v>
      </c>
      <c r="O10" s="15" t="str">
        <f t="shared" ref="O10:O15" si="2">IFERROR(IF(OR($K10/AH10&gt;O$4,$K10/AH10&lt;O$3),"nmf ",$K10/AH10),"n/a ")</f>
        <v xml:space="preserve">n/a </v>
      </c>
      <c r="P10" s="15" t="str">
        <f t="shared" ref="P10:Q15" si="3">IFERROR(IF(OR($K10/AJ10&gt;P$4,$K10/AJ10&lt;P$3),"nmf ",$K10/AJ10),"n/a ")</f>
        <v xml:space="preserve">n/a </v>
      </c>
      <c r="Q10" s="15" t="str">
        <f t="shared" si="3"/>
        <v xml:space="preserve">n/a </v>
      </c>
      <c r="R10" s="31" t="str">
        <f>IFERROR((AE10/AD10)-1,"n/a ")</f>
        <v xml:space="preserve">n/a </v>
      </c>
      <c r="S10" s="31" t="str">
        <f>IFERROR((AF10/AE10)-1,"n/a ")</f>
        <v xml:space="preserve">n/a </v>
      </c>
      <c r="T10" s="31"/>
      <c r="U10" s="15" t="str">
        <f t="shared" ref="U10:U15" si="4">IFERROR($H10/AM10,"n/a ")</f>
        <v xml:space="preserve">n/a </v>
      </c>
      <c r="V10" s="15" t="str">
        <f t="shared" ref="V10:W15" si="5">IFERROR($H10/AO10,"n/a ")</f>
        <v xml:space="preserve">n/a </v>
      </c>
      <c r="W10" s="15" t="str">
        <f t="shared" si="5"/>
        <v xml:space="preserve">n/a </v>
      </c>
      <c r="X10" s="76" t="str">
        <f>IFERROR(AR10/100,"n/a ")</f>
        <v xml:space="preserve">n/a </v>
      </c>
      <c r="Y10" s="15" t="str">
        <f>IFERROR(H10/AT10,"n/a ")</f>
        <v xml:space="preserve">n/a </v>
      </c>
      <c r="Z10" s="15" t="str">
        <f>IFERROR(H10/AV10,"n/a ")</f>
        <v xml:space="preserve">n/a </v>
      </c>
      <c r="AA10" s="57"/>
      <c r="AC10" s="74" t="str" cm="1">
        <f t="array" ref="AC10">IF($B10="","",_xll.SNL.Clients.Office.Excel.Functions.SPG($B10,"IQ_REV",AC$7,$F$2,"Options:Curr="&amp;$F$3&amp;", Mag=Millions, NA=--"))</f>
        <v/>
      </c>
      <c r="AD10" s="74" t="str" cm="1">
        <f t="array" ref="AD10">IF($B10="","",_xll.SNL.Clients.Office.Excel.Functions.SPG($B10,"SP_REV_EST",AD$7,$F$2,"Options:Curr="&amp;$F$3&amp;", Mag=Millions, NA=--"))</f>
        <v/>
      </c>
      <c r="AE10" s="74" t="str" cm="1">
        <f t="array" ref="AE10">IF($B10="","",_xll.SNL.Clients.Office.Excel.Functions.SPG($B10,"SP_REV_EST",AE$7,$F$2,"Options:Curr="&amp;$F$3&amp;", Mag=Millions, NA=--"))</f>
        <v/>
      </c>
      <c r="AF10" s="74" t="str" cm="1">
        <f t="array" ref="AF10">IF($B10="","",_xll.SNL.Clients.Office.Excel.Functions.SPG($B10,"SP_REV_EST",AF$7,$F$2,"Options:Curr="&amp;$F$3&amp;", Mag=Millions, NA=--"))</f>
        <v/>
      </c>
      <c r="AG10" s="73"/>
      <c r="AH10" s="74" t="str" cm="1">
        <f t="array" ref="AH10">IF($B10="","",_xll.SNL.Clients.Office.Excel.Functions.SPG($B10,"SP_EBITDA",AH$7,$F$2,"Options:Curr="&amp;$F$3&amp;", Mag=Millions, NA=--"))</f>
        <v/>
      </c>
      <c r="AI10" s="74" t="str" cm="1">
        <f t="array" ref="AI10">IF($B10="","",_xll.SNL.Clients.Office.Excel.Functions.SPG($B10,"SP_EBITDA_EST",AI$7,$F$2,"Options:Curr="&amp;$F$3&amp;", Mag=Millions, NA=--"))</f>
        <v/>
      </c>
      <c r="AJ10" s="74" t="str" cm="1">
        <f t="array" ref="AJ10">IF($B10="","",_xll.SNL.Clients.Office.Excel.Functions.SPG($B10,"SP_EBITDA_EST",AJ$7,$F$2,"Options:Curr="&amp;$F$3&amp;", Mag=Millions, NA=--"))</f>
        <v/>
      </c>
      <c r="AK10" s="74" t="str" cm="1">
        <f t="array" ref="AK10">IF($B10="","",_xll.SNL.Clients.Office.Excel.Functions.SPG($B10,"SP_EBITDA_EST",AK$7,$F$2,"Options:Curr="&amp;$F$3&amp;", Mag=Millions, NA=--"))</f>
        <v/>
      </c>
      <c r="AL10" s="38"/>
      <c r="AM10" s="75" t="str" cm="1">
        <f t="array" ref="AM10">IF($B10="","",_xll.SNL.Clients.Office.Excel.Functions.SPG($B10,"IQ_BASIC_EPS_BEFORE_EXTRA",AM$7,$F$2,"Options:Curr="&amp;$F$3&amp;", NA=--"))</f>
        <v/>
      </c>
      <c r="AN10" s="75" t="str" cm="1">
        <f t="array" ref="AN10">IF($B10="","",_xll.SNL.Clients.Office.Excel.Functions.SPG($B10,"SP_EPS_EST",AN$7,$F$2,"Options:Curr="&amp;$F$3&amp;", NA=--"))</f>
        <v/>
      </c>
      <c r="AO10" s="75" t="str" cm="1">
        <f t="array" ref="AO10">IF($B10="","",_xll.SNL.Clients.Office.Excel.Functions.SPG($B10,"SP_EPS_EST",AO$7,$F$2,"Options:Curr="&amp;$F$3&amp;", NA=--"))</f>
        <v/>
      </c>
      <c r="AP10" s="75" t="str" cm="1">
        <f t="array" ref="AP10">IF($B10="","",_xll.SNL.Clients.Office.Excel.Functions.SPG($B10,"SP_EPS_EST",AP$7,$F$2,"Options:Curr="&amp;$F$3&amp;", NA=--"))</f>
        <v/>
      </c>
      <c r="AQ10" s="38"/>
      <c r="AR10" s="75" t="str" cm="1">
        <f t="array" ref="AR10">IF($B10="","",_xll.SNL.Clients.Office.Excel.Functions.SPG($B10,"IQ_ROE",AR$7,$F$2,"Options:Curr="&amp;$F$3&amp;", NA=--"))</f>
        <v/>
      </c>
      <c r="AS10" s="38"/>
      <c r="AT10" s="75" t="str" cm="1">
        <f t="array" ref="AT10">IF($B10="","",_xll.SNL.Clients.Office.Excel.Functions.SPG($B10,"IQ_BVPS",AT$7,$F$2,"Options:Curr="&amp;$F$3&amp;", NA=--"))</f>
        <v/>
      </c>
      <c r="AU10" s="38"/>
      <c r="AV10" s="75" t="str" cm="1">
        <f t="array" ref="AV10">IF($B10="","",_xll.SNL.Clients.Office.Excel.Functions.SPG($B10,"IQ_TBVPS",AV$7,$F$2,"Options:Curr="&amp;$F$3&amp;", NA=--"))</f>
        <v/>
      </c>
      <c r="AW10" s="38"/>
      <c r="AX10" s="67" t="str" cm="1">
        <f t="array" ref="AX10">IF($B10="","",_xll.SNL.Clients.Office.Excel.Functions.SPG($B10,"SP_DIV_YIELD",WORKDAY($F$2+1,-1),"Options: NA=--"))</f>
        <v/>
      </c>
      <c r="AY10" s="74" t="str" cm="1">
        <f t="array" ref="AY10">IF($B10="","",_xll.SNL.Clients.Office.Excel.Functions.SPG($B10,"IQ_TOTAL_EQUITY","FQ0",$F$2,"Options:Curr="&amp;$F$3&amp;", Mag=Millions, NA=--"))</f>
        <v/>
      </c>
      <c r="AZ10" s="74" t="str" cm="1">
        <f t="array" ref="AZ10">IF($B10="","",_xll.SNL.Clients.Office.Excel.Functions.SPG($B10,"IQ_TOTAL_DEBT","FQ0",$F$2,"Options:Curr="&amp;$F$3&amp;", Mag=Millions, NA=--"))</f>
        <v/>
      </c>
      <c r="BA10" s="74" t="str" cm="1">
        <f t="array" ref="BA10">IF($B10="","",_xll.SNL.Clients.Office.Excel.Functions.SPG($B10,"IQ_CASH_ST_INVEST","FQ0",$F$2,"Options:Curr="&amp;$F$3&amp;", Mag=Millions, NA=--"))</f>
        <v/>
      </c>
      <c r="BB10" s="74" t="e">
        <f>+AZ10-BA10</f>
        <v>#VALUE!</v>
      </c>
      <c r="BC10" s="74" t="str" cm="1">
        <f t="array" ref="BC10">IF($B10="","",_xll.SNL.Clients.Office.Excel.Functions.SPG($B10,"IQ_TOTAL_EQUITY","FQ0",$F$2,"Options:Curr="&amp;$F$3&amp;", Mag=Millions, NA=--"))</f>
        <v/>
      </c>
      <c r="BD10" s="38"/>
      <c r="BE10" s="71" t="str">
        <f>IF($B10="","",IFERROR(_xll.SNL.Clients.Office.Excel.Functions.SPG($B10,"SP_GROSS_MARGIN",BE$7,$F$2,"Options: NA=--")/100,"--"))</f>
        <v/>
      </c>
      <c r="BF10" s="71" t="str">
        <f>IF($B10="","",IFERROR(_xll.SNL.Clients.Office.Excel.Functions.SPG($B10,"SP_GROSS_MARGIN_EST",BF$7,$F$2,"Options: NA=--")/100,"--"))</f>
        <v/>
      </c>
      <c r="BG10" s="71" t="str">
        <f>IF($B10="","",IFERROR(_xll.SNL.Clients.Office.Excel.Functions.SPG($B10,"SP_GROSS_MARGIN_EST",BG$7,$F$2,"Options: NA=--")/100,"--"))</f>
        <v/>
      </c>
      <c r="BH10" s="71" t="str">
        <f>IF($B10="","",IFERROR(_xll.SNL.Clients.Office.Excel.Functions.SPG($B10,"SP_GROSS_MARGIN_EST",BH$7,$F$2,"Options: NA=--")/100,"--"))</f>
        <v/>
      </c>
    </row>
    <row r="11" spans="2:60" s="10" customFormat="1" ht="14.5" customHeight="1" x14ac:dyDescent="0.55000000000000004">
      <c r="B11" s="32"/>
      <c r="D11" s="10" t="str" cm="1">
        <f t="array" ref="D11">IF($B11="","",_xll.SNL.Clients.Office.Excel.Functions.SPG($B11, "SP_COMPANY_NAME"))</f>
        <v/>
      </c>
      <c r="G11" s="12" t="str" cm="1">
        <f t="array" ref="G11">IF($B11="","",_xll.SNL.Clients.Office.Excel.Functions.SPG($B11,"SP_LASTSALEPRICE",WORKDAY($F$2+1,-1),"Options:Curr="&amp;I11&amp;",NA=--"))</f>
        <v/>
      </c>
      <c r="H11" s="13" t="str" cm="1">
        <f t="array" ref="H11">IF($B11="","",_xll.SNL.Clients.Office.Excel.Functions.SPG($B11,"SP_PRICE_CLOSE",WORKDAY($F$2+1,-1),"Options:Curr="&amp;$F$3&amp;", NA=--"))</f>
        <v/>
      </c>
      <c r="I11" s="36" t="str" cm="1">
        <f t="array" ref="I11">IF($B11="","",_xll.SNL.Clients.Office.Excel.Functions.SPG($B11,"SP_TRADING_CURRENCY","Options: NA=--"))</f>
        <v/>
      </c>
      <c r="J11" s="82" t="str" cm="1">
        <f t="array" ref="J11">IF($B11="","n/a ",_xll.SNL.Clients.Office.Excel.Functions.SPG($B11,"SP_MARKETCAP",WORKDAY($F$2+1,-1),"Options:Curr="&amp;$F$3&amp;", Mag=Millions, NA=--"))</f>
        <v xml:space="preserve">n/a </v>
      </c>
      <c r="K11" s="82" t="str" cm="1">
        <f t="array" ref="K11">IF($B11="","n/a ",_xll.SNL.Clients.Office.Excel.Functions.SPG($B11,"IQ_TEV",WORKDAY($F$2+1,-1),"Options:Curr="&amp;$F$3&amp;", Mag=Millions, NA=--"))</f>
        <v xml:space="preserve">n/a </v>
      </c>
      <c r="L11" s="15" t="str">
        <f t="shared" si="0"/>
        <v xml:space="preserve">n/a </v>
      </c>
      <c r="M11" s="15" t="str">
        <f t="shared" si="1"/>
        <v xml:space="preserve">n/a </v>
      </c>
      <c r="N11" s="15" t="str">
        <f t="shared" si="1"/>
        <v xml:space="preserve">n/a </v>
      </c>
      <c r="O11" s="15" t="str">
        <f t="shared" si="2"/>
        <v xml:space="preserve">n/a </v>
      </c>
      <c r="P11" s="15" t="str">
        <f t="shared" si="3"/>
        <v xml:space="preserve">n/a </v>
      </c>
      <c r="Q11" s="15" t="str">
        <f t="shared" si="3"/>
        <v xml:space="preserve">n/a </v>
      </c>
      <c r="R11" s="31" t="str">
        <f t="shared" ref="R11" si="6">IFERROR((AE11/AD11)-1,"n/a ")</f>
        <v xml:space="preserve">n/a </v>
      </c>
      <c r="S11" s="31" t="str">
        <f t="shared" ref="S11" si="7">IFERROR((AF11/AE11)-1,"n/a ")</f>
        <v xml:space="preserve">n/a </v>
      </c>
      <c r="T11" s="31"/>
      <c r="U11" s="15" t="str">
        <f t="shared" si="4"/>
        <v xml:space="preserve">n/a </v>
      </c>
      <c r="V11" s="15" t="str">
        <f t="shared" si="5"/>
        <v xml:space="preserve">n/a </v>
      </c>
      <c r="W11" s="15" t="str">
        <f t="shared" si="5"/>
        <v xml:space="preserve">n/a </v>
      </c>
      <c r="X11" s="76" t="str">
        <f t="shared" ref="X11:X15" si="8">IFERROR(AR11/100,"n/a ")</f>
        <v xml:space="preserve">n/a </v>
      </c>
      <c r="Y11" s="15" t="str">
        <f t="shared" ref="Y11:Y15" si="9">IFERROR(H11/AT11,"n/a ")</f>
        <v xml:space="preserve">n/a </v>
      </c>
      <c r="Z11" s="15" t="str">
        <f t="shared" ref="Z11:Z15" si="10">IFERROR(H11/AV11,"n/a ")</f>
        <v xml:space="preserve">n/a </v>
      </c>
      <c r="AA11" s="57"/>
      <c r="AC11" s="74" t="str" cm="1">
        <f t="array" ref="AC11">IF($B11="","",_xll.SNL.Clients.Office.Excel.Functions.SPG($B11,"IQ_REV",AC$7,$F$2,"Options:Curr="&amp;$F$3&amp;", Mag=Millions, NA=--"))</f>
        <v/>
      </c>
      <c r="AD11" s="74" t="str" cm="1">
        <f t="array" ref="AD11">IF($B11="","",_xll.SNL.Clients.Office.Excel.Functions.SPG($B11,"SP_REV_EST",AD$7,$F$2,"Options:Curr="&amp;$F$3&amp;", Mag=Millions, NA=--"))</f>
        <v/>
      </c>
      <c r="AE11" s="74" t="str" cm="1">
        <f t="array" ref="AE11">IF($B11="","",_xll.SNL.Clients.Office.Excel.Functions.SPG($B11,"SP_REV_EST",AE$7,$F$2,"Options:Curr="&amp;$F$3&amp;", Mag=Millions, NA=--"))</f>
        <v/>
      </c>
      <c r="AF11" s="74" t="str" cm="1">
        <f t="array" ref="AF11">IF($B11="","",_xll.SNL.Clients.Office.Excel.Functions.SPG($B11,"SP_REV_EST",AF$7,$F$2,"Options:Curr="&amp;$F$3&amp;", Mag=Millions, NA=--"))</f>
        <v/>
      </c>
      <c r="AG11" s="73"/>
      <c r="AH11" s="74" t="str" cm="1">
        <f t="array" ref="AH11">IF($B11="","",_xll.SNL.Clients.Office.Excel.Functions.SPG($B11,"SP_EBITDA",AH$7,$F$2,"Options:Curr="&amp;$F$3&amp;", Mag=Millions, NA=--"))</f>
        <v/>
      </c>
      <c r="AI11" s="74" t="str" cm="1">
        <f t="array" ref="AI11">IF($B11="","",_xll.SNL.Clients.Office.Excel.Functions.SPG($B11,"SP_EBITDA_EST",AI$7,$F$2,"Options:Curr="&amp;$F$3&amp;", Mag=Millions, NA=--"))</f>
        <v/>
      </c>
      <c r="AJ11" s="74" t="str" cm="1">
        <f t="array" ref="AJ11">IF($B11="","",_xll.SNL.Clients.Office.Excel.Functions.SPG($B11,"SP_EBITDA_EST",AJ$7,$F$2,"Options:Curr="&amp;$F$3&amp;", Mag=Millions, NA=--"))</f>
        <v/>
      </c>
      <c r="AK11" s="74" t="str" cm="1">
        <f t="array" ref="AK11">IF($B11="","",_xll.SNL.Clients.Office.Excel.Functions.SPG($B11,"SP_EBITDA_EST",AK$7,$F$2,"Options:Curr="&amp;$F$3&amp;", Mag=Millions, NA=--"))</f>
        <v/>
      </c>
      <c r="AL11" s="38"/>
      <c r="AM11" s="75" t="str" cm="1">
        <f t="array" ref="AM11">IF($B11="","",_xll.SNL.Clients.Office.Excel.Functions.SPG($B11,"IQ_BASIC_EPS_BEFORE_EXTRA",AM$7,$F$2,"Options:Curr="&amp;$F$3&amp;", NA=--"))</f>
        <v/>
      </c>
      <c r="AN11" s="75" t="str" cm="1">
        <f t="array" ref="AN11">IF($B11="","",_xll.SNL.Clients.Office.Excel.Functions.SPG($B11,"SP_EPS_EST",AN$7,$F$2,"Options:Curr="&amp;$F$3&amp;", NA=--"))</f>
        <v/>
      </c>
      <c r="AO11" s="75" t="str" cm="1">
        <f t="array" ref="AO11">IF($B11="","",_xll.SNL.Clients.Office.Excel.Functions.SPG($B11,"SP_EPS_EST",AO$7,$F$2,"Options:Curr="&amp;$F$3&amp;", NA=--"))</f>
        <v/>
      </c>
      <c r="AP11" s="75" t="str" cm="1">
        <f t="array" ref="AP11">IF($B11="","",_xll.SNL.Clients.Office.Excel.Functions.SPG($B11,"SP_EPS_EST",AP$7,$F$2,"Options:Curr="&amp;$F$3&amp;", NA=--"))</f>
        <v/>
      </c>
      <c r="AQ11" s="38"/>
      <c r="AR11" s="75" t="str" cm="1">
        <f t="array" ref="AR11">IF($B11="","",_xll.SNL.Clients.Office.Excel.Functions.SPG($B11,"IQ_ROE",AR$7,$F$2,"Options:Curr="&amp;$F$3&amp;", NA=--"))</f>
        <v/>
      </c>
      <c r="AS11" s="38"/>
      <c r="AT11" s="75" t="str" cm="1">
        <f t="array" ref="AT11">IF($B11="","",_xll.SNL.Clients.Office.Excel.Functions.SPG($B11,"IQ_BVPS",AT$7,$F$2,"Options:Curr="&amp;$F$3&amp;", NA=--"))</f>
        <v/>
      </c>
      <c r="AU11" s="38"/>
      <c r="AV11" s="75" t="str" cm="1">
        <f t="array" ref="AV11">IF($B11="","",_xll.SNL.Clients.Office.Excel.Functions.SPG($B11,"IQ_TBVPS",AV$7,$F$2,"Options:Curr="&amp;$F$3&amp;", NA=--"))</f>
        <v/>
      </c>
      <c r="AW11" s="38"/>
      <c r="AX11" s="67" t="str" cm="1">
        <f t="array" ref="AX11">IF($B11="","",_xll.SNL.Clients.Office.Excel.Functions.SPG($B11,"SP_DIV_YIELD",WORKDAY($F$2+1,-1),"Options: NA=--"))</f>
        <v/>
      </c>
      <c r="AY11" s="74" t="str" cm="1">
        <f t="array" ref="AY11">IF($B11="","",_xll.SNL.Clients.Office.Excel.Functions.SPG($B11,"IQ_TOTAL_EQUITY","FQ0",$F$2,"Options:Curr="&amp;$F$3&amp;", Mag=Millions, NA=--"))</f>
        <v/>
      </c>
      <c r="AZ11" s="74" t="str" cm="1">
        <f t="array" ref="AZ11">IF($B11="","",_xll.SNL.Clients.Office.Excel.Functions.SPG($B11,"IQ_TOTAL_DEBT","FQ0",$F$2,"Options:Curr="&amp;$F$3&amp;", Mag=Millions, NA=--"))</f>
        <v/>
      </c>
      <c r="BA11" s="74" t="str" cm="1">
        <f t="array" ref="BA11">IF($B11="","",_xll.SNL.Clients.Office.Excel.Functions.SPG($B11,"IQ_CASH_ST_INVEST","FQ0",$F$2,"Options:Curr="&amp;$F$3&amp;", Mag=Millions, NA=--"))</f>
        <v/>
      </c>
      <c r="BB11" s="74" t="e">
        <f t="shared" ref="BB11:BB15" si="11">+AZ11-BA11</f>
        <v>#VALUE!</v>
      </c>
      <c r="BC11" s="74" t="str" cm="1">
        <f t="array" ref="BC11">IF($B11="","",_xll.SNL.Clients.Office.Excel.Functions.SPG($B11,"IQ_TOTAL_EQUITY","FQ0",$F$2,"Options:Curr="&amp;$F$3&amp;", Mag=Millions, NA=--"))</f>
        <v/>
      </c>
      <c r="BD11" s="38"/>
      <c r="BE11" s="71" t="str">
        <f>IF($B11="","",IFERROR(_xll.SNL.Clients.Office.Excel.Functions.SPG($B11,"SP_GROSS_MARGIN",BE$7,$F$2,"Options: NA=--")/100,"--"))</f>
        <v/>
      </c>
      <c r="BF11" s="71" t="str">
        <f>IF($B11="","",IFERROR(_xll.SNL.Clients.Office.Excel.Functions.SPG($B11,"SP_GROSS_MARGIN_EST",BF$7,$F$2,"Options: NA=--")/100,"--"))</f>
        <v/>
      </c>
      <c r="BG11" s="71" t="str">
        <f>IF($B11="","",IFERROR(_xll.SNL.Clients.Office.Excel.Functions.SPG($B11,"SP_GROSS_MARGIN_EST",BG$7,$F$2,"Options: NA=--")/100,"--"))</f>
        <v/>
      </c>
      <c r="BH11" s="71" t="str">
        <f>IF($B11="","",IFERROR(_xll.SNL.Clients.Office.Excel.Functions.SPG($B11,"SP_GROSS_MARGIN_EST",BH$7,$F$2,"Options: NA=--")/100,"--"))</f>
        <v/>
      </c>
    </row>
    <row r="12" spans="2:60" s="10" customFormat="1" ht="14.5" customHeight="1" x14ac:dyDescent="0.55000000000000004">
      <c r="B12" s="32"/>
      <c r="D12" s="10" t="str" cm="1">
        <f t="array" ref="D12">IF($B12="","",_xll.SNL.Clients.Office.Excel.Functions.SPG($B12, "SP_COMPANY_NAME"))</f>
        <v/>
      </c>
      <c r="G12" s="12" t="str" cm="1">
        <f t="array" ref="G12">IF($B12="","",_xll.SNL.Clients.Office.Excel.Functions.SPG($B12,"SP_LASTSALEPRICE",WORKDAY($F$2+1,-1),"Options:Curr="&amp;I12&amp;",NA=--"))</f>
        <v/>
      </c>
      <c r="H12" s="13" t="str" cm="1">
        <f t="array" ref="H12">IF($B12="","",_xll.SNL.Clients.Office.Excel.Functions.SPG($B12,"SP_PRICE_CLOSE",WORKDAY($F$2+1,-1),"Options:Curr="&amp;$F$3&amp;", NA=--"))</f>
        <v/>
      </c>
      <c r="I12" s="36" t="str" cm="1">
        <f t="array" ref="I12">IF($B12="","",_xll.SNL.Clients.Office.Excel.Functions.SPG($B12,"SP_TRADING_CURRENCY","Options: NA=--"))</f>
        <v/>
      </c>
      <c r="J12" s="82" t="str" cm="1">
        <f t="array" ref="J12">IF($B12="","n/a ",_xll.SNL.Clients.Office.Excel.Functions.SPG($B12,"SP_MARKETCAP",WORKDAY($F$2+1,-1),"Options:Curr="&amp;$F$3&amp;", Mag=Millions, NA=--"))</f>
        <v xml:space="preserve">n/a </v>
      </c>
      <c r="K12" s="82" t="str" cm="1">
        <f t="array" ref="K12">IF($B12="","n/a ",_xll.SNL.Clients.Office.Excel.Functions.SPG($B12,"IQ_TEV",WORKDAY($F$2+1,-1),"Options:Curr="&amp;$F$3&amp;", Mag=Millions, NA=--"))</f>
        <v xml:space="preserve">n/a </v>
      </c>
      <c r="L12" s="15" t="str">
        <f t="shared" si="0"/>
        <v xml:space="preserve">n/a </v>
      </c>
      <c r="M12" s="15" t="str">
        <f t="shared" si="1"/>
        <v xml:space="preserve">n/a </v>
      </c>
      <c r="N12" s="15" t="str">
        <f t="shared" si="1"/>
        <v xml:space="preserve">n/a </v>
      </c>
      <c r="O12" s="15" t="str">
        <f t="shared" si="2"/>
        <v xml:space="preserve">n/a </v>
      </c>
      <c r="P12" s="15" t="str">
        <f t="shared" si="3"/>
        <v xml:space="preserve">n/a </v>
      </c>
      <c r="Q12" s="15" t="str">
        <f t="shared" si="3"/>
        <v xml:space="preserve">n/a </v>
      </c>
      <c r="R12" s="31" t="str">
        <f t="shared" ref="R12" si="12">IFERROR((AE12/AD12)-1,"n/a ")</f>
        <v xml:space="preserve">n/a </v>
      </c>
      <c r="S12" s="31" t="str">
        <f t="shared" ref="S12" si="13">IFERROR((AF12/AE12)-1,"n/a ")</f>
        <v xml:space="preserve">n/a </v>
      </c>
      <c r="T12" s="31"/>
      <c r="U12" s="15" t="str">
        <f t="shared" si="4"/>
        <v xml:space="preserve">n/a </v>
      </c>
      <c r="V12" s="15" t="str">
        <f t="shared" si="5"/>
        <v xml:space="preserve">n/a </v>
      </c>
      <c r="W12" s="15" t="str">
        <f t="shared" si="5"/>
        <v xml:space="preserve">n/a </v>
      </c>
      <c r="X12" s="76" t="str">
        <f t="shared" si="8"/>
        <v xml:space="preserve">n/a </v>
      </c>
      <c r="Y12" s="15" t="str">
        <f t="shared" si="9"/>
        <v xml:space="preserve">n/a </v>
      </c>
      <c r="Z12" s="15" t="str">
        <f t="shared" si="10"/>
        <v xml:space="preserve">n/a </v>
      </c>
      <c r="AA12" s="57"/>
      <c r="AC12" s="74" t="str" cm="1">
        <f t="array" ref="AC12">IF($B12="","",_xll.SNL.Clients.Office.Excel.Functions.SPG($B12,"IQ_REV",AC$7,$F$2,"Options:Curr="&amp;$F$3&amp;", Mag=Millions, NA=--"))</f>
        <v/>
      </c>
      <c r="AD12" s="74" t="str" cm="1">
        <f t="array" ref="AD12">IF($B12="","",_xll.SNL.Clients.Office.Excel.Functions.SPG($B12,"SP_REV_EST",AD$7,$F$2,"Options:Curr="&amp;$F$3&amp;", Mag=Millions, NA=--"))</f>
        <v/>
      </c>
      <c r="AE12" s="74" t="str" cm="1">
        <f t="array" ref="AE12">IF($B12="","",_xll.SNL.Clients.Office.Excel.Functions.SPG($B12,"SP_REV_EST",AE$7,$F$2,"Options:Curr="&amp;$F$3&amp;", Mag=Millions, NA=--"))</f>
        <v/>
      </c>
      <c r="AF12" s="74" t="str" cm="1">
        <f t="array" ref="AF12">IF($B12="","",_xll.SNL.Clients.Office.Excel.Functions.SPG($B12,"SP_REV_EST",AF$7,$F$2,"Options:Curr="&amp;$F$3&amp;", Mag=Millions, NA=--"))</f>
        <v/>
      </c>
      <c r="AG12" s="73"/>
      <c r="AH12" s="74" t="str" cm="1">
        <f t="array" ref="AH12">IF($B12="","",_xll.SNL.Clients.Office.Excel.Functions.SPG($B12,"SP_EBITDA",AH$7,$F$2,"Options:Curr="&amp;$F$3&amp;", Mag=Millions, NA=--"))</f>
        <v/>
      </c>
      <c r="AI12" s="74" t="str" cm="1">
        <f t="array" ref="AI12">IF($B12="","",_xll.SNL.Clients.Office.Excel.Functions.SPG($B12,"SP_EBITDA_EST",AI$7,$F$2,"Options:Curr="&amp;$F$3&amp;", Mag=Millions, NA=--"))</f>
        <v/>
      </c>
      <c r="AJ12" s="74" t="str" cm="1">
        <f t="array" ref="AJ12">IF($B12="","",_xll.SNL.Clients.Office.Excel.Functions.SPG($B12,"SP_EBITDA_EST",AJ$7,$F$2,"Options:Curr="&amp;$F$3&amp;", Mag=Millions, NA=--"))</f>
        <v/>
      </c>
      <c r="AK12" s="74" t="str" cm="1">
        <f t="array" ref="AK12">IF($B12="","",_xll.SNL.Clients.Office.Excel.Functions.SPG($B12,"SP_EBITDA_EST",AK$7,$F$2,"Options:Curr="&amp;$F$3&amp;", Mag=Millions, NA=--"))</f>
        <v/>
      </c>
      <c r="AL12" s="38"/>
      <c r="AM12" s="75" t="str" cm="1">
        <f t="array" ref="AM12">IF($B12="","",_xll.SNL.Clients.Office.Excel.Functions.SPG($B12,"IQ_BASIC_EPS_BEFORE_EXTRA",AM$7,$F$2,"Options:Curr="&amp;$F$3&amp;", NA=--"))</f>
        <v/>
      </c>
      <c r="AN12" s="75" t="str" cm="1">
        <f t="array" ref="AN12">IF($B12="","",_xll.SNL.Clients.Office.Excel.Functions.SPG($B12,"SP_EPS_EST",AN$7,$F$2,"Options:Curr="&amp;$F$3&amp;", NA=--"))</f>
        <v/>
      </c>
      <c r="AO12" s="75" t="str" cm="1">
        <f t="array" ref="AO12">IF($B12="","",_xll.SNL.Clients.Office.Excel.Functions.SPG($B12,"SP_EPS_EST",AO$7,$F$2,"Options:Curr="&amp;$F$3&amp;", NA=--"))</f>
        <v/>
      </c>
      <c r="AP12" s="75" t="str" cm="1">
        <f t="array" ref="AP12">IF($B12="","",_xll.SNL.Clients.Office.Excel.Functions.SPG($B12,"SP_EPS_EST",AP$7,$F$2,"Options:Curr="&amp;$F$3&amp;", NA=--"))</f>
        <v/>
      </c>
      <c r="AQ12" s="38"/>
      <c r="AR12" s="75" t="str" cm="1">
        <f t="array" ref="AR12">IF($B12="","",_xll.SNL.Clients.Office.Excel.Functions.SPG($B12,"IQ_ROE",AR$7,$F$2,"Options:Curr="&amp;$F$3&amp;", NA=--"))</f>
        <v/>
      </c>
      <c r="AS12" s="38"/>
      <c r="AT12" s="75" t="str" cm="1">
        <f t="array" ref="AT12">IF($B12="","",_xll.SNL.Clients.Office.Excel.Functions.SPG($B12,"IQ_BVPS",AT$7,$F$2,"Options:Curr="&amp;$F$3&amp;", NA=--"))</f>
        <v/>
      </c>
      <c r="AU12" s="38"/>
      <c r="AV12" s="75" t="str" cm="1">
        <f t="array" ref="AV12">IF($B12="","",_xll.SNL.Clients.Office.Excel.Functions.SPG($B12,"IQ_TBVPS",AV$7,$F$2,"Options:Curr="&amp;$F$3&amp;", NA=--"))</f>
        <v/>
      </c>
      <c r="AW12" s="38"/>
      <c r="AX12" s="67" t="str" cm="1">
        <f t="array" ref="AX12">IF($B12="","",_xll.SNL.Clients.Office.Excel.Functions.SPG($B12,"SP_DIV_YIELD",WORKDAY($F$2+1,-1),"Options: NA=--"))</f>
        <v/>
      </c>
      <c r="AY12" s="74" t="str" cm="1">
        <f t="array" ref="AY12">IF($B12="","",_xll.SNL.Clients.Office.Excel.Functions.SPG($B12,"IQ_TOTAL_EQUITY","FQ0",$F$2,"Options:Curr="&amp;$F$3&amp;", Mag=Millions, NA=--"))</f>
        <v/>
      </c>
      <c r="AZ12" s="74" t="str" cm="1">
        <f t="array" ref="AZ12">IF($B12="","",_xll.SNL.Clients.Office.Excel.Functions.SPG($B12,"IQ_TOTAL_DEBT","FQ0",$F$2,"Options:Curr="&amp;$F$3&amp;", Mag=Millions, NA=--"))</f>
        <v/>
      </c>
      <c r="BA12" s="74" t="str" cm="1">
        <f t="array" ref="BA12">IF($B12="","",_xll.SNL.Clients.Office.Excel.Functions.SPG($B12,"IQ_CASH_ST_INVEST","FQ0",$F$2,"Options:Curr="&amp;$F$3&amp;", Mag=Millions, NA=--"))</f>
        <v/>
      </c>
      <c r="BB12" s="74" t="e">
        <f t="shared" si="11"/>
        <v>#VALUE!</v>
      </c>
      <c r="BC12" s="74" t="str" cm="1">
        <f t="array" ref="BC12">IF($B12="","",_xll.SNL.Clients.Office.Excel.Functions.SPG($B12,"IQ_TOTAL_EQUITY","FQ0",$F$2,"Options:Curr="&amp;$F$3&amp;", Mag=Millions, NA=--"))</f>
        <v/>
      </c>
      <c r="BD12" s="38"/>
      <c r="BE12" s="71" t="str">
        <f>IF($B12="","",IFERROR(_xll.SNL.Clients.Office.Excel.Functions.SPG($B12,"SP_GROSS_MARGIN",BE$7,$F$2,"Options: NA=--")/100,"--"))</f>
        <v/>
      </c>
      <c r="BF12" s="71" t="str">
        <f>IF($B12="","",IFERROR(_xll.SNL.Clients.Office.Excel.Functions.SPG($B12,"SP_GROSS_MARGIN_EST",BF$7,$F$2,"Options: NA=--")/100,"--"))</f>
        <v/>
      </c>
      <c r="BG12" s="71" t="str">
        <f>IF($B12="","",IFERROR(_xll.SNL.Clients.Office.Excel.Functions.SPG($B12,"SP_GROSS_MARGIN_EST",BG$7,$F$2,"Options: NA=--")/100,"--"))</f>
        <v/>
      </c>
      <c r="BH12" s="71" t="str">
        <f>IF($B12="","",IFERROR(_xll.SNL.Clients.Office.Excel.Functions.SPG($B12,"SP_GROSS_MARGIN_EST",BH$7,$F$2,"Options: NA=--")/100,"--"))</f>
        <v/>
      </c>
    </row>
    <row r="13" spans="2:60" s="10" customFormat="1" ht="14.5" customHeight="1" x14ac:dyDescent="0.55000000000000004">
      <c r="B13" s="32"/>
      <c r="D13" s="10" t="str" cm="1">
        <f t="array" ref="D13">IF($B13="","",_xll.SNL.Clients.Office.Excel.Functions.SPG($B13, "SP_COMPANY_NAME"))</f>
        <v/>
      </c>
      <c r="G13" s="12" t="str" cm="1">
        <f t="array" ref="G13">IF($B13="","",_xll.SNL.Clients.Office.Excel.Functions.SPG($B13,"SP_LASTSALEPRICE",WORKDAY($F$2+1,-1),"Options:Curr="&amp;I13&amp;",NA=--"))</f>
        <v/>
      </c>
      <c r="H13" s="13" t="str" cm="1">
        <f t="array" ref="H13">IF($B13="","",_xll.SNL.Clients.Office.Excel.Functions.SPG($B13,"SP_PRICE_CLOSE",WORKDAY($F$2+1,-1),"Options:Curr="&amp;$F$3&amp;", NA=--"))</f>
        <v/>
      </c>
      <c r="I13" s="36" t="str" cm="1">
        <f t="array" ref="I13">IF($B13="","",_xll.SNL.Clients.Office.Excel.Functions.SPG($B13,"SP_TRADING_CURRENCY","Options: NA=--"))</f>
        <v/>
      </c>
      <c r="J13" s="82" t="str" cm="1">
        <f t="array" ref="J13">IF($B13="","n/a ",_xll.SNL.Clients.Office.Excel.Functions.SPG($B13,"SP_MARKETCAP",WORKDAY($F$2+1,-1),"Options:Curr="&amp;$F$3&amp;", Mag=Millions, NA=--"))</f>
        <v xml:space="preserve">n/a </v>
      </c>
      <c r="K13" s="82" t="str" cm="1">
        <f t="array" ref="K13">IF($B13="","n/a ",_xll.SNL.Clients.Office.Excel.Functions.SPG($B13,"IQ_TEV",WORKDAY($F$2+1,-1),"Options:Curr="&amp;$F$3&amp;", Mag=Millions, NA=--"))</f>
        <v xml:space="preserve">n/a </v>
      </c>
      <c r="L13" s="15" t="str">
        <f t="shared" si="0"/>
        <v xml:space="preserve">n/a </v>
      </c>
      <c r="M13" s="15" t="str">
        <f t="shared" si="1"/>
        <v xml:space="preserve">n/a </v>
      </c>
      <c r="N13" s="15" t="str">
        <f t="shared" si="1"/>
        <v xml:space="preserve">n/a </v>
      </c>
      <c r="O13" s="15" t="str">
        <f t="shared" si="2"/>
        <v xml:space="preserve">n/a </v>
      </c>
      <c r="P13" s="15" t="str">
        <f t="shared" si="3"/>
        <v xml:space="preserve">n/a </v>
      </c>
      <c r="Q13" s="15" t="str">
        <f t="shared" si="3"/>
        <v xml:space="preserve">n/a </v>
      </c>
      <c r="R13" s="31" t="str">
        <f t="shared" ref="R13:R14" si="14">IFERROR((AE13/AD13)-1,"n/a ")</f>
        <v xml:space="preserve">n/a </v>
      </c>
      <c r="S13" s="31" t="str">
        <f t="shared" ref="S13:S14" si="15">IFERROR((AF13/AE13)-1,"n/a ")</f>
        <v xml:space="preserve">n/a </v>
      </c>
      <c r="T13" s="31"/>
      <c r="U13" s="15" t="str">
        <f t="shared" si="4"/>
        <v xml:space="preserve">n/a </v>
      </c>
      <c r="V13" s="15" t="str">
        <f t="shared" si="5"/>
        <v xml:space="preserve">n/a </v>
      </c>
      <c r="W13" s="15" t="str">
        <f t="shared" si="5"/>
        <v xml:space="preserve">n/a </v>
      </c>
      <c r="X13" s="76" t="str">
        <f t="shared" si="8"/>
        <v xml:space="preserve">n/a </v>
      </c>
      <c r="Y13" s="15" t="str">
        <f t="shared" si="9"/>
        <v xml:space="preserve">n/a </v>
      </c>
      <c r="Z13" s="15" t="str">
        <f t="shared" si="10"/>
        <v xml:space="preserve">n/a </v>
      </c>
      <c r="AA13" s="57"/>
      <c r="AC13" s="74" t="str" cm="1">
        <f t="array" ref="AC13">IF($B13="","",_xll.SNL.Clients.Office.Excel.Functions.SPG($B13,"IQ_REV",AC$7,$F$2,"Options:Curr="&amp;$F$3&amp;", Mag=Millions, NA=--"))</f>
        <v/>
      </c>
      <c r="AD13" s="74" t="str" cm="1">
        <f t="array" ref="AD13">IF($B13="","",_xll.SNL.Clients.Office.Excel.Functions.SPG($B13,"SP_REV_EST",AD$7,$F$2,"Options:Curr="&amp;$F$3&amp;", Mag=Millions, NA=--"))</f>
        <v/>
      </c>
      <c r="AE13" s="74" t="str" cm="1">
        <f t="array" ref="AE13">IF($B13="","",_xll.SNL.Clients.Office.Excel.Functions.SPG($B13,"SP_REV_EST",AE$7,$F$2,"Options:Curr="&amp;$F$3&amp;", Mag=Millions, NA=--"))</f>
        <v/>
      </c>
      <c r="AF13" s="74" t="str" cm="1">
        <f t="array" ref="AF13">IF($B13="","",_xll.SNL.Clients.Office.Excel.Functions.SPG($B13,"SP_REV_EST",AF$7,$F$2,"Options:Curr="&amp;$F$3&amp;", Mag=Millions, NA=--"))</f>
        <v/>
      </c>
      <c r="AG13" s="73"/>
      <c r="AH13" s="74" t="str" cm="1">
        <f t="array" ref="AH13">IF($B13="","",_xll.SNL.Clients.Office.Excel.Functions.SPG($B13,"SP_EBITDA",AH$7,$F$2,"Options:Curr="&amp;$F$3&amp;", Mag=Millions, NA=--"))</f>
        <v/>
      </c>
      <c r="AI13" s="74" t="str" cm="1">
        <f t="array" ref="AI13">IF($B13="","",_xll.SNL.Clients.Office.Excel.Functions.SPG($B13,"SP_EBITDA_EST",AI$7,$F$2,"Options:Curr="&amp;$F$3&amp;", Mag=Millions, NA=--"))</f>
        <v/>
      </c>
      <c r="AJ13" s="74" t="str" cm="1">
        <f t="array" ref="AJ13">IF($B13="","",_xll.SNL.Clients.Office.Excel.Functions.SPG($B13,"SP_EBITDA_EST",AJ$7,$F$2,"Options:Curr="&amp;$F$3&amp;", Mag=Millions, NA=--"))</f>
        <v/>
      </c>
      <c r="AK13" s="74" t="str" cm="1">
        <f t="array" ref="AK13">IF($B13="","",_xll.SNL.Clients.Office.Excel.Functions.SPG($B13,"SP_EBITDA_EST",AK$7,$F$2,"Options:Curr="&amp;$F$3&amp;", Mag=Millions, NA=--"))</f>
        <v/>
      </c>
      <c r="AL13" s="38"/>
      <c r="AM13" s="75" t="str" cm="1">
        <f t="array" ref="AM13">IF($B13="","",_xll.SNL.Clients.Office.Excel.Functions.SPG($B13,"IQ_BASIC_EPS_BEFORE_EXTRA",AM$7,$F$2,"Options:Curr="&amp;$F$3&amp;", NA=--"))</f>
        <v/>
      </c>
      <c r="AN13" s="75" t="str" cm="1">
        <f t="array" ref="AN13">IF($B13="","",_xll.SNL.Clients.Office.Excel.Functions.SPG($B13,"SP_EPS_EST",AN$7,$F$2,"Options:Curr="&amp;$F$3&amp;", NA=--"))</f>
        <v/>
      </c>
      <c r="AO13" s="75" t="str" cm="1">
        <f t="array" ref="AO13">IF($B13="","",_xll.SNL.Clients.Office.Excel.Functions.SPG($B13,"SP_EPS_EST",AO$7,$F$2,"Options:Curr="&amp;$F$3&amp;", NA=--"))</f>
        <v/>
      </c>
      <c r="AP13" s="75" t="str" cm="1">
        <f t="array" ref="AP13">IF($B13="","",_xll.SNL.Clients.Office.Excel.Functions.SPG($B13,"SP_EPS_EST",AP$7,$F$2,"Options:Curr="&amp;$F$3&amp;", NA=--"))</f>
        <v/>
      </c>
      <c r="AQ13" s="38"/>
      <c r="AR13" s="75" t="str" cm="1">
        <f t="array" ref="AR13">IF($B13="","",_xll.SNL.Clients.Office.Excel.Functions.SPG($B13,"IQ_ROE",AR$7,$F$2,"Options:Curr="&amp;$F$3&amp;", NA=--"))</f>
        <v/>
      </c>
      <c r="AS13" s="38"/>
      <c r="AT13" s="75" t="str" cm="1">
        <f t="array" ref="AT13">IF($B13="","",_xll.SNL.Clients.Office.Excel.Functions.SPG($B13,"IQ_BVPS",AT$7,$F$2,"Options:Curr="&amp;$F$3&amp;", NA=--"))</f>
        <v/>
      </c>
      <c r="AU13" s="38"/>
      <c r="AV13" s="75" t="str" cm="1">
        <f t="array" ref="AV13">IF($B13="","",_xll.SNL.Clients.Office.Excel.Functions.SPG($B13,"IQ_TBVPS",AV$7,$F$2,"Options:Curr="&amp;$F$3&amp;", NA=--"))</f>
        <v/>
      </c>
      <c r="AW13" s="38"/>
      <c r="AX13" s="67" t="str" cm="1">
        <f t="array" ref="AX13">IF($B13="","",_xll.SNL.Clients.Office.Excel.Functions.SPG($B13,"SP_DIV_YIELD",WORKDAY($F$2+1,-1),"Options: NA=--"))</f>
        <v/>
      </c>
      <c r="AY13" s="74" t="str" cm="1">
        <f t="array" ref="AY13">IF($B13="","",_xll.SNL.Clients.Office.Excel.Functions.SPG($B13,"IQ_TOTAL_EQUITY","FQ0",$F$2,"Options:Curr="&amp;$F$3&amp;", Mag=Millions, NA=--"))</f>
        <v/>
      </c>
      <c r="AZ13" s="74" t="str" cm="1">
        <f t="array" ref="AZ13">IF($B13="","",_xll.SNL.Clients.Office.Excel.Functions.SPG($B13,"IQ_TOTAL_DEBT","FQ0",$F$2,"Options:Curr="&amp;$F$3&amp;", Mag=Millions, NA=--"))</f>
        <v/>
      </c>
      <c r="BA13" s="74" t="str" cm="1">
        <f t="array" ref="BA13">IF($B13="","",_xll.SNL.Clients.Office.Excel.Functions.SPG($B13,"IQ_CASH_ST_INVEST","FQ0",$F$2,"Options:Curr="&amp;$F$3&amp;", Mag=Millions, NA=--"))</f>
        <v/>
      </c>
      <c r="BB13" s="74" t="e">
        <f t="shared" si="11"/>
        <v>#VALUE!</v>
      </c>
      <c r="BC13" s="74" t="str" cm="1">
        <f t="array" ref="BC13">IF($B13="","",_xll.SNL.Clients.Office.Excel.Functions.SPG($B13,"IQ_TOTAL_EQUITY","FQ0",$F$2,"Options:Curr="&amp;$F$3&amp;", Mag=Millions, NA=--"))</f>
        <v/>
      </c>
      <c r="BD13" s="38"/>
      <c r="BE13" s="71" t="str">
        <f>IF($B13="","",IFERROR(_xll.SNL.Clients.Office.Excel.Functions.SPG($B13,"SP_GROSS_MARGIN",BE$7,$F$2,"Options: NA=--")/100,"--"))</f>
        <v/>
      </c>
      <c r="BF13" s="71" t="str">
        <f>IF($B13="","",IFERROR(_xll.SNL.Clients.Office.Excel.Functions.SPG($B13,"SP_GROSS_MARGIN_EST",BF$7,$F$2,"Options: NA=--")/100,"--"))</f>
        <v/>
      </c>
      <c r="BG13" s="71" t="str">
        <f>IF($B13="","",IFERROR(_xll.SNL.Clients.Office.Excel.Functions.SPG($B13,"SP_GROSS_MARGIN_EST",BG$7,$F$2,"Options: NA=--")/100,"--"))</f>
        <v/>
      </c>
      <c r="BH13" s="71" t="str">
        <f>IF($B13="","",IFERROR(_xll.SNL.Clients.Office.Excel.Functions.SPG($B13,"SP_GROSS_MARGIN_EST",BH$7,$F$2,"Options: NA=--")/100,"--"))</f>
        <v/>
      </c>
    </row>
    <row r="14" spans="2:60" s="10" customFormat="1" ht="14.5" customHeight="1" x14ac:dyDescent="0.55000000000000004">
      <c r="B14" s="32"/>
      <c r="D14" s="10" t="str" cm="1">
        <f t="array" ref="D14">IF($B14="","",_xll.SNL.Clients.Office.Excel.Functions.SPG($B14, "SP_COMPANY_NAME"))</f>
        <v/>
      </c>
      <c r="G14" s="12" t="str" cm="1">
        <f t="array" ref="G14">IF($B14="","",_xll.SNL.Clients.Office.Excel.Functions.SPG($B14,"SP_LASTSALEPRICE",WORKDAY($F$2+1,-1),"Options:Curr="&amp;I14&amp;",NA=--"))</f>
        <v/>
      </c>
      <c r="H14" s="13" t="str" cm="1">
        <f t="array" ref="H14">IF($B14="","",_xll.SNL.Clients.Office.Excel.Functions.SPG($B14,"SP_PRICE_CLOSE",WORKDAY($F$2+1,-1),"Options:Curr="&amp;$F$3&amp;", NA=--"))</f>
        <v/>
      </c>
      <c r="I14" s="36" t="str" cm="1">
        <f t="array" ref="I14">IF($B14="","",_xll.SNL.Clients.Office.Excel.Functions.SPG($B14,"SP_TRADING_CURRENCY","Options: NA=--"))</f>
        <v/>
      </c>
      <c r="J14" s="82" t="str" cm="1">
        <f t="array" ref="J14">IF($B14="","n/a ",_xll.SNL.Clients.Office.Excel.Functions.SPG($B14,"SP_MARKETCAP",WORKDAY($F$2+1,-1),"Options:Curr="&amp;$F$3&amp;", Mag=Millions, NA=--"))</f>
        <v xml:space="preserve">n/a </v>
      </c>
      <c r="K14" s="82" t="str" cm="1">
        <f t="array" ref="K14">IF($B14="","n/a ",_xll.SNL.Clients.Office.Excel.Functions.SPG($B14,"IQ_TEV",WORKDAY($F$2+1,-1),"Options:Curr="&amp;$F$3&amp;", Mag=Millions, NA=--"))</f>
        <v xml:space="preserve">n/a </v>
      </c>
      <c r="L14" s="15" t="str">
        <f t="shared" si="0"/>
        <v xml:space="preserve">n/a </v>
      </c>
      <c r="M14" s="15" t="str">
        <f t="shared" si="1"/>
        <v xml:space="preserve">n/a </v>
      </c>
      <c r="N14" s="15" t="str">
        <f t="shared" si="1"/>
        <v xml:space="preserve">n/a </v>
      </c>
      <c r="O14" s="15" t="str">
        <f t="shared" si="2"/>
        <v xml:space="preserve">n/a </v>
      </c>
      <c r="P14" s="15" t="str">
        <f t="shared" si="3"/>
        <v xml:space="preserve">n/a </v>
      </c>
      <c r="Q14" s="15" t="str">
        <f t="shared" si="3"/>
        <v xml:space="preserve">n/a </v>
      </c>
      <c r="R14" s="31" t="str">
        <f t="shared" si="14"/>
        <v xml:space="preserve">n/a </v>
      </c>
      <c r="S14" s="31" t="str">
        <f t="shared" si="15"/>
        <v xml:space="preserve">n/a </v>
      </c>
      <c r="T14" s="31"/>
      <c r="U14" s="15" t="str">
        <f t="shared" si="4"/>
        <v xml:space="preserve">n/a </v>
      </c>
      <c r="V14" s="15" t="str">
        <f t="shared" si="5"/>
        <v xml:space="preserve">n/a </v>
      </c>
      <c r="W14" s="15" t="str">
        <f t="shared" si="5"/>
        <v xml:space="preserve">n/a </v>
      </c>
      <c r="X14" s="76" t="str">
        <f t="shared" si="8"/>
        <v xml:space="preserve">n/a </v>
      </c>
      <c r="Y14" s="15" t="str">
        <f t="shared" si="9"/>
        <v xml:space="preserve">n/a </v>
      </c>
      <c r="Z14" s="15" t="str">
        <f t="shared" si="10"/>
        <v xml:space="preserve">n/a </v>
      </c>
      <c r="AA14" s="57"/>
      <c r="AC14" s="74" t="str" cm="1">
        <f t="array" ref="AC14">IF($B14="","",_xll.SNL.Clients.Office.Excel.Functions.SPG($B14,"IQ_REV",AC$7,$F$2,"Options:Curr="&amp;$F$3&amp;", Mag=Millions, NA=--"))</f>
        <v/>
      </c>
      <c r="AD14" s="74" t="str" cm="1">
        <f t="array" ref="AD14">IF($B14="","",_xll.SNL.Clients.Office.Excel.Functions.SPG($B14,"SP_REV_EST",AD$7,$F$2,"Options:Curr="&amp;$F$3&amp;", Mag=Millions, NA=--"))</f>
        <v/>
      </c>
      <c r="AE14" s="74" t="str" cm="1">
        <f t="array" ref="AE14">IF($B14="","",_xll.SNL.Clients.Office.Excel.Functions.SPG($B14,"SP_REV_EST",AE$7,$F$2,"Options:Curr="&amp;$F$3&amp;", Mag=Millions, NA=--"))</f>
        <v/>
      </c>
      <c r="AF14" s="74" t="str" cm="1">
        <f t="array" ref="AF14">IF($B14="","",_xll.SNL.Clients.Office.Excel.Functions.SPG($B14,"SP_REV_EST",AF$7,$F$2,"Options:Curr="&amp;$F$3&amp;", Mag=Millions, NA=--"))</f>
        <v/>
      </c>
      <c r="AG14" s="73"/>
      <c r="AH14" s="74" t="str" cm="1">
        <f t="array" ref="AH14">IF($B14="","",_xll.SNL.Clients.Office.Excel.Functions.SPG($B14,"SP_EBITDA",AH$7,$F$2,"Options:Curr="&amp;$F$3&amp;", Mag=Millions, NA=--"))</f>
        <v/>
      </c>
      <c r="AI14" s="74" t="str" cm="1">
        <f t="array" ref="AI14">IF($B14="","",_xll.SNL.Clients.Office.Excel.Functions.SPG($B14,"SP_EBITDA_EST",AI$7,$F$2,"Options:Curr="&amp;$F$3&amp;", Mag=Millions, NA=--"))</f>
        <v/>
      </c>
      <c r="AJ14" s="74" t="str" cm="1">
        <f t="array" ref="AJ14">IF($B14="","",_xll.SNL.Clients.Office.Excel.Functions.SPG($B14,"SP_EBITDA_EST",AJ$7,$F$2,"Options:Curr="&amp;$F$3&amp;", Mag=Millions, NA=--"))</f>
        <v/>
      </c>
      <c r="AK14" s="74" t="str" cm="1">
        <f t="array" ref="AK14">IF($B14="","",_xll.SNL.Clients.Office.Excel.Functions.SPG($B14,"SP_EBITDA_EST",AK$7,$F$2,"Options:Curr="&amp;$F$3&amp;", Mag=Millions, NA=--"))</f>
        <v/>
      </c>
      <c r="AL14" s="38"/>
      <c r="AM14" s="75" t="str" cm="1">
        <f t="array" ref="AM14">IF($B14="","",_xll.SNL.Clients.Office.Excel.Functions.SPG($B14,"IQ_BASIC_EPS_BEFORE_EXTRA",AM$7,$F$2,"Options:Curr="&amp;$F$3&amp;", NA=--"))</f>
        <v/>
      </c>
      <c r="AN14" s="75" t="str" cm="1">
        <f t="array" ref="AN14">IF($B14="","",_xll.SNL.Clients.Office.Excel.Functions.SPG($B14,"SP_EPS_EST",AN$7,$F$2,"Options:Curr="&amp;$F$3&amp;", NA=--"))</f>
        <v/>
      </c>
      <c r="AO14" s="75" t="str" cm="1">
        <f t="array" ref="AO14">IF($B14="","",_xll.SNL.Clients.Office.Excel.Functions.SPG($B14,"SP_EPS_EST",AO$7,$F$2,"Options:Curr="&amp;$F$3&amp;", NA=--"))</f>
        <v/>
      </c>
      <c r="AP14" s="75" t="str" cm="1">
        <f t="array" ref="AP14">IF($B14="","",_xll.SNL.Clients.Office.Excel.Functions.SPG($B14,"SP_EPS_EST",AP$7,$F$2,"Options:Curr="&amp;$F$3&amp;", NA=--"))</f>
        <v/>
      </c>
      <c r="AQ14" s="38"/>
      <c r="AR14" s="75" t="str" cm="1">
        <f t="array" ref="AR14">IF($B14="","",_xll.SNL.Clients.Office.Excel.Functions.SPG($B14,"IQ_ROE",AR$7,$F$2,"Options:Curr="&amp;$F$3&amp;", NA=--"))</f>
        <v/>
      </c>
      <c r="AS14" s="38"/>
      <c r="AT14" s="75" t="str" cm="1">
        <f t="array" ref="AT14">IF($B14="","",_xll.SNL.Clients.Office.Excel.Functions.SPG($B14,"IQ_BVPS",AT$7,$F$2,"Options:Curr="&amp;$F$3&amp;", NA=--"))</f>
        <v/>
      </c>
      <c r="AU14" s="38"/>
      <c r="AV14" s="75" t="str" cm="1">
        <f t="array" ref="AV14">IF($B14="","",_xll.SNL.Clients.Office.Excel.Functions.SPG($B14,"IQ_TBVPS",AV$7,$F$2,"Options:Curr="&amp;$F$3&amp;", NA=--"))</f>
        <v/>
      </c>
      <c r="AW14" s="38"/>
      <c r="AX14" s="67" t="str" cm="1">
        <f t="array" ref="AX14">IF($B14="","",_xll.SNL.Clients.Office.Excel.Functions.SPG($B14,"SP_DIV_YIELD",WORKDAY($F$2+1,-1),"Options: NA=--"))</f>
        <v/>
      </c>
      <c r="AY14" s="74" t="str" cm="1">
        <f t="array" ref="AY14">IF($B14="","",_xll.SNL.Clients.Office.Excel.Functions.SPG($B14,"IQ_TOTAL_EQUITY","FQ0",$F$2,"Options:Curr="&amp;$F$3&amp;", Mag=Millions, NA=--"))</f>
        <v/>
      </c>
      <c r="AZ14" s="74" t="str" cm="1">
        <f t="array" ref="AZ14">IF($B14="","",_xll.SNL.Clients.Office.Excel.Functions.SPG($B14,"IQ_TOTAL_DEBT","FQ0",$F$2,"Options:Curr="&amp;$F$3&amp;", Mag=Millions, NA=--"))</f>
        <v/>
      </c>
      <c r="BA14" s="74" t="str" cm="1">
        <f t="array" ref="BA14">IF($B14="","",_xll.SNL.Clients.Office.Excel.Functions.SPG($B14,"IQ_CASH_ST_INVEST","FQ0",$F$2,"Options:Curr="&amp;$F$3&amp;", Mag=Millions, NA=--"))</f>
        <v/>
      </c>
      <c r="BB14" s="74" t="e">
        <f t="shared" si="11"/>
        <v>#VALUE!</v>
      </c>
      <c r="BC14" s="74" t="str" cm="1">
        <f t="array" ref="BC14">IF($B14="","",_xll.SNL.Clients.Office.Excel.Functions.SPG($B14,"IQ_TOTAL_EQUITY","FQ0",$F$2,"Options:Curr="&amp;$F$3&amp;", Mag=Millions, NA=--"))</f>
        <v/>
      </c>
      <c r="BD14" s="38"/>
      <c r="BE14" s="71" t="str">
        <f>IF($B14="","",IFERROR(_xll.SNL.Clients.Office.Excel.Functions.SPG($B14,"SP_GROSS_MARGIN",BE$7,$F$2,"Options: NA=--")/100,"--"))</f>
        <v/>
      </c>
      <c r="BF14" s="71" t="str">
        <f>IF($B14="","",IFERROR(_xll.SNL.Clients.Office.Excel.Functions.SPG($B14,"SP_GROSS_MARGIN_EST",BF$7,$F$2,"Options: NA=--")/100,"--"))</f>
        <v/>
      </c>
      <c r="BG14" s="71" t="str">
        <f>IF($B14="","",IFERROR(_xll.SNL.Clients.Office.Excel.Functions.SPG($B14,"SP_GROSS_MARGIN_EST",BG$7,$F$2,"Options: NA=--")/100,"--"))</f>
        <v/>
      </c>
      <c r="BH14" s="71" t="str">
        <f>IF($B14="","",IFERROR(_xll.SNL.Clients.Office.Excel.Functions.SPG($B14,"SP_GROSS_MARGIN_EST",BH$7,$F$2,"Options: NA=--")/100,"--"))</f>
        <v/>
      </c>
    </row>
    <row r="15" spans="2:60" s="10" customFormat="1" ht="14.5" customHeight="1" x14ac:dyDescent="0.55000000000000004">
      <c r="B15" s="32"/>
      <c r="D15" s="10" t="str" cm="1">
        <f t="array" ref="D15">IF($B15="","",_xll.SNL.Clients.Office.Excel.Functions.SPG($B15, "SP_COMPANY_NAME"))</f>
        <v/>
      </c>
      <c r="G15" s="20" t="str" cm="1">
        <f t="array" ref="G15">IF($B15="","",_xll.SNL.Clients.Office.Excel.Functions.SPG($B15,"SP_LASTSALEPRICE",WORKDAY($F$2+1,-1),"Options:Curr="&amp;I15&amp;",NA=--"))</f>
        <v/>
      </c>
      <c r="H15" s="13" t="str" cm="1">
        <f t="array" ref="H15">IF($B15="","",_xll.SNL.Clients.Office.Excel.Functions.SPG($B15,"SP_PRICE_CLOSE",WORKDAY($F$2+1,-1),"Options:Curr="&amp;$F$3&amp;", NA=--"))</f>
        <v/>
      </c>
      <c r="I15" s="36" t="str" cm="1">
        <f t="array" ref="I15">IF($B15="","",_xll.SNL.Clients.Office.Excel.Functions.SPG($B15,"SP_TRADING_CURRENCY","Options: NA=--"))</f>
        <v/>
      </c>
      <c r="J15" s="82" t="str" cm="1">
        <f t="array" ref="J15">IF($B15="","n/a ",_xll.SNL.Clients.Office.Excel.Functions.SPG($B15,"SP_MARKETCAP",WORKDAY($F$2+1,-1),"Options:Curr="&amp;$F$3&amp;", Mag=Millions, NA=--"))</f>
        <v xml:space="preserve">n/a </v>
      </c>
      <c r="K15" s="82" t="str" cm="1">
        <f t="array" ref="K15">IF($B15="","n/a ",_xll.SNL.Clients.Office.Excel.Functions.SPG($B15,"IQ_TEV",WORKDAY($F$2+1,-1),"Options:Curr="&amp;$F$3&amp;", Mag=Millions, NA=--"))</f>
        <v xml:space="preserve">n/a </v>
      </c>
      <c r="L15" s="15" t="str">
        <f t="shared" si="0"/>
        <v xml:space="preserve">n/a </v>
      </c>
      <c r="M15" s="15" t="str">
        <f t="shared" si="1"/>
        <v xml:space="preserve">n/a </v>
      </c>
      <c r="N15" s="15" t="str">
        <f t="shared" si="1"/>
        <v xml:space="preserve">n/a </v>
      </c>
      <c r="O15" s="15" t="str">
        <f t="shared" si="2"/>
        <v xml:space="preserve">n/a </v>
      </c>
      <c r="P15" s="15" t="str">
        <f t="shared" si="3"/>
        <v xml:space="preserve">n/a </v>
      </c>
      <c r="Q15" s="15" t="str">
        <f t="shared" si="3"/>
        <v xml:space="preserve">n/a </v>
      </c>
      <c r="R15" s="31" t="str">
        <f>IFERROR((AE15/AD15)-1,"n/a ")</f>
        <v xml:space="preserve">n/a </v>
      </c>
      <c r="S15" s="31" t="str">
        <f>IFERROR((AF15/AE15)-1,"n/a ")</f>
        <v xml:space="preserve">n/a </v>
      </c>
      <c r="T15" s="31"/>
      <c r="U15" s="15" t="str">
        <f t="shared" si="4"/>
        <v xml:space="preserve">n/a </v>
      </c>
      <c r="V15" s="15" t="str">
        <f t="shared" si="5"/>
        <v xml:space="preserve">n/a </v>
      </c>
      <c r="W15" s="15" t="str">
        <f t="shared" si="5"/>
        <v xml:space="preserve">n/a </v>
      </c>
      <c r="X15" s="76" t="str">
        <f t="shared" si="8"/>
        <v xml:space="preserve">n/a </v>
      </c>
      <c r="Y15" s="15" t="str">
        <f t="shared" si="9"/>
        <v xml:space="preserve">n/a </v>
      </c>
      <c r="Z15" s="15" t="str">
        <f t="shared" si="10"/>
        <v xml:space="preserve">n/a </v>
      </c>
      <c r="AA15" s="57"/>
      <c r="AC15" s="74" t="str" cm="1">
        <f t="array" ref="AC15">IF($B15="","",_xll.SNL.Clients.Office.Excel.Functions.SPG($B15,"IQ_REV",AC$7,$F$2,"Options:Curr="&amp;$F$3&amp;", Mag=Millions, NA=--"))</f>
        <v/>
      </c>
      <c r="AD15" s="74" t="str" cm="1">
        <f t="array" ref="AD15">IF($B15="","",_xll.SNL.Clients.Office.Excel.Functions.SPG($B15,"SP_REV_EST",AD$7,$F$2,"Options:Curr="&amp;$F$3&amp;", Mag=Millions, NA=--"))</f>
        <v/>
      </c>
      <c r="AE15" s="74" t="str" cm="1">
        <f t="array" ref="AE15">IF($B15="","",_xll.SNL.Clients.Office.Excel.Functions.SPG($B15,"SP_REV_EST",AE$7,$F$2,"Options:Curr="&amp;$F$3&amp;", Mag=Millions, NA=--"))</f>
        <v/>
      </c>
      <c r="AF15" s="74" t="str" cm="1">
        <f t="array" ref="AF15">IF($B15="","",_xll.SNL.Clients.Office.Excel.Functions.SPG($B15,"SP_REV_EST",AF$7,$F$2,"Options:Curr="&amp;$F$3&amp;", Mag=Millions, NA=--"))</f>
        <v/>
      </c>
      <c r="AG15" s="73"/>
      <c r="AH15" s="74" t="str" cm="1">
        <f t="array" ref="AH15">IF($B15="","",_xll.SNL.Clients.Office.Excel.Functions.SPG($B15,"SP_EBITDA",AH$7,$F$2,"Options:Curr="&amp;$F$3&amp;", Mag=Millions, NA=--"))</f>
        <v/>
      </c>
      <c r="AI15" s="74" t="str" cm="1">
        <f t="array" ref="AI15">IF($B15="","",_xll.SNL.Clients.Office.Excel.Functions.SPG($B15,"SP_EBITDA_EST",AI$7,$F$2,"Options:Curr="&amp;$F$3&amp;", Mag=Millions, NA=--"))</f>
        <v/>
      </c>
      <c r="AJ15" s="74" t="str" cm="1">
        <f t="array" ref="AJ15">IF($B15="","",_xll.SNL.Clients.Office.Excel.Functions.SPG($B15,"SP_EBITDA_EST",AJ$7,$F$2,"Options:Curr="&amp;$F$3&amp;", Mag=Millions, NA=--"))</f>
        <v/>
      </c>
      <c r="AK15" s="74" t="str" cm="1">
        <f t="array" ref="AK15">IF($B15="","",_xll.SNL.Clients.Office.Excel.Functions.SPG($B15,"SP_EBITDA_EST",AK$7,$F$2,"Options:Curr="&amp;$F$3&amp;", Mag=Millions, NA=--"))</f>
        <v/>
      </c>
      <c r="AL15" s="38"/>
      <c r="AM15" s="75" t="str" cm="1">
        <f t="array" ref="AM15">IF($B15="","",_xll.SNL.Clients.Office.Excel.Functions.SPG($B15,"IQ_BASIC_EPS_BEFORE_EXTRA",AM$7,$F$2,"Options:Curr="&amp;$F$3&amp;", NA=--"))</f>
        <v/>
      </c>
      <c r="AN15" s="75" t="str" cm="1">
        <f t="array" ref="AN15">IF($B15="","",_xll.SNL.Clients.Office.Excel.Functions.SPG($B15,"SP_EPS_EST",AN$7,$F$2,"Options:Curr="&amp;$F$3&amp;", NA=--"))</f>
        <v/>
      </c>
      <c r="AO15" s="75" t="str" cm="1">
        <f t="array" ref="AO15">IF($B15="","",_xll.SNL.Clients.Office.Excel.Functions.SPG($B15,"SP_EPS_EST",AO$7,$F$2,"Options:Curr="&amp;$F$3&amp;", NA=--"))</f>
        <v/>
      </c>
      <c r="AP15" s="75" t="str" cm="1">
        <f t="array" ref="AP15">IF($B15="","",_xll.SNL.Clients.Office.Excel.Functions.SPG($B15,"SP_EPS_EST",AP$7,$F$2,"Options:Curr="&amp;$F$3&amp;", NA=--"))</f>
        <v/>
      </c>
      <c r="AQ15" s="38"/>
      <c r="AR15" s="75" t="str" cm="1">
        <f t="array" ref="AR15">IF($B15="","",_xll.SNL.Clients.Office.Excel.Functions.SPG($B15,"IQ_ROE",AR$7,$F$2,"Options:Curr="&amp;$F$3&amp;", NA=--"))</f>
        <v/>
      </c>
      <c r="AS15" s="38"/>
      <c r="AT15" s="75" t="str" cm="1">
        <f t="array" ref="AT15">IF($B15="","",_xll.SNL.Clients.Office.Excel.Functions.SPG($B15,"IQ_BVPS",AT$7,$F$2,"Options:Curr="&amp;$F$3&amp;", NA=--"))</f>
        <v/>
      </c>
      <c r="AU15" s="38"/>
      <c r="AV15" s="75" t="str" cm="1">
        <f t="array" ref="AV15">IF($B15="","",_xll.SNL.Clients.Office.Excel.Functions.SPG($B15,"IQ_TBVPS",AV$7,$F$2,"Options:Curr="&amp;$F$3&amp;", NA=--"))</f>
        <v/>
      </c>
      <c r="AW15" s="38"/>
      <c r="AX15" s="67" t="str" cm="1">
        <f t="array" ref="AX15">IF($B15="","",_xll.SNL.Clients.Office.Excel.Functions.SPG($B15,"SP_DIV_YIELD",WORKDAY($F$2+1,-1),"Options: NA=--"))</f>
        <v/>
      </c>
      <c r="AY15" s="74" t="str" cm="1">
        <f t="array" ref="AY15">IF($B15="","",_xll.SNL.Clients.Office.Excel.Functions.SPG($B15,"IQ_TOTAL_EQUITY","FQ0",$F$2,"Options:Curr="&amp;$F$3&amp;", Mag=Millions, NA=--"))</f>
        <v/>
      </c>
      <c r="AZ15" s="74" t="str" cm="1">
        <f t="array" ref="AZ15">IF($B15="","",_xll.SNL.Clients.Office.Excel.Functions.SPG($B15,"IQ_TOTAL_DEBT","FQ0",$F$2,"Options:Curr="&amp;$F$3&amp;", Mag=Millions, NA=--"))</f>
        <v/>
      </c>
      <c r="BA15" s="74" t="str" cm="1">
        <f t="array" ref="BA15">IF($B15="","",_xll.SNL.Clients.Office.Excel.Functions.SPG($B15,"IQ_CASH_ST_INVEST","FQ0",$F$2,"Options:Curr="&amp;$F$3&amp;", Mag=Millions, NA=--"))</f>
        <v/>
      </c>
      <c r="BB15" s="74" t="e">
        <f t="shared" si="11"/>
        <v>#VALUE!</v>
      </c>
      <c r="BC15" s="74" t="str" cm="1">
        <f t="array" ref="BC15">IF($B15="","",_xll.SNL.Clients.Office.Excel.Functions.SPG($B15,"IQ_TOTAL_EQUITY","FQ0",$F$2,"Options:Curr="&amp;$F$3&amp;", Mag=Millions, NA=--"))</f>
        <v/>
      </c>
      <c r="BD15" s="38"/>
      <c r="BE15" s="71" t="str">
        <f>IF($B15="","",IFERROR(_xll.SNL.Clients.Office.Excel.Functions.SPG($B15,"SP_GROSS_MARGIN",BE$7,$F$2,"Options: NA=--")/100,"--"))</f>
        <v/>
      </c>
      <c r="BF15" s="71" t="str">
        <f>IF($B15="","",IFERROR(_xll.SNL.Clients.Office.Excel.Functions.SPG($B15,"SP_GROSS_MARGIN_EST",BF$7,$F$2,"Options: NA=--")/100,"--"))</f>
        <v/>
      </c>
      <c r="BG15" s="71" t="str">
        <f>IF($B15="","",IFERROR(_xll.SNL.Clients.Office.Excel.Functions.SPG($B15,"SP_GROSS_MARGIN_EST",BG$7,$F$2,"Options: NA=--")/100,"--"))</f>
        <v/>
      </c>
      <c r="BH15" s="71" t="str">
        <f>IF($B15="","",IFERROR(_xll.SNL.Clients.Office.Excel.Functions.SPG($B15,"SP_GROSS_MARGIN_EST",BH$7,$F$2,"Options: NA=--")/100,"--"))</f>
        <v/>
      </c>
    </row>
    <row r="16" spans="2:60" s="10" customFormat="1" ht="3" customHeight="1" x14ac:dyDescent="0.55000000000000004">
      <c r="B16" s="11"/>
      <c r="G16" s="14"/>
      <c r="H16" s="14"/>
      <c r="I16" s="36"/>
      <c r="J16" s="21"/>
      <c r="K16" s="22"/>
      <c r="L16" s="22"/>
      <c r="M16" s="15"/>
      <c r="N16" s="15"/>
      <c r="O16" s="15"/>
      <c r="P16" s="15"/>
      <c r="Q16" s="15"/>
      <c r="R16" s="16"/>
      <c r="S16" s="16"/>
      <c r="T16" s="16"/>
      <c r="U16" s="15"/>
      <c r="V16" s="15"/>
      <c r="W16" s="15"/>
      <c r="X16" s="15"/>
      <c r="Y16" s="15"/>
      <c r="Z16" s="15"/>
      <c r="AA16" s="16"/>
      <c r="AC16" s="70"/>
      <c r="AD16" s="70"/>
      <c r="AE16" s="70"/>
      <c r="AF16" s="70"/>
      <c r="AG16" s="73"/>
      <c r="AH16" s="73"/>
      <c r="AI16" s="70"/>
      <c r="AJ16" s="70"/>
      <c r="AK16" s="70"/>
      <c r="AL16" s="38"/>
      <c r="AM16" s="36"/>
      <c r="AN16" s="36"/>
      <c r="AO16" s="36"/>
      <c r="AP16" s="36"/>
      <c r="AQ16" s="38"/>
      <c r="AR16" s="38"/>
      <c r="AS16" s="38"/>
      <c r="AT16" s="38"/>
      <c r="AU16" s="38"/>
      <c r="AV16" s="38"/>
      <c r="AW16" s="38"/>
      <c r="AX16" s="68"/>
      <c r="AY16" s="70"/>
      <c r="AZ16" s="70"/>
      <c r="BA16" s="70"/>
      <c r="BB16" s="70"/>
      <c r="BC16" s="70"/>
      <c r="BD16" s="38"/>
      <c r="BE16" s="38"/>
      <c r="BF16" s="72"/>
      <c r="BG16" s="72"/>
      <c r="BH16" s="72"/>
    </row>
    <row r="17" spans="2:60" s="10" customFormat="1" ht="14.5" customHeight="1" x14ac:dyDescent="0.55000000000000004">
      <c r="B17" s="11"/>
      <c r="D17" s="23" t="s">
        <v>22</v>
      </c>
      <c r="E17" s="23"/>
      <c r="F17" s="23"/>
      <c r="G17" s="23"/>
      <c r="H17" s="23"/>
      <c r="I17" s="37"/>
      <c r="J17" s="24"/>
      <c r="K17" s="24"/>
      <c r="L17" s="33" t="str">
        <f t="shared" ref="L17:Z17" si="16">IFERROR(AVERAGE(L10:L15),"n/a ")</f>
        <v xml:space="preserve">n/a </v>
      </c>
      <c r="M17" s="33" t="str">
        <f t="shared" si="16"/>
        <v xml:space="preserve">n/a </v>
      </c>
      <c r="N17" s="25" t="str">
        <f t="shared" si="16"/>
        <v xml:space="preserve">n/a </v>
      </c>
      <c r="O17" s="33" t="str">
        <f t="shared" si="16"/>
        <v xml:space="preserve">n/a </v>
      </c>
      <c r="P17" s="25" t="str">
        <f t="shared" si="16"/>
        <v xml:space="preserve">n/a </v>
      </c>
      <c r="Q17" s="25" t="str">
        <f t="shared" si="16"/>
        <v xml:space="preserve">n/a </v>
      </c>
      <c r="R17" s="34" t="str">
        <f t="shared" si="16"/>
        <v xml:space="preserve">n/a </v>
      </c>
      <c r="S17" s="34" t="str">
        <f t="shared" si="16"/>
        <v xml:space="preserve">n/a </v>
      </c>
      <c r="T17" s="34"/>
      <c r="U17" s="25" t="str">
        <f t="shared" si="16"/>
        <v xml:space="preserve">n/a </v>
      </c>
      <c r="V17" s="25" t="str">
        <f t="shared" si="16"/>
        <v xml:space="preserve">n/a </v>
      </c>
      <c r="W17" s="33" t="str">
        <f t="shared" si="16"/>
        <v xml:space="preserve">n/a </v>
      </c>
      <c r="X17" s="77" t="str">
        <f t="shared" si="16"/>
        <v xml:space="preserve">n/a </v>
      </c>
      <c r="Y17" s="33" t="str">
        <f t="shared" si="16"/>
        <v xml:space="preserve">n/a </v>
      </c>
      <c r="Z17" s="33" t="str">
        <f t="shared" si="16"/>
        <v xml:space="preserve">n/a </v>
      </c>
      <c r="AA17" s="34"/>
      <c r="AC17" s="73"/>
      <c r="AD17" s="73"/>
      <c r="AE17" s="73"/>
      <c r="AF17" s="73"/>
      <c r="AG17" s="73"/>
      <c r="AH17" s="73"/>
      <c r="AI17" s="73"/>
      <c r="AJ17" s="73"/>
      <c r="AK17" s="73"/>
      <c r="AL17" s="38"/>
      <c r="AM17" s="38"/>
      <c r="AN17" s="38"/>
      <c r="AO17" s="38"/>
      <c r="AP17" s="38"/>
      <c r="AQ17" s="38"/>
      <c r="AR17" s="38"/>
      <c r="AS17" s="38"/>
      <c r="AT17" s="38"/>
      <c r="AU17" s="38"/>
      <c r="AV17" s="38"/>
      <c r="AW17" s="38"/>
      <c r="AX17" s="69"/>
      <c r="AY17" s="38"/>
      <c r="AZ17" s="38"/>
      <c r="BA17" s="38"/>
      <c r="BB17" s="38"/>
      <c r="BC17" s="38"/>
      <c r="BD17" s="38"/>
      <c r="BE17" s="38"/>
      <c r="BF17" s="72"/>
      <c r="BG17" s="72"/>
      <c r="BH17" s="72"/>
    </row>
    <row r="18" spans="2:60" s="10" customFormat="1" ht="3" customHeight="1" x14ac:dyDescent="0.55000000000000004">
      <c r="B18" s="11"/>
      <c r="I18" s="38"/>
      <c r="J18" s="26"/>
      <c r="K18" s="26"/>
      <c r="L18" s="26"/>
      <c r="AC18" s="73"/>
      <c r="AD18" s="73"/>
      <c r="AE18" s="73"/>
      <c r="AF18" s="73"/>
      <c r="AG18" s="73"/>
      <c r="AH18" s="73"/>
      <c r="AI18" s="73"/>
      <c r="AJ18" s="73"/>
      <c r="AK18" s="73"/>
      <c r="AL18" s="38"/>
      <c r="AM18" s="38"/>
      <c r="AN18" s="38"/>
      <c r="AO18" s="38"/>
      <c r="AP18" s="38"/>
      <c r="AQ18" s="38"/>
      <c r="AR18" s="38"/>
      <c r="AS18" s="38"/>
      <c r="AT18" s="38"/>
      <c r="AU18" s="38"/>
      <c r="AV18" s="38"/>
      <c r="AW18" s="38"/>
      <c r="AX18" s="69"/>
      <c r="AY18" s="38"/>
      <c r="AZ18" s="38"/>
      <c r="BA18" s="38"/>
      <c r="BB18" s="38"/>
      <c r="BC18" s="38"/>
      <c r="BD18" s="38"/>
      <c r="BE18" s="38"/>
      <c r="BF18" s="72"/>
      <c r="BG18" s="72"/>
      <c r="BH18" s="72"/>
    </row>
    <row r="19" spans="2:60" s="10" customFormat="1" ht="14.5" customHeight="1" x14ac:dyDescent="0.55000000000000004">
      <c r="B19" s="11"/>
      <c r="D19" s="56" t="s">
        <v>38</v>
      </c>
      <c r="G19" s="14"/>
      <c r="H19" s="14"/>
      <c r="I19" s="36"/>
      <c r="J19" s="21"/>
      <c r="K19" s="21"/>
      <c r="L19" s="21"/>
      <c r="M19" s="17"/>
      <c r="N19" s="17"/>
      <c r="O19" s="17"/>
      <c r="P19" s="17"/>
      <c r="Q19" s="17"/>
      <c r="R19" s="16"/>
      <c r="S19" s="16"/>
      <c r="T19" s="16"/>
      <c r="U19" s="17"/>
      <c r="V19" s="17"/>
      <c r="W19" s="17"/>
      <c r="X19" s="17"/>
      <c r="Y19" s="17"/>
      <c r="Z19" s="17"/>
      <c r="AA19" s="16"/>
      <c r="AC19" s="70"/>
      <c r="AD19" s="70"/>
      <c r="AE19" s="70"/>
      <c r="AF19" s="70"/>
      <c r="AG19" s="73"/>
      <c r="AH19" s="73"/>
      <c r="AI19" s="70"/>
      <c r="AJ19" s="70"/>
      <c r="AK19" s="70"/>
      <c r="AL19" s="38"/>
      <c r="AM19" s="36"/>
      <c r="AN19" s="36"/>
      <c r="AO19" s="36"/>
      <c r="AP19" s="36"/>
      <c r="AQ19" s="38"/>
      <c r="AR19" s="38"/>
      <c r="AS19" s="38"/>
      <c r="AT19" s="38"/>
      <c r="AU19" s="38"/>
      <c r="AV19" s="38"/>
      <c r="AW19" s="38"/>
      <c r="AX19" s="68"/>
      <c r="AY19" s="70"/>
      <c r="AZ19" s="70"/>
      <c r="BA19" s="70"/>
      <c r="BB19" s="70"/>
      <c r="BC19" s="70"/>
      <c r="BD19" s="38"/>
      <c r="BE19" s="38"/>
      <c r="BF19" s="72"/>
      <c r="BG19" s="72"/>
      <c r="BH19" s="72"/>
    </row>
    <row r="20" spans="2:60" s="10" customFormat="1" ht="14.5" customHeight="1" x14ac:dyDescent="0.55000000000000004">
      <c r="B20" s="32"/>
      <c r="D20" s="10" t="str" cm="1">
        <f t="array" ref="D20">IF($B20="","",_xll.SNL.Clients.Office.Excel.Functions.SPG($B20, "SP_COMPANY_NAME"))</f>
        <v/>
      </c>
      <c r="G20" s="20" t="str" cm="1">
        <f t="array" ref="G20">IF($B20="","",_xll.SNL.Clients.Office.Excel.Functions.SPG($B20,"SP_LASTSALEPRICE",WORKDAY($F$2+1,-1),"Options:Curr="&amp;I20&amp;",NA=--"))</f>
        <v/>
      </c>
      <c r="H20" s="13" t="str" cm="1">
        <f t="array" ref="H20">IF($B20="","",_xll.SNL.Clients.Office.Excel.Functions.SPG($B20,"SP_PRICE_CLOSE",WORKDAY($F$2+1,-1),"Options:Curr="&amp;$F$3&amp;", NA=--"))</f>
        <v/>
      </c>
      <c r="I20" s="36" t="str" cm="1">
        <f t="array" ref="I20">IF($B20="","",_xll.SNL.Clients.Office.Excel.Functions.SPG($B20,"SP_TRADING_CURRENCY","Options: NA=--"))</f>
        <v/>
      </c>
      <c r="J20" s="82" t="str" cm="1">
        <f t="array" ref="J20">IF($B20="","n/a ",_xll.SNL.Clients.Office.Excel.Functions.SPG($B20,"SP_MARKETCAP",WORKDAY($F$2+1,-1),"Options:Curr="&amp;$F$3&amp;", Mag=Millions, NA=--"))</f>
        <v xml:space="preserve">n/a </v>
      </c>
      <c r="K20" s="82" t="str" cm="1">
        <f t="array" ref="K20">IF($B20="","n/a ",_xll.SNL.Clients.Office.Excel.Functions.SPG($B20,"IQ_TEV",WORKDAY($F$2+1,-1),"Options:Curr="&amp;$F$3&amp;", Mag=Millions, NA=--"))</f>
        <v xml:space="preserve">n/a </v>
      </c>
      <c r="L20" s="15" t="str">
        <f t="shared" ref="L20:N25" si="17">IFERROR(IF(OR($K20/AC20&gt;L$4,$K20/AC20&lt;L$3),"nmf ",$K20/AC20),"n/a ")</f>
        <v xml:space="preserve">n/a </v>
      </c>
      <c r="M20" s="15" t="str">
        <f t="shared" si="17"/>
        <v xml:space="preserve">n/a </v>
      </c>
      <c r="N20" s="15" t="str">
        <f t="shared" si="17"/>
        <v xml:space="preserve">n/a </v>
      </c>
      <c r="O20" s="15" t="str">
        <f t="shared" ref="O20:Q25" si="18">IFERROR(IF(OR($K20/AH20&gt;O$4,$K20/AH20&lt;O$3),"nmf ",$K20/AH20),"n/a ")</f>
        <v xml:space="preserve">n/a </v>
      </c>
      <c r="P20" s="15" t="str">
        <f t="shared" si="18"/>
        <v xml:space="preserve">n/a </v>
      </c>
      <c r="Q20" s="15" t="str">
        <f t="shared" si="18"/>
        <v xml:space="preserve">n/a </v>
      </c>
      <c r="R20" s="31" t="str">
        <f t="shared" ref="R20:S25" si="19">IFERROR((AE20/AD20)-1,"n/a ")</f>
        <v xml:space="preserve">n/a </v>
      </c>
      <c r="S20" s="31" t="str">
        <f t="shared" si="19"/>
        <v xml:space="preserve">n/a </v>
      </c>
      <c r="T20" s="31"/>
      <c r="U20" s="15" t="str">
        <f t="shared" ref="U20:U25" si="20">IFERROR($H20/AM20,"n/a ")</f>
        <v xml:space="preserve">n/a </v>
      </c>
      <c r="V20" s="15" t="str">
        <f t="shared" ref="V20:W25" si="21">IFERROR($H20/AO20,"n/a ")</f>
        <v xml:space="preserve">n/a </v>
      </c>
      <c r="W20" s="15" t="str">
        <f t="shared" si="21"/>
        <v xml:space="preserve">n/a </v>
      </c>
      <c r="X20" s="76" t="str">
        <f t="shared" ref="X20:X25" si="22">IFERROR(AR20/100,"n/a ")</f>
        <v xml:space="preserve">n/a </v>
      </c>
      <c r="Y20" s="15" t="str">
        <f>IFERROR(H20/AT20,"n/a ")</f>
        <v xml:space="preserve">n/a </v>
      </c>
      <c r="Z20" s="15" t="str">
        <f>IFERROR(H20/AV20,"n/a ")</f>
        <v xml:space="preserve">n/a </v>
      </c>
      <c r="AA20" s="57"/>
      <c r="AC20" s="74" t="str" cm="1">
        <f t="array" ref="AC20">IF($B20="","",_xll.SNL.Clients.Office.Excel.Functions.SPG($B20,"IQ_REV",AC$7,$F$2,"Options:Curr="&amp;$F$3&amp;", Mag=Millions, NA=--"))</f>
        <v/>
      </c>
      <c r="AD20" s="74" t="str" cm="1">
        <f t="array" ref="AD20">IF($B20="","",_xll.SNL.Clients.Office.Excel.Functions.SPG($B20,"SP_REV_EST",AD$7,$F$2,"Options:Curr="&amp;$F$3&amp;", Mag=Millions, NA=--"))</f>
        <v/>
      </c>
      <c r="AE20" s="74" t="str" cm="1">
        <f t="array" ref="AE20">IF($B20="","",_xll.SNL.Clients.Office.Excel.Functions.SPG($B20,"SP_REV_EST",AE$7,$F$2,"Options:Curr="&amp;$F$3&amp;", Mag=Millions, NA=--"))</f>
        <v/>
      </c>
      <c r="AF20" s="74" t="str" cm="1">
        <f t="array" ref="AF20">IF($B20="","",_xll.SNL.Clients.Office.Excel.Functions.SPG($B20,"SP_REV_EST",AF$7,$F$2,"Options:Curr="&amp;$F$3&amp;", Mag=Millions, NA=--"))</f>
        <v/>
      </c>
      <c r="AG20" s="73"/>
      <c r="AH20" s="74" t="str" cm="1">
        <f t="array" ref="AH20">IF($B20="","",_xll.SNL.Clients.Office.Excel.Functions.SPG($B20,"SP_EBITDA",AH$7,$F$2,"Options:Curr="&amp;$F$3&amp;", Mag=Millions, NA=--"))</f>
        <v/>
      </c>
      <c r="AI20" s="74" t="str" cm="1">
        <f t="array" ref="AI20">IF($B20="","",_xll.SNL.Clients.Office.Excel.Functions.SPG($B20,"SP_EBITDA_EST",AI$7,$F$2,"Options:Curr="&amp;$F$3&amp;", Mag=Millions, NA=--"))</f>
        <v/>
      </c>
      <c r="AJ20" s="74" t="str" cm="1">
        <f t="array" ref="AJ20">IF($B20="","",_xll.SNL.Clients.Office.Excel.Functions.SPG($B20,"SP_EBITDA_EST",AJ$7,$F$2,"Options:Curr="&amp;$F$3&amp;", Mag=Millions, NA=--"))</f>
        <v/>
      </c>
      <c r="AK20" s="74" t="str" cm="1">
        <f t="array" ref="AK20">IF($B20="","",_xll.SNL.Clients.Office.Excel.Functions.SPG($B20,"SP_EBITDA_EST",AK$7,$F$2,"Options:Curr="&amp;$F$3&amp;", Mag=Millions, NA=--"))</f>
        <v/>
      </c>
      <c r="AL20" s="38"/>
      <c r="AM20" s="75" t="str" cm="1">
        <f t="array" ref="AM20">IF($B20="","",_xll.SNL.Clients.Office.Excel.Functions.SPG($B20,"IQ_BASIC_EPS_BEFORE_EXTRA",AM$7,$F$2,"Options:Curr="&amp;$F$3&amp;", NA=--"))</f>
        <v/>
      </c>
      <c r="AN20" s="75" t="str" cm="1">
        <f t="array" ref="AN20">IF($B20="","",_xll.SNL.Clients.Office.Excel.Functions.SPG($B20,"SP_EPS_EST",AN$7,$F$2,"Options:Curr="&amp;$F$3&amp;", NA=--"))</f>
        <v/>
      </c>
      <c r="AO20" s="75" t="str" cm="1">
        <f t="array" ref="AO20">IF($B20="","",_xll.SNL.Clients.Office.Excel.Functions.SPG($B20,"SP_EPS_EST",AO$7,$F$2,"Options:Curr="&amp;$F$3&amp;", NA=--"))</f>
        <v/>
      </c>
      <c r="AP20" s="75" t="str" cm="1">
        <f t="array" ref="AP20">IF($B20="","",_xll.SNL.Clients.Office.Excel.Functions.SPG($B20,"SP_EPS_EST",AP$7,$F$2,"Options:Curr="&amp;$F$3&amp;", NA=--"))</f>
        <v/>
      </c>
      <c r="AQ20" s="38"/>
      <c r="AR20" s="75" t="str" cm="1">
        <f t="array" ref="AR20">IF($B20="","",_xll.SNL.Clients.Office.Excel.Functions.SPG($B20,"IQ_ROE",AR$7,$F$2,"Options:Curr="&amp;$F$3&amp;", NA=--"))</f>
        <v/>
      </c>
      <c r="AS20" s="38"/>
      <c r="AT20" s="75" t="str" cm="1">
        <f t="array" ref="AT20">IF($B20="","",_xll.SNL.Clients.Office.Excel.Functions.SPG($B20,"IQ_BVPS",AT$7,$F$2,"Options:Curr="&amp;$F$3&amp;", NA=--"))</f>
        <v/>
      </c>
      <c r="AU20" s="38"/>
      <c r="AV20" s="75" t="str" cm="1">
        <f t="array" ref="AV20">IF($B20="","",_xll.SNL.Clients.Office.Excel.Functions.SPG($B20,"IQ_TBVPS",AV$7,$F$2,"Options:Curr="&amp;$F$3&amp;", NA=--"))</f>
        <v/>
      </c>
      <c r="AW20" s="38"/>
      <c r="AX20" s="67" t="str" cm="1">
        <f t="array" ref="AX20">IF($B20="","",_xll.SNL.Clients.Office.Excel.Functions.SPG($B20,"SP_DIV_YIELD",WORKDAY($F$2+1,-1),"Options: NA=--"))</f>
        <v/>
      </c>
      <c r="AY20" s="74" t="str" cm="1">
        <f t="array" ref="AY20">IF($B20="","",_xll.SNL.Clients.Office.Excel.Functions.SPG($B20,"IQ_TOTAL_EQUITY","FQ0",$F$2,"Options:Curr="&amp;$F$3&amp;", Mag=Millions, NA=--"))</f>
        <v/>
      </c>
      <c r="AZ20" s="74" t="str" cm="1">
        <f t="array" ref="AZ20">IF($B20="","",_xll.SNL.Clients.Office.Excel.Functions.SPG($B20,"IQ_TOTAL_DEBT","FQ0",$F$2,"Options:Curr="&amp;$F$3&amp;", Mag=Millions, NA=--"))</f>
        <v/>
      </c>
      <c r="BA20" s="74" t="str" cm="1">
        <f t="array" ref="BA20">IF($B20="","",_xll.SNL.Clients.Office.Excel.Functions.SPG($B20,"IQ_CASH_ST_INVEST","FQ0",$F$2,"Options:Curr="&amp;$F$3&amp;", Mag=Millions, NA=--"))</f>
        <v/>
      </c>
      <c r="BB20" s="74" t="e">
        <f>+AZ20-BA20</f>
        <v>#VALUE!</v>
      </c>
      <c r="BC20" s="74" t="str" cm="1">
        <f t="array" ref="BC20">IF($B20="","",_xll.SNL.Clients.Office.Excel.Functions.SPG($B20,"IQ_TOTAL_EQUITY","FQ0",$F$2,"Options:Curr="&amp;$F$3&amp;", Mag=Millions, NA=--"))</f>
        <v/>
      </c>
      <c r="BD20" s="38"/>
      <c r="BE20" s="71" t="str">
        <f>IF($B20="","",IFERROR(_xll.SNL.Clients.Office.Excel.Functions.SPG($B20,"SP_GROSS_MARGIN",BE$7,$F$2,"Options: NA=--")/100,"--"))</f>
        <v/>
      </c>
      <c r="BF20" s="71" t="str">
        <f>IF($B20="","",IFERROR(_xll.SNL.Clients.Office.Excel.Functions.SPG($B20,"SP_GROSS_MARGIN_EST",BF$7,$F$2,"Options: NA=--")/100,"--"))</f>
        <v/>
      </c>
      <c r="BG20" s="71" t="str">
        <f>IF($B20="","",IFERROR(_xll.SNL.Clients.Office.Excel.Functions.SPG($B20,"SP_GROSS_MARGIN_EST",BG$7,$F$2,"Options: NA=--")/100,"--"))</f>
        <v/>
      </c>
      <c r="BH20" s="71" t="str">
        <f>IF($B20="","",IFERROR(_xll.SNL.Clients.Office.Excel.Functions.SPG($B20,"SP_GROSS_MARGIN_EST",BH$7,$F$2,"Options: NA=--")/100,"--"))</f>
        <v/>
      </c>
    </row>
    <row r="21" spans="2:60" s="10" customFormat="1" ht="14.5" customHeight="1" x14ac:dyDescent="0.55000000000000004">
      <c r="B21" s="32"/>
      <c r="D21" s="10" t="str" cm="1">
        <f t="array" ref="D21">IF($B21="","",_xll.SNL.Clients.Office.Excel.Functions.SPG($B21, "SP_COMPANY_NAME"))</f>
        <v/>
      </c>
      <c r="G21" s="20" t="str" cm="1">
        <f t="array" ref="G21">IF($B21="","",_xll.SNL.Clients.Office.Excel.Functions.SPG($B21,"SP_LASTSALEPRICE",WORKDAY($F$2+1,-1),"Options:Curr="&amp;I21&amp;",NA=--"))</f>
        <v/>
      </c>
      <c r="H21" s="13" t="str" cm="1">
        <f t="array" ref="H21">IF($B21="","",_xll.SNL.Clients.Office.Excel.Functions.SPG($B21,"SP_PRICE_CLOSE",WORKDAY($F$2+1,-1),"Options:Curr="&amp;$F$3&amp;", NA=--"))</f>
        <v/>
      </c>
      <c r="I21" s="36" t="str" cm="1">
        <f t="array" ref="I21">IF($B21="","",_xll.SNL.Clients.Office.Excel.Functions.SPG($B21,"SP_TRADING_CURRENCY","Options: NA=--"))</f>
        <v/>
      </c>
      <c r="J21" s="82" t="str" cm="1">
        <f t="array" ref="J21">IF($B21="","n/a ",_xll.SNL.Clients.Office.Excel.Functions.SPG($B21,"SP_MARKETCAP",WORKDAY($F$2+1,-1),"Options:Curr="&amp;$F$3&amp;", Mag=Millions, NA=--"))</f>
        <v xml:space="preserve">n/a </v>
      </c>
      <c r="K21" s="82" t="str" cm="1">
        <f t="array" ref="K21">IF($B21="","n/a ",_xll.SNL.Clients.Office.Excel.Functions.SPG($B21,"IQ_TEV",WORKDAY($F$2+1,-1),"Options:Curr="&amp;$F$3&amp;", Mag=Millions, NA=--"))</f>
        <v xml:space="preserve">n/a </v>
      </c>
      <c r="L21" s="15" t="str">
        <f t="shared" si="17"/>
        <v xml:space="preserve">n/a </v>
      </c>
      <c r="M21" s="15" t="str">
        <f t="shared" si="17"/>
        <v xml:space="preserve">n/a </v>
      </c>
      <c r="N21" s="15" t="str">
        <f t="shared" si="17"/>
        <v xml:space="preserve">n/a </v>
      </c>
      <c r="O21" s="15" t="str">
        <f t="shared" si="18"/>
        <v xml:space="preserve">n/a </v>
      </c>
      <c r="P21" s="15" t="str">
        <f t="shared" si="18"/>
        <v xml:space="preserve">n/a </v>
      </c>
      <c r="Q21" s="15" t="str">
        <f t="shared" si="18"/>
        <v xml:space="preserve">n/a </v>
      </c>
      <c r="R21" s="31" t="str">
        <f t="shared" si="19"/>
        <v xml:space="preserve">n/a </v>
      </c>
      <c r="S21" s="31" t="str">
        <f t="shared" si="19"/>
        <v xml:space="preserve">n/a </v>
      </c>
      <c r="T21" s="31"/>
      <c r="U21" s="15" t="str">
        <f t="shared" si="20"/>
        <v xml:space="preserve">n/a </v>
      </c>
      <c r="V21" s="15" t="str">
        <f t="shared" si="21"/>
        <v xml:space="preserve">n/a </v>
      </c>
      <c r="W21" s="15" t="str">
        <f t="shared" si="21"/>
        <v xml:space="preserve">n/a </v>
      </c>
      <c r="X21" s="76" t="str">
        <f t="shared" si="22"/>
        <v xml:space="preserve">n/a </v>
      </c>
      <c r="Y21" s="15" t="str">
        <f t="shared" ref="Y21:Y25" si="23">IFERROR(H21/AT21,"n/a ")</f>
        <v xml:space="preserve">n/a </v>
      </c>
      <c r="Z21" s="15" t="str">
        <f t="shared" ref="Z21:Z25" si="24">IFERROR(H21/AV21,"n/a ")</f>
        <v xml:space="preserve">n/a </v>
      </c>
      <c r="AA21" s="57"/>
      <c r="AC21" s="74" t="str" cm="1">
        <f t="array" ref="AC21">IF($B21="","",_xll.SNL.Clients.Office.Excel.Functions.SPG($B21,"IQ_REV",AC$7,$F$2,"Options:Curr="&amp;$F$3&amp;", Mag=Millions, NA=--"))</f>
        <v/>
      </c>
      <c r="AD21" s="74" t="str" cm="1">
        <f t="array" ref="AD21">IF($B21="","",_xll.SNL.Clients.Office.Excel.Functions.SPG($B21,"SP_REV_EST",AD$7,$F$2,"Options:Curr="&amp;$F$3&amp;", Mag=Millions, NA=--"))</f>
        <v/>
      </c>
      <c r="AE21" s="74" t="str" cm="1">
        <f t="array" ref="AE21">IF($B21="","",_xll.SNL.Clients.Office.Excel.Functions.SPG($B21,"SP_REV_EST",AE$7,$F$2,"Options:Curr="&amp;$F$3&amp;", Mag=Millions, NA=--"))</f>
        <v/>
      </c>
      <c r="AF21" s="74" t="str" cm="1">
        <f t="array" ref="AF21">IF($B21="","",_xll.SNL.Clients.Office.Excel.Functions.SPG($B21,"SP_REV_EST",AF$7,$F$2,"Options:Curr="&amp;$F$3&amp;", Mag=Millions, NA=--"))</f>
        <v/>
      </c>
      <c r="AG21" s="73"/>
      <c r="AH21" s="74" t="str" cm="1">
        <f t="array" ref="AH21">IF($B21="","",_xll.SNL.Clients.Office.Excel.Functions.SPG($B21,"SP_EBITDA",AH$7,$F$2,"Options:Curr="&amp;$F$3&amp;", Mag=Millions, NA=--"))</f>
        <v/>
      </c>
      <c r="AI21" s="74" t="str" cm="1">
        <f t="array" ref="AI21">IF($B21="","",_xll.SNL.Clients.Office.Excel.Functions.SPG($B21,"SP_EBITDA_EST",AI$7,$F$2,"Options:Curr="&amp;$F$3&amp;", Mag=Millions, NA=--"))</f>
        <v/>
      </c>
      <c r="AJ21" s="74" t="str" cm="1">
        <f t="array" ref="AJ21">IF($B21="","",_xll.SNL.Clients.Office.Excel.Functions.SPG($B21,"SP_EBITDA_EST",AJ$7,$F$2,"Options:Curr="&amp;$F$3&amp;", Mag=Millions, NA=--"))</f>
        <v/>
      </c>
      <c r="AK21" s="74" t="str" cm="1">
        <f t="array" ref="AK21">IF($B21="","",_xll.SNL.Clients.Office.Excel.Functions.SPG($B21,"SP_EBITDA_EST",AK$7,$F$2,"Options:Curr="&amp;$F$3&amp;", Mag=Millions, NA=--"))</f>
        <v/>
      </c>
      <c r="AL21" s="38"/>
      <c r="AM21" s="75" t="str" cm="1">
        <f t="array" ref="AM21">IF($B21="","",_xll.SNL.Clients.Office.Excel.Functions.SPG($B21,"IQ_BASIC_EPS_BEFORE_EXTRA",AM$7,$F$2,"Options:Curr="&amp;$F$3&amp;", NA=--"))</f>
        <v/>
      </c>
      <c r="AN21" s="75" t="str" cm="1">
        <f t="array" ref="AN21">IF($B21="","",_xll.SNL.Clients.Office.Excel.Functions.SPG($B21,"SP_EPS_EST",AN$7,$F$2,"Options:Curr="&amp;$F$3&amp;", NA=--"))</f>
        <v/>
      </c>
      <c r="AO21" s="75" t="str" cm="1">
        <f t="array" ref="AO21">IF($B21="","",_xll.SNL.Clients.Office.Excel.Functions.SPG($B21,"SP_EPS_EST",AO$7,$F$2,"Options:Curr="&amp;$F$3&amp;", NA=--"))</f>
        <v/>
      </c>
      <c r="AP21" s="75" t="str" cm="1">
        <f t="array" ref="AP21">IF($B21="","",_xll.SNL.Clients.Office.Excel.Functions.SPG($B21,"SP_EPS_EST",AP$7,$F$2,"Options:Curr="&amp;$F$3&amp;", NA=--"))</f>
        <v/>
      </c>
      <c r="AQ21" s="38"/>
      <c r="AR21" s="75" t="str" cm="1">
        <f t="array" ref="AR21">IF($B21="","",_xll.SNL.Clients.Office.Excel.Functions.SPG($B21,"IQ_ROE",AR$7,$F$2,"Options:Curr="&amp;$F$3&amp;", NA=--"))</f>
        <v/>
      </c>
      <c r="AS21" s="38"/>
      <c r="AT21" s="75" t="str" cm="1">
        <f t="array" ref="AT21">IF($B21="","",_xll.SNL.Clients.Office.Excel.Functions.SPG($B21,"IQ_BVPS",AT$7,$F$2,"Options:Curr="&amp;$F$3&amp;", NA=--"))</f>
        <v/>
      </c>
      <c r="AU21" s="38"/>
      <c r="AV21" s="75" t="str" cm="1">
        <f t="array" ref="AV21">IF($B21="","",_xll.SNL.Clients.Office.Excel.Functions.SPG($B21,"IQ_TBVPS",AV$7,$F$2,"Options:Curr="&amp;$F$3&amp;", NA=--"))</f>
        <v/>
      </c>
      <c r="AW21" s="38"/>
      <c r="AX21" s="67" t="str" cm="1">
        <f t="array" ref="AX21">IF($B21="","",_xll.SNL.Clients.Office.Excel.Functions.SPG($B21,"SP_DIV_YIELD",WORKDAY($F$2+1,-1),"Options: NA=--"))</f>
        <v/>
      </c>
      <c r="AY21" s="74" t="str" cm="1">
        <f t="array" ref="AY21">IF($B21="","",_xll.SNL.Clients.Office.Excel.Functions.SPG($B21,"IQ_TOTAL_EQUITY","FQ0",$F$2,"Options:Curr="&amp;$F$3&amp;", Mag=Millions, NA=--"))</f>
        <v/>
      </c>
      <c r="AZ21" s="74" t="str" cm="1">
        <f t="array" ref="AZ21">IF($B21="","",_xll.SNL.Clients.Office.Excel.Functions.SPG($B21,"IQ_TOTAL_DEBT","FQ0",$F$2,"Options:Curr="&amp;$F$3&amp;", Mag=Millions, NA=--"))</f>
        <v/>
      </c>
      <c r="BA21" s="74" t="str" cm="1">
        <f t="array" ref="BA21">IF($B21="","",_xll.SNL.Clients.Office.Excel.Functions.SPG($B21,"IQ_CASH_ST_INVEST","FQ0",$F$2,"Options:Curr="&amp;$F$3&amp;", Mag=Millions, NA=--"))</f>
        <v/>
      </c>
      <c r="BB21" s="74" t="e">
        <f t="shared" ref="BB21:BB25" si="25">+AZ21-BA21</f>
        <v>#VALUE!</v>
      </c>
      <c r="BC21" s="74" t="str" cm="1">
        <f t="array" ref="BC21">IF($B21="","",_xll.SNL.Clients.Office.Excel.Functions.SPG($B21,"IQ_TOTAL_EQUITY","FQ0",$F$2,"Options:Curr="&amp;$F$3&amp;", Mag=Millions, NA=--"))</f>
        <v/>
      </c>
      <c r="BD21" s="38"/>
      <c r="BE21" s="71" t="str">
        <f>IF($B21="","",IFERROR(_xll.SNL.Clients.Office.Excel.Functions.SPG($B21,"SP_GROSS_MARGIN",BE$7,$F$2,"Options: NA=--")/100,"--"))</f>
        <v/>
      </c>
      <c r="BF21" s="71" t="str">
        <f>IF($B21="","",IFERROR(_xll.SNL.Clients.Office.Excel.Functions.SPG($B21,"SP_GROSS_MARGIN_EST",BF$7,$F$2,"Options: NA=--")/100,"--"))</f>
        <v/>
      </c>
      <c r="BG21" s="71" t="str">
        <f>IF($B21="","",IFERROR(_xll.SNL.Clients.Office.Excel.Functions.SPG($B21,"SP_GROSS_MARGIN_EST",BG$7,$F$2,"Options: NA=--")/100,"--"))</f>
        <v/>
      </c>
      <c r="BH21" s="71" t="str">
        <f>IF($B21="","",IFERROR(_xll.SNL.Clients.Office.Excel.Functions.SPG($B21,"SP_GROSS_MARGIN_EST",BH$7,$F$2,"Options: NA=--")/100,"--"))</f>
        <v/>
      </c>
    </row>
    <row r="22" spans="2:60" s="10" customFormat="1" ht="14.5" customHeight="1" x14ac:dyDescent="0.55000000000000004">
      <c r="B22" s="32"/>
      <c r="D22" s="10" t="str" cm="1">
        <f t="array" ref="D22">IF($B22="","",_xll.SNL.Clients.Office.Excel.Functions.SPG($B22, "SP_COMPANY_NAME"))</f>
        <v/>
      </c>
      <c r="G22" s="20" t="str" cm="1">
        <f t="array" ref="G22">IF($B22="","",_xll.SNL.Clients.Office.Excel.Functions.SPG($B22,"SP_LASTSALEPRICE",WORKDAY($F$2+1,-1),"Options:Curr="&amp;I22&amp;",NA=--"))</f>
        <v/>
      </c>
      <c r="H22" s="13" t="str" cm="1">
        <f t="array" ref="H22">IF($B22="","",_xll.SNL.Clients.Office.Excel.Functions.SPG($B22,"SP_PRICE_CLOSE",WORKDAY($F$2+1,-1),"Options:Curr="&amp;$F$3&amp;", NA=--"))</f>
        <v/>
      </c>
      <c r="I22" s="36" t="str" cm="1">
        <f t="array" ref="I22">IF($B22="","",_xll.SNL.Clients.Office.Excel.Functions.SPG($B22,"SP_TRADING_CURRENCY","Options: NA=--"))</f>
        <v/>
      </c>
      <c r="J22" s="82" t="str" cm="1">
        <f t="array" ref="J22">IF($B22="","n/a ",_xll.SNL.Clients.Office.Excel.Functions.SPG($B22,"SP_MARKETCAP",WORKDAY($F$2+1,-1),"Options:Curr="&amp;$F$3&amp;", Mag=Millions, NA=--"))</f>
        <v xml:space="preserve">n/a </v>
      </c>
      <c r="K22" s="82" t="str" cm="1">
        <f t="array" ref="K22">IF($B22="","n/a ",_xll.SNL.Clients.Office.Excel.Functions.SPG($B22,"IQ_TEV",WORKDAY($F$2+1,-1),"Options:Curr="&amp;$F$3&amp;", Mag=Millions, NA=--"))</f>
        <v xml:space="preserve">n/a </v>
      </c>
      <c r="L22" s="15" t="str">
        <f t="shared" si="17"/>
        <v xml:space="preserve">n/a </v>
      </c>
      <c r="M22" s="15" t="str">
        <f t="shared" si="17"/>
        <v xml:space="preserve">n/a </v>
      </c>
      <c r="N22" s="15" t="str">
        <f t="shared" si="17"/>
        <v xml:space="preserve">n/a </v>
      </c>
      <c r="O22" s="15" t="str">
        <f t="shared" si="18"/>
        <v xml:space="preserve">n/a </v>
      </c>
      <c r="P22" s="15" t="str">
        <f t="shared" si="18"/>
        <v xml:space="preserve">n/a </v>
      </c>
      <c r="Q22" s="15" t="str">
        <f t="shared" si="18"/>
        <v xml:space="preserve">n/a </v>
      </c>
      <c r="R22" s="31" t="str">
        <f t="shared" si="19"/>
        <v xml:space="preserve">n/a </v>
      </c>
      <c r="S22" s="31" t="str">
        <f t="shared" si="19"/>
        <v xml:space="preserve">n/a </v>
      </c>
      <c r="T22" s="31"/>
      <c r="U22" s="15" t="str">
        <f t="shared" si="20"/>
        <v xml:space="preserve">n/a </v>
      </c>
      <c r="V22" s="15" t="str">
        <f t="shared" si="21"/>
        <v xml:space="preserve">n/a </v>
      </c>
      <c r="W22" s="15" t="str">
        <f t="shared" si="21"/>
        <v xml:space="preserve">n/a </v>
      </c>
      <c r="X22" s="76" t="str">
        <f t="shared" si="22"/>
        <v xml:space="preserve">n/a </v>
      </c>
      <c r="Y22" s="15" t="str">
        <f t="shared" si="23"/>
        <v xml:space="preserve">n/a </v>
      </c>
      <c r="Z22" s="15" t="str">
        <f t="shared" si="24"/>
        <v xml:space="preserve">n/a </v>
      </c>
      <c r="AA22" s="57"/>
      <c r="AC22" s="74" t="str" cm="1">
        <f t="array" ref="AC22">IF($B22="","",_xll.SNL.Clients.Office.Excel.Functions.SPG($B22,"IQ_REV",AC$7,$F$2,"Options:Curr="&amp;$F$3&amp;", Mag=Millions, NA=--"))</f>
        <v/>
      </c>
      <c r="AD22" s="74" t="str" cm="1">
        <f t="array" ref="AD22">IF($B22="","",_xll.SNL.Clients.Office.Excel.Functions.SPG($B22,"SP_REV_EST",AD$7,$F$2,"Options:Curr="&amp;$F$3&amp;", Mag=Millions, NA=--"))</f>
        <v/>
      </c>
      <c r="AE22" s="74" t="str" cm="1">
        <f t="array" ref="AE22">IF($B22="","",_xll.SNL.Clients.Office.Excel.Functions.SPG($B22,"SP_REV_EST",AE$7,$F$2,"Options:Curr="&amp;$F$3&amp;", Mag=Millions, NA=--"))</f>
        <v/>
      </c>
      <c r="AF22" s="74" t="str" cm="1">
        <f t="array" ref="AF22">IF($B22="","",_xll.SNL.Clients.Office.Excel.Functions.SPG($B22,"SP_REV_EST",AF$7,$F$2,"Options:Curr="&amp;$F$3&amp;", Mag=Millions, NA=--"))</f>
        <v/>
      </c>
      <c r="AG22" s="73"/>
      <c r="AH22" s="74" t="str" cm="1">
        <f t="array" ref="AH22">IF($B22="","",_xll.SNL.Clients.Office.Excel.Functions.SPG($B22,"SP_EBITDA",AH$7,$F$2,"Options:Curr="&amp;$F$3&amp;", Mag=Millions, NA=--"))</f>
        <v/>
      </c>
      <c r="AI22" s="74" t="str" cm="1">
        <f t="array" ref="AI22">IF($B22="","",_xll.SNL.Clients.Office.Excel.Functions.SPG($B22,"SP_EBITDA_EST",AI$7,$F$2,"Options:Curr="&amp;$F$3&amp;", Mag=Millions, NA=--"))</f>
        <v/>
      </c>
      <c r="AJ22" s="74" t="str" cm="1">
        <f t="array" ref="AJ22">IF($B22="","",_xll.SNL.Clients.Office.Excel.Functions.SPG($B22,"SP_EBITDA_EST",AJ$7,$F$2,"Options:Curr="&amp;$F$3&amp;", Mag=Millions, NA=--"))</f>
        <v/>
      </c>
      <c r="AK22" s="74" t="str" cm="1">
        <f t="array" ref="AK22">IF($B22="","",_xll.SNL.Clients.Office.Excel.Functions.SPG($B22,"SP_EBITDA_EST",AK$7,$F$2,"Options:Curr="&amp;$F$3&amp;", Mag=Millions, NA=--"))</f>
        <v/>
      </c>
      <c r="AL22" s="38"/>
      <c r="AM22" s="75" t="str" cm="1">
        <f t="array" ref="AM22">IF($B22="","",_xll.SNL.Clients.Office.Excel.Functions.SPG($B22,"IQ_BASIC_EPS_BEFORE_EXTRA",AM$7,$F$2,"Options:Curr="&amp;$F$3&amp;", NA=--"))</f>
        <v/>
      </c>
      <c r="AN22" s="75" t="str" cm="1">
        <f t="array" ref="AN22">IF($B22="","",_xll.SNL.Clients.Office.Excel.Functions.SPG($B22,"SP_EPS_EST",AN$7,$F$2,"Options:Curr="&amp;$F$3&amp;", NA=--"))</f>
        <v/>
      </c>
      <c r="AO22" s="75" t="str" cm="1">
        <f t="array" ref="AO22">IF($B22="","",_xll.SNL.Clients.Office.Excel.Functions.SPG($B22,"SP_EPS_EST",AO$7,$F$2,"Options:Curr="&amp;$F$3&amp;", NA=--"))</f>
        <v/>
      </c>
      <c r="AP22" s="75" t="str" cm="1">
        <f t="array" ref="AP22">IF($B22="","",_xll.SNL.Clients.Office.Excel.Functions.SPG($B22,"SP_EPS_EST",AP$7,$F$2,"Options:Curr="&amp;$F$3&amp;", NA=--"))</f>
        <v/>
      </c>
      <c r="AQ22" s="38"/>
      <c r="AR22" s="75" t="str" cm="1">
        <f t="array" ref="AR22">IF($B22="","",_xll.SNL.Clients.Office.Excel.Functions.SPG($B22,"IQ_ROE",AR$7,$F$2,"Options:Curr="&amp;$F$3&amp;", NA=--"))</f>
        <v/>
      </c>
      <c r="AS22" s="38"/>
      <c r="AT22" s="75" t="str" cm="1">
        <f t="array" ref="AT22">IF($B22="","",_xll.SNL.Clients.Office.Excel.Functions.SPG($B22,"IQ_BVPS",AT$7,$F$2,"Options:Curr="&amp;$F$3&amp;", NA=--"))</f>
        <v/>
      </c>
      <c r="AU22" s="38"/>
      <c r="AV22" s="75" t="str" cm="1">
        <f t="array" ref="AV22">IF($B22="","",_xll.SNL.Clients.Office.Excel.Functions.SPG($B22,"IQ_TBVPS",AV$7,$F$2,"Options:Curr="&amp;$F$3&amp;", NA=--"))</f>
        <v/>
      </c>
      <c r="AW22" s="38"/>
      <c r="AX22" s="67" t="str" cm="1">
        <f t="array" ref="AX22">IF($B22="","",_xll.SNL.Clients.Office.Excel.Functions.SPG($B22,"SP_DIV_YIELD",WORKDAY($F$2+1,-1),"Options: NA=--"))</f>
        <v/>
      </c>
      <c r="AY22" s="74" t="str" cm="1">
        <f t="array" ref="AY22">IF($B22="","",_xll.SNL.Clients.Office.Excel.Functions.SPG($B22,"IQ_TOTAL_EQUITY","FQ0",$F$2,"Options:Curr="&amp;$F$3&amp;", Mag=Millions, NA=--"))</f>
        <v/>
      </c>
      <c r="AZ22" s="74" t="str" cm="1">
        <f t="array" ref="AZ22">IF($B22="","",_xll.SNL.Clients.Office.Excel.Functions.SPG($B22,"IQ_TOTAL_DEBT","FQ0",$F$2,"Options:Curr="&amp;$F$3&amp;", Mag=Millions, NA=--"))</f>
        <v/>
      </c>
      <c r="BA22" s="74" t="str" cm="1">
        <f t="array" ref="BA22">IF($B22="","",_xll.SNL.Clients.Office.Excel.Functions.SPG($B22,"IQ_CASH_ST_INVEST","FQ0",$F$2,"Options:Curr="&amp;$F$3&amp;", Mag=Millions, NA=--"))</f>
        <v/>
      </c>
      <c r="BB22" s="74" t="e">
        <f t="shared" si="25"/>
        <v>#VALUE!</v>
      </c>
      <c r="BC22" s="74" t="str" cm="1">
        <f t="array" ref="BC22">IF($B22="","",_xll.SNL.Clients.Office.Excel.Functions.SPG($B22,"IQ_TOTAL_EQUITY","FQ0",$F$2,"Options:Curr="&amp;$F$3&amp;", Mag=Millions, NA=--"))</f>
        <v/>
      </c>
      <c r="BD22" s="38"/>
      <c r="BE22" s="71" t="str">
        <f>IF($B22="","",IFERROR(_xll.SNL.Clients.Office.Excel.Functions.SPG($B22,"SP_GROSS_MARGIN",BE$7,$F$2,"Options: NA=--")/100,"--"))</f>
        <v/>
      </c>
      <c r="BF22" s="71" t="str">
        <f>IF($B22="","",IFERROR(_xll.SNL.Clients.Office.Excel.Functions.SPG($B22,"SP_GROSS_MARGIN_EST",BF$7,$F$2,"Options: NA=--")/100,"--"))</f>
        <v/>
      </c>
      <c r="BG22" s="71" t="str">
        <f>IF($B22="","",IFERROR(_xll.SNL.Clients.Office.Excel.Functions.SPG($B22,"SP_GROSS_MARGIN_EST",BG$7,$F$2,"Options: NA=--")/100,"--"))</f>
        <v/>
      </c>
      <c r="BH22" s="71" t="str">
        <f>IF($B22="","",IFERROR(_xll.SNL.Clients.Office.Excel.Functions.SPG($B22,"SP_GROSS_MARGIN_EST",BH$7,$F$2,"Options: NA=--")/100,"--"))</f>
        <v/>
      </c>
    </row>
    <row r="23" spans="2:60" s="10" customFormat="1" ht="14.5" customHeight="1" x14ac:dyDescent="0.55000000000000004">
      <c r="B23" s="32"/>
      <c r="D23" s="10" t="str" cm="1">
        <f t="array" ref="D23">IF($B23="","",_xll.SNL.Clients.Office.Excel.Functions.SPG($B23, "SP_COMPANY_NAME"))</f>
        <v/>
      </c>
      <c r="G23" s="20" t="str" cm="1">
        <f t="array" ref="G23">IF($B23="","",_xll.SNL.Clients.Office.Excel.Functions.SPG($B23,"SP_LASTSALEPRICE",WORKDAY($F$2+1,-1),"Options:Curr="&amp;I23&amp;",NA=--"))</f>
        <v/>
      </c>
      <c r="H23" s="13" t="str" cm="1">
        <f t="array" ref="H23">IF($B23="","",_xll.SNL.Clients.Office.Excel.Functions.SPG($B23,"SP_PRICE_CLOSE",WORKDAY($F$2+1,-1),"Options:Curr="&amp;$F$3&amp;", NA=--"))</f>
        <v/>
      </c>
      <c r="I23" s="36" t="str" cm="1">
        <f t="array" ref="I23">IF($B23="","",_xll.SNL.Clients.Office.Excel.Functions.SPG($B23,"SP_TRADING_CURRENCY","Options: NA=--"))</f>
        <v/>
      </c>
      <c r="J23" s="82" t="str" cm="1">
        <f t="array" ref="J23">IF($B23="","n/a ",_xll.SNL.Clients.Office.Excel.Functions.SPG($B23,"SP_MARKETCAP",WORKDAY($F$2+1,-1),"Options:Curr="&amp;$F$3&amp;", Mag=Millions, NA=--"))</f>
        <v xml:space="preserve">n/a </v>
      </c>
      <c r="K23" s="82" t="str" cm="1">
        <f t="array" ref="K23">IF($B23="","n/a ",_xll.SNL.Clients.Office.Excel.Functions.SPG($B23,"IQ_TEV",WORKDAY($F$2+1,-1),"Options:Curr="&amp;$F$3&amp;", Mag=Millions, NA=--"))</f>
        <v xml:space="preserve">n/a </v>
      </c>
      <c r="L23" s="15" t="str">
        <f t="shared" si="17"/>
        <v xml:space="preserve">n/a </v>
      </c>
      <c r="M23" s="15" t="str">
        <f t="shared" si="17"/>
        <v xml:space="preserve">n/a </v>
      </c>
      <c r="N23" s="15" t="str">
        <f t="shared" si="17"/>
        <v xml:space="preserve">n/a </v>
      </c>
      <c r="O23" s="15" t="str">
        <f t="shared" si="18"/>
        <v xml:space="preserve">n/a </v>
      </c>
      <c r="P23" s="15" t="str">
        <f t="shared" si="18"/>
        <v xml:space="preserve">n/a </v>
      </c>
      <c r="Q23" s="15" t="str">
        <f t="shared" si="18"/>
        <v xml:space="preserve">n/a </v>
      </c>
      <c r="R23" s="31" t="str">
        <f t="shared" ref="R23:R24" si="26">IFERROR((AE23/AD23)-1,"n/a ")</f>
        <v xml:space="preserve">n/a </v>
      </c>
      <c r="S23" s="31" t="str">
        <f t="shared" ref="S23:S24" si="27">IFERROR((AF23/AE23)-1,"n/a ")</f>
        <v xml:space="preserve">n/a </v>
      </c>
      <c r="T23" s="31"/>
      <c r="U23" s="15" t="str">
        <f t="shared" si="20"/>
        <v xml:space="preserve">n/a </v>
      </c>
      <c r="V23" s="15" t="str">
        <f t="shared" si="21"/>
        <v xml:space="preserve">n/a </v>
      </c>
      <c r="W23" s="15" t="str">
        <f t="shared" si="21"/>
        <v xml:space="preserve">n/a </v>
      </c>
      <c r="X23" s="76" t="str">
        <f t="shared" si="22"/>
        <v xml:space="preserve">n/a </v>
      </c>
      <c r="Y23" s="15" t="str">
        <f t="shared" si="23"/>
        <v xml:space="preserve">n/a </v>
      </c>
      <c r="Z23" s="15" t="str">
        <f t="shared" si="24"/>
        <v xml:space="preserve">n/a </v>
      </c>
      <c r="AA23" s="57"/>
      <c r="AC23" s="74" t="str" cm="1">
        <f t="array" ref="AC23">IF($B23="","",_xll.SNL.Clients.Office.Excel.Functions.SPG($B23,"IQ_REV",AC$7,$F$2,"Options:Curr="&amp;$F$3&amp;", Mag=Millions, NA=--"))</f>
        <v/>
      </c>
      <c r="AD23" s="74" t="str" cm="1">
        <f t="array" ref="AD23">IF($B23="","",_xll.SNL.Clients.Office.Excel.Functions.SPG($B23,"SP_REV_EST",AD$7,$F$2,"Options:Curr="&amp;$F$3&amp;", Mag=Millions, NA=--"))</f>
        <v/>
      </c>
      <c r="AE23" s="74" t="str" cm="1">
        <f t="array" ref="AE23">IF($B23="","",_xll.SNL.Clients.Office.Excel.Functions.SPG($B23,"SP_REV_EST",AE$7,$F$2,"Options:Curr="&amp;$F$3&amp;", Mag=Millions, NA=--"))</f>
        <v/>
      </c>
      <c r="AF23" s="74" t="str" cm="1">
        <f t="array" ref="AF23">IF($B23="","",_xll.SNL.Clients.Office.Excel.Functions.SPG($B23,"SP_REV_EST",AF$7,$F$2,"Options:Curr="&amp;$F$3&amp;", Mag=Millions, NA=--"))</f>
        <v/>
      </c>
      <c r="AG23" s="73"/>
      <c r="AH23" s="74" t="str" cm="1">
        <f t="array" ref="AH23">IF($B23="","",_xll.SNL.Clients.Office.Excel.Functions.SPG($B23,"SP_EBITDA",AH$7,$F$2,"Options:Curr="&amp;$F$3&amp;", Mag=Millions, NA=--"))</f>
        <v/>
      </c>
      <c r="AI23" s="74" t="str" cm="1">
        <f t="array" ref="AI23">IF($B23="","",_xll.SNL.Clients.Office.Excel.Functions.SPG($B23,"SP_EBITDA_EST",AI$7,$F$2,"Options:Curr="&amp;$F$3&amp;", Mag=Millions, NA=--"))</f>
        <v/>
      </c>
      <c r="AJ23" s="74" t="str" cm="1">
        <f t="array" ref="AJ23">IF($B23="","",_xll.SNL.Clients.Office.Excel.Functions.SPG($B23,"SP_EBITDA_EST",AJ$7,$F$2,"Options:Curr="&amp;$F$3&amp;", Mag=Millions, NA=--"))</f>
        <v/>
      </c>
      <c r="AK23" s="74" t="str" cm="1">
        <f t="array" ref="AK23">IF($B23="","",_xll.SNL.Clients.Office.Excel.Functions.SPG($B23,"SP_EBITDA_EST",AK$7,$F$2,"Options:Curr="&amp;$F$3&amp;", Mag=Millions, NA=--"))</f>
        <v/>
      </c>
      <c r="AL23" s="38"/>
      <c r="AM23" s="75" t="str" cm="1">
        <f t="array" ref="AM23">IF($B23="","",_xll.SNL.Clients.Office.Excel.Functions.SPG($B23,"IQ_BASIC_EPS_BEFORE_EXTRA",AM$7,$F$2,"Options:Curr="&amp;$F$3&amp;", NA=--"))</f>
        <v/>
      </c>
      <c r="AN23" s="75" t="str" cm="1">
        <f t="array" ref="AN23">IF($B23="","",_xll.SNL.Clients.Office.Excel.Functions.SPG($B23,"SP_EPS_EST",AN$7,$F$2,"Options:Curr="&amp;$F$3&amp;", NA=--"))</f>
        <v/>
      </c>
      <c r="AO23" s="75" t="str" cm="1">
        <f t="array" ref="AO23">IF($B23="","",_xll.SNL.Clients.Office.Excel.Functions.SPG($B23,"SP_EPS_EST",AO$7,$F$2,"Options:Curr="&amp;$F$3&amp;", NA=--"))</f>
        <v/>
      </c>
      <c r="AP23" s="75" t="str" cm="1">
        <f t="array" ref="AP23">IF($B23="","",_xll.SNL.Clients.Office.Excel.Functions.SPG($B23,"SP_EPS_EST",AP$7,$F$2,"Options:Curr="&amp;$F$3&amp;", NA=--"))</f>
        <v/>
      </c>
      <c r="AQ23" s="38"/>
      <c r="AR23" s="75" t="str" cm="1">
        <f t="array" ref="AR23">IF($B23="","",_xll.SNL.Clients.Office.Excel.Functions.SPG($B23,"IQ_ROE",AR$7,$F$2,"Options:Curr="&amp;$F$3&amp;", NA=--"))</f>
        <v/>
      </c>
      <c r="AS23" s="38"/>
      <c r="AT23" s="75" t="str" cm="1">
        <f t="array" ref="AT23">IF($B23="","",_xll.SNL.Clients.Office.Excel.Functions.SPG($B23,"IQ_BVPS",AT$7,$F$2,"Options:Curr="&amp;$F$3&amp;", NA=--"))</f>
        <v/>
      </c>
      <c r="AU23" s="38"/>
      <c r="AV23" s="75" t="str" cm="1">
        <f t="array" ref="AV23">IF($B23="","",_xll.SNL.Clients.Office.Excel.Functions.SPG($B23,"IQ_TBVPS",AV$7,$F$2,"Options:Curr="&amp;$F$3&amp;", NA=--"))</f>
        <v/>
      </c>
      <c r="AW23" s="38"/>
      <c r="AX23" s="67" t="str" cm="1">
        <f t="array" ref="AX23">IF($B23="","",_xll.SNL.Clients.Office.Excel.Functions.SPG($B23,"SP_DIV_YIELD",WORKDAY($F$2+1,-1),"Options: NA=--"))</f>
        <v/>
      </c>
      <c r="AY23" s="74" t="str" cm="1">
        <f t="array" ref="AY23">IF($B23="","",_xll.SNL.Clients.Office.Excel.Functions.SPG($B23,"IQ_TOTAL_EQUITY","FQ0",$F$2,"Options:Curr="&amp;$F$3&amp;", Mag=Millions, NA=--"))</f>
        <v/>
      </c>
      <c r="AZ23" s="74" t="str" cm="1">
        <f t="array" ref="AZ23">IF($B23="","",_xll.SNL.Clients.Office.Excel.Functions.SPG($B23,"IQ_TOTAL_DEBT","FQ0",$F$2,"Options:Curr="&amp;$F$3&amp;", Mag=Millions, NA=--"))</f>
        <v/>
      </c>
      <c r="BA23" s="74" t="str" cm="1">
        <f t="array" ref="BA23">IF($B23="","",_xll.SNL.Clients.Office.Excel.Functions.SPG($B23,"IQ_CASH_ST_INVEST","FQ0",$F$2,"Options:Curr="&amp;$F$3&amp;", Mag=Millions, NA=--"))</f>
        <v/>
      </c>
      <c r="BB23" s="74" t="e">
        <f t="shared" si="25"/>
        <v>#VALUE!</v>
      </c>
      <c r="BC23" s="74" t="str" cm="1">
        <f t="array" ref="BC23">IF($B23="","",_xll.SNL.Clients.Office.Excel.Functions.SPG($B23,"IQ_TOTAL_EQUITY","FQ0",$F$2,"Options:Curr="&amp;$F$3&amp;", Mag=Millions, NA=--"))</f>
        <v/>
      </c>
      <c r="BD23" s="38"/>
      <c r="BE23" s="71" t="str">
        <f>IF($B23="","",IFERROR(_xll.SNL.Clients.Office.Excel.Functions.SPG($B23,"SP_GROSS_MARGIN",BE$7,$F$2,"Options: NA=--")/100,"--"))</f>
        <v/>
      </c>
      <c r="BF23" s="71" t="str">
        <f>IF($B23="","",IFERROR(_xll.SNL.Clients.Office.Excel.Functions.SPG($B23,"SP_GROSS_MARGIN_EST",BF$7,$F$2,"Options: NA=--")/100,"--"))</f>
        <v/>
      </c>
      <c r="BG23" s="71" t="str">
        <f>IF($B23="","",IFERROR(_xll.SNL.Clients.Office.Excel.Functions.SPG($B23,"SP_GROSS_MARGIN_EST",BG$7,$F$2,"Options: NA=--")/100,"--"))</f>
        <v/>
      </c>
      <c r="BH23" s="71" t="str">
        <f>IF($B23="","",IFERROR(_xll.SNL.Clients.Office.Excel.Functions.SPG($B23,"SP_GROSS_MARGIN_EST",BH$7,$F$2,"Options: NA=--")/100,"--"))</f>
        <v/>
      </c>
    </row>
    <row r="24" spans="2:60" s="10" customFormat="1" ht="14.5" customHeight="1" x14ac:dyDescent="0.55000000000000004">
      <c r="B24" s="32"/>
      <c r="D24" s="10" t="str" cm="1">
        <f t="array" ref="D24">IF($B24="","",_xll.SNL.Clients.Office.Excel.Functions.SPG($B24, "SP_COMPANY_NAME"))</f>
        <v/>
      </c>
      <c r="G24" s="20" t="str" cm="1">
        <f t="array" ref="G24">IF($B24="","",_xll.SNL.Clients.Office.Excel.Functions.SPG($B24,"SP_LASTSALEPRICE",WORKDAY($F$2+1,-1),"Options:Curr="&amp;I24&amp;",NA=--"))</f>
        <v/>
      </c>
      <c r="H24" s="13" t="str" cm="1">
        <f t="array" ref="H24">IF($B24="","",_xll.SNL.Clients.Office.Excel.Functions.SPG($B24,"SP_PRICE_CLOSE",WORKDAY($F$2+1,-1),"Options:Curr="&amp;$F$3&amp;", NA=--"))</f>
        <v/>
      </c>
      <c r="I24" s="36" t="str" cm="1">
        <f t="array" ref="I24">IF($B24="","",_xll.SNL.Clients.Office.Excel.Functions.SPG($B24,"SP_TRADING_CURRENCY","Options: NA=--"))</f>
        <v/>
      </c>
      <c r="J24" s="82" t="str" cm="1">
        <f t="array" ref="J24">IF($B24="","n/a ",_xll.SNL.Clients.Office.Excel.Functions.SPG($B24,"SP_MARKETCAP",WORKDAY($F$2+1,-1),"Options:Curr="&amp;$F$3&amp;", Mag=Millions, NA=--"))</f>
        <v xml:space="preserve">n/a </v>
      </c>
      <c r="K24" s="82" t="str" cm="1">
        <f t="array" ref="K24">IF($B24="","n/a ",_xll.SNL.Clients.Office.Excel.Functions.SPG($B24,"IQ_TEV",WORKDAY($F$2+1,-1),"Options:Curr="&amp;$F$3&amp;", Mag=Millions, NA=--"))</f>
        <v xml:space="preserve">n/a </v>
      </c>
      <c r="L24" s="15" t="str">
        <f t="shared" si="17"/>
        <v xml:space="preserve">n/a </v>
      </c>
      <c r="M24" s="15" t="str">
        <f t="shared" si="17"/>
        <v xml:space="preserve">n/a </v>
      </c>
      <c r="N24" s="15" t="str">
        <f t="shared" si="17"/>
        <v xml:space="preserve">n/a </v>
      </c>
      <c r="O24" s="15" t="str">
        <f t="shared" si="18"/>
        <v xml:space="preserve">n/a </v>
      </c>
      <c r="P24" s="15" t="str">
        <f t="shared" si="18"/>
        <v xml:space="preserve">n/a </v>
      </c>
      <c r="Q24" s="15" t="str">
        <f t="shared" si="18"/>
        <v xml:space="preserve">n/a </v>
      </c>
      <c r="R24" s="31" t="str">
        <f t="shared" si="26"/>
        <v xml:space="preserve">n/a </v>
      </c>
      <c r="S24" s="31" t="str">
        <f t="shared" si="27"/>
        <v xml:space="preserve">n/a </v>
      </c>
      <c r="T24" s="31"/>
      <c r="U24" s="15" t="str">
        <f t="shared" si="20"/>
        <v xml:space="preserve">n/a </v>
      </c>
      <c r="V24" s="15" t="str">
        <f t="shared" si="21"/>
        <v xml:space="preserve">n/a </v>
      </c>
      <c r="W24" s="15" t="str">
        <f t="shared" si="21"/>
        <v xml:space="preserve">n/a </v>
      </c>
      <c r="X24" s="76" t="str">
        <f t="shared" si="22"/>
        <v xml:space="preserve">n/a </v>
      </c>
      <c r="Y24" s="15" t="str">
        <f t="shared" si="23"/>
        <v xml:space="preserve">n/a </v>
      </c>
      <c r="Z24" s="15" t="str">
        <f t="shared" si="24"/>
        <v xml:space="preserve">n/a </v>
      </c>
      <c r="AA24" s="57"/>
      <c r="AC24" s="74" t="str" cm="1">
        <f t="array" ref="AC24">IF($B24="","",_xll.SNL.Clients.Office.Excel.Functions.SPG($B24,"IQ_REV",AC$7,$F$2,"Options:Curr="&amp;$F$3&amp;", Mag=Millions, NA=--"))</f>
        <v/>
      </c>
      <c r="AD24" s="74" t="str" cm="1">
        <f t="array" ref="AD24">IF($B24="","",_xll.SNL.Clients.Office.Excel.Functions.SPG($B24,"SP_REV_EST",AD$7,$F$2,"Options:Curr="&amp;$F$3&amp;", Mag=Millions, NA=--"))</f>
        <v/>
      </c>
      <c r="AE24" s="74" t="str" cm="1">
        <f t="array" ref="AE24">IF($B24="","",_xll.SNL.Clients.Office.Excel.Functions.SPG($B24,"SP_REV_EST",AE$7,$F$2,"Options:Curr="&amp;$F$3&amp;", Mag=Millions, NA=--"))</f>
        <v/>
      </c>
      <c r="AF24" s="74" t="str" cm="1">
        <f t="array" ref="AF24">IF($B24="","",_xll.SNL.Clients.Office.Excel.Functions.SPG($B24,"SP_REV_EST",AF$7,$F$2,"Options:Curr="&amp;$F$3&amp;", Mag=Millions, NA=--"))</f>
        <v/>
      </c>
      <c r="AG24" s="73"/>
      <c r="AH24" s="74" t="str" cm="1">
        <f t="array" ref="AH24">IF($B24="","",_xll.SNL.Clients.Office.Excel.Functions.SPG($B24,"SP_EBITDA",AH$7,$F$2,"Options:Curr="&amp;$F$3&amp;", Mag=Millions, NA=--"))</f>
        <v/>
      </c>
      <c r="AI24" s="74" t="str" cm="1">
        <f t="array" ref="AI24">IF($B24="","",_xll.SNL.Clients.Office.Excel.Functions.SPG($B24,"SP_EBITDA_EST",AI$7,$F$2,"Options:Curr="&amp;$F$3&amp;", Mag=Millions, NA=--"))</f>
        <v/>
      </c>
      <c r="AJ24" s="74" t="str" cm="1">
        <f t="array" ref="AJ24">IF($B24="","",_xll.SNL.Clients.Office.Excel.Functions.SPG($B24,"SP_EBITDA_EST",AJ$7,$F$2,"Options:Curr="&amp;$F$3&amp;", Mag=Millions, NA=--"))</f>
        <v/>
      </c>
      <c r="AK24" s="74" t="str" cm="1">
        <f t="array" ref="AK24">IF($B24="","",_xll.SNL.Clients.Office.Excel.Functions.SPG($B24,"SP_EBITDA_EST",AK$7,$F$2,"Options:Curr="&amp;$F$3&amp;", Mag=Millions, NA=--"))</f>
        <v/>
      </c>
      <c r="AL24" s="38"/>
      <c r="AM24" s="75" t="str" cm="1">
        <f t="array" ref="AM24">IF($B24="","",_xll.SNL.Clients.Office.Excel.Functions.SPG($B24,"IQ_BASIC_EPS_BEFORE_EXTRA",AM$7,$F$2,"Options:Curr="&amp;$F$3&amp;", NA=--"))</f>
        <v/>
      </c>
      <c r="AN24" s="75" t="str" cm="1">
        <f t="array" ref="AN24">IF($B24="","",_xll.SNL.Clients.Office.Excel.Functions.SPG($B24,"SP_EPS_EST",AN$7,$F$2,"Options:Curr="&amp;$F$3&amp;", NA=--"))</f>
        <v/>
      </c>
      <c r="AO24" s="75" t="str" cm="1">
        <f t="array" ref="AO24">IF($B24="","",_xll.SNL.Clients.Office.Excel.Functions.SPG($B24,"SP_EPS_EST",AO$7,$F$2,"Options:Curr="&amp;$F$3&amp;", NA=--"))</f>
        <v/>
      </c>
      <c r="AP24" s="75" t="str" cm="1">
        <f t="array" ref="AP24">IF($B24="","",_xll.SNL.Clients.Office.Excel.Functions.SPG($B24,"SP_EPS_EST",AP$7,$F$2,"Options:Curr="&amp;$F$3&amp;", NA=--"))</f>
        <v/>
      </c>
      <c r="AQ24" s="38"/>
      <c r="AR24" s="75" t="str" cm="1">
        <f t="array" ref="AR24">IF($B24="","",_xll.SNL.Clients.Office.Excel.Functions.SPG($B24,"IQ_ROE",AR$7,$F$2,"Options:Curr="&amp;$F$3&amp;", NA=--"))</f>
        <v/>
      </c>
      <c r="AS24" s="38"/>
      <c r="AT24" s="75" t="str" cm="1">
        <f t="array" ref="AT24">IF($B24="","",_xll.SNL.Clients.Office.Excel.Functions.SPG($B24,"IQ_BVPS",AT$7,$F$2,"Options:Curr="&amp;$F$3&amp;", NA=--"))</f>
        <v/>
      </c>
      <c r="AU24" s="38"/>
      <c r="AV24" s="75" t="str" cm="1">
        <f t="array" ref="AV24">IF($B24="","",_xll.SNL.Clients.Office.Excel.Functions.SPG($B24,"IQ_TBVPS",AV$7,$F$2,"Options:Curr="&amp;$F$3&amp;", NA=--"))</f>
        <v/>
      </c>
      <c r="AW24" s="38"/>
      <c r="AX24" s="67" t="str" cm="1">
        <f t="array" ref="AX24">IF($B24="","",_xll.SNL.Clients.Office.Excel.Functions.SPG($B24,"SP_DIV_YIELD",WORKDAY($F$2+1,-1),"Options: NA=--"))</f>
        <v/>
      </c>
      <c r="AY24" s="74" t="str" cm="1">
        <f t="array" ref="AY24">IF($B24="","",_xll.SNL.Clients.Office.Excel.Functions.SPG($B24,"IQ_TOTAL_EQUITY","FQ0",$F$2,"Options:Curr="&amp;$F$3&amp;", Mag=Millions, NA=--"))</f>
        <v/>
      </c>
      <c r="AZ24" s="74" t="str" cm="1">
        <f t="array" ref="AZ24">IF($B24="","",_xll.SNL.Clients.Office.Excel.Functions.SPG($B24,"IQ_TOTAL_DEBT","FQ0",$F$2,"Options:Curr="&amp;$F$3&amp;", Mag=Millions, NA=--"))</f>
        <v/>
      </c>
      <c r="BA24" s="74" t="str" cm="1">
        <f t="array" ref="BA24">IF($B24="","",_xll.SNL.Clients.Office.Excel.Functions.SPG($B24,"IQ_CASH_ST_INVEST","FQ0",$F$2,"Options:Curr="&amp;$F$3&amp;", Mag=Millions, NA=--"))</f>
        <v/>
      </c>
      <c r="BB24" s="74" t="e">
        <f t="shared" si="25"/>
        <v>#VALUE!</v>
      </c>
      <c r="BC24" s="74" t="str" cm="1">
        <f t="array" ref="BC24">IF($B24="","",_xll.SNL.Clients.Office.Excel.Functions.SPG($B24,"IQ_TOTAL_EQUITY","FQ0",$F$2,"Options:Curr="&amp;$F$3&amp;", Mag=Millions, NA=--"))</f>
        <v/>
      </c>
      <c r="BD24" s="38"/>
      <c r="BE24" s="71" t="str">
        <f>IF($B24="","",IFERROR(_xll.SNL.Clients.Office.Excel.Functions.SPG($B24,"SP_GROSS_MARGIN",BE$7,$F$2,"Options: NA=--")/100,"--"))</f>
        <v/>
      </c>
      <c r="BF24" s="71" t="str">
        <f>IF($B24="","",IFERROR(_xll.SNL.Clients.Office.Excel.Functions.SPG($B24,"SP_GROSS_MARGIN_EST",BF$7,$F$2,"Options: NA=--")/100,"--"))</f>
        <v/>
      </c>
      <c r="BG24" s="71" t="str">
        <f>IF($B24="","",IFERROR(_xll.SNL.Clients.Office.Excel.Functions.SPG($B24,"SP_GROSS_MARGIN_EST",BG$7,$F$2,"Options: NA=--")/100,"--"))</f>
        <v/>
      </c>
      <c r="BH24" s="71" t="str">
        <f>IF($B24="","",IFERROR(_xll.SNL.Clients.Office.Excel.Functions.SPG($B24,"SP_GROSS_MARGIN_EST",BH$7,$F$2,"Options: NA=--")/100,"--"))</f>
        <v/>
      </c>
    </row>
    <row r="25" spans="2:60" s="10" customFormat="1" ht="14.5" customHeight="1" x14ac:dyDescent="0.55000000000000004">
      <c r="B25" s="32"/>
      <c r="D25" s="10" t="str" cm="1">
        <f t="array" ref="D25">IF($B25="","",_xll.SNL.Clients.Office.Excel.Functions.SPG($B25, "SP_COMPANY_NAME"))</f>
        <v/>
      </c>
      <c r="G25" s="20" t="str" cm="1">
        <f t="array" ref="G25">IF($B25="","",_xll.SNL.Clients.Office.Excel.Functions.SPG($B25,"SP_LASTSALEPRICE",WORKDAY($F$2+1,-1),"Options:Curr="&amp;I25&amp;",NA=--"))</f>
        <v/>
      </c>
      <c r="H25" s="13" t="str" cm="1">
        <f t="array" ref="H25">IF($B25="","",_xll.SNL.Clients.Office.Excel.Functions.SPG($B25,"SP_PRICE_CLOSE",WORKDAY($F$2+1,-1),"Options:Curr="&amp;$F$3&amp;", NA=--"))</f>
        <v/>
      </c>
      <c r="I25" s="36" t="str" cm="1">
        <f t="array" ref="I25">IF($B25="","",_xll.SNL.Clients.Office.Excel.Functions.SPG($B25,"SP_TRADING_CURRENCY","Options: NA=--"))</f>
        <v/>
      </c>
      <c r="J25" s="82" t="str" cm="1">
        <f t="array" ref="J25">IF($B25="","n/a ",_xll.SNL.Clients.Office.Excel.Functions.SPG($B25,"SP_MARKETCAP",WORKDAY($F$2+1,-1),"Options:Curr="&amp;$F$3&amp;", Mag=Millions, NA=--"))</f>
        <v xml:space="preserve">n/a </v>
      </c>
      <c r="K25" s="82" t="str" cm="1">
        <f t="array" ref="K25">IF($B25="","n/a ",_xll.SNL.Clients.Office.Excel.Functions.SPG($B25,"IQ_TEV",WORKDAY($F$2+1,-1),"Options:Curr="&amp;$F$3&amp;", Mag=Millions, NA=--"))</f>
        <v xml:space="preserve">n/a </v>
      </c>
      <c r="L25" s="15" t="str">
        <f t="shared" si="17"/>
        <v xml:space="preserve">n/a </v>
      </c>
      <c r="M25" s="15" t="str">
        <f t="shared" si="17"/>
        <v xml:space="preserve">n/a </v>
      </c>
      <c r="N25" s="15" t="str">
        <f t="shared" si="17"/>
        <v xml:space="preserve">n/a </v>
      </c>
      <c r="O25" s="15" t="str">
        <f t="shared" si="18"/>
        <v xml:space="preserve">n/a </v>
      </c>
      <c r="P25" s="15" t="str">
        <f t="shared" si="18"/>
        <v xml:space="preserve">n/a </v>
      </c>
      <c r="Q25" s="15" t="str">
        <f t="shared" si="18"/>
        <v xml:space="preserve">n/a </v>
      </c>
      <c r="R25" s="31" t="str">
        <f t="shared" si="19"/>
        <v xml:space="preserve">n/a </v>
      </c>
      <c r="S25" s="31" t="str">
        <f t="shared" si="19"/>
        <v xml:space="preserve">n/a </v>
      </c>
      <c r="T25" s="31"/>
      <c r="U25" s="15" t="str">
        <f t="shared" si="20"/>
        <v xml:space="preserve">n/a </v>
      </c>
      <c r="V25" s="15" t="str">
        <f t="shared" si="21"/>
        <v xml:space="preserve">n/a </v>
      </c>
      <c r="W25" s="15" t="str">
        <f t="shared" si="21"/>
        <v xml:space="preserve">n/a </v>
      </c>
      <c r="X25" s="76" t="str">
        <f t="shared" si="22"/>
        <v xml:space="preserve">n/a </v>
      </c>
      <c r="Y25" s="15" t="str">
        <f t="shared" si="23"/>
        <v xml:space="preserve">n/a </v>
      </c>
      <c r="Z25" s="15" t="str">
        <f t="shared" si="24"/>
        <v xml:space="preserve">n/a </v>
      </c>
      <c r="AA25" s="57"/>
      <c r="AC25" s="74" t="str" cm="1">
        <f t="array" ref="AC25">IF($B25="","",_xll.SNL.Clients.Office.Excel.Functions.SPG($B25,"IQ_REV",AC$7,$F$2,"Options:Curr="&amp;$F$3&amp;", Mag=Millions, NA=--"))</f>
        <v/>
      </c>
      <c r="AD25" s="74" t="str" cm="1">
        <f t="array" ref="AD25">IF($B25="","",_xll.SNL.Clients.Office.Excel.Functions.SPG($B25,"SP_REV_EST",AD$7,$F$2,"Options:Curr="&amp;$F$3&amp;", Mag=Millions, NA=--"))</f>
        <v/>
      </c>
      <c r="AE25" s="74" t="str" cm="1">
        <f t="array" ref="AE25">IF($B25="","",_xll.SNL.Clients.Office.Excel.Functions.SPG($B25,"SP_REV_EST",AE$7,$F$2,"Options:Curr="&amp;$F$3&amp;", Mag=Millions, NA=--"))</f>
        <v/>
      </c>
      <c r="AF25" s="74" t="str" cm="1">
        <f t="array" ref="AF25">IF($B25="","",_xll.SNL.Clients.Office.Excel.Functions.SPG($B25,"SP_REV_EST",AF$7,$F$2,"Options:Curr="&amp;$F$3&amp;", Mag=Millions, NA=--"))</f>
        <v/>
      </c>
      <c r="AG25" s="73"/>
      <c r="AH25" s="74" t="str" cm="1">
        <f t="array" ref="AH25">IF($B25="","",_xll.SNL.Clients.Office.Excel.Functions.SPG($B25,"SP_EBITDA",AH$7,$F$2,"Options:Curr="&amp;$F$3&amp;", Mag=Millions, NA=--"))</f>
        <v/>
      </c>
      <c r="AI25" s="74" t="str" cm="1">
        <f t="array" ref="AI25">IF($B25="","",_xll.SNL.Clients.Office.Excel.Functions.SPG($B25,"SP_EBITDA_EST",AI$7,$F$2,"Options:Curr="&amp;$F$3&amp;", Mag=Millions, NA=--"))</f>
        <v/>
      </c>
      <c r="AJ25" s="74" t="str" cm="1">
        <f t="array" ref="AJ25">IF($B25="","",_xll.SNL.Clients.Office.Excel.Functions.SPG($B25,"SP_EBITDA_EST",AJ$7,$F$2,"Options:Curr="&amp;$F$3&amp;", Mag=Millions, NA=--"))</f>
        <v/>
      </c>
      <c r="AK25" s="74" t="str" cm="1">
        <f t="array" ref="AK25">IF($B25="","",_xll.SNL.Clients.Office.Excel.Functions.SPG($B25,"SP_EBITDA_EST",AK$7,$F$2,"Options:Curr="&amp;$F$3&amp;", Mag=Millions, NA=--"))</f>
        <v/>
      </c>
      <c r="AL25" s="38"/>
      <c r="AM25" s="75" t="str" cm="1">
        <f t="array" ref="AM25">IF($B25="","",_xll.SNL.Clients.Office.Excel.Functions.SPG($B25,"IQ_BASIC_EPS_BEFORE_EXTRA",AM$7,$F$2,"Options:Curr="&amp;$F$3&amp;", NA=--"))</f>
        <v/>
      </c>
      <c r="AN25" s="75" t="str" cm="1">
        <f t="array" ref="AN25">IF($B25="","",_xll.SNL.Clients.Office.Excel.Functions.SPG($B25,"SP_EPS_EST",AN$7,$F$2,"Options:Curr="&amp;$F$3&amp;", NA=--"))</f>
        <v/>
      </c>
      <c r="AO25" s="75" t="str" cm="1">
        <f t="array" ref="AO25">IF($B25="","",_xll.SNL.Clients.Office.Excel.Functions.SPG($B25,"SP_EPS_EST",AO$7,$F$2,"Options:Curr="&amp;$F$3&amp;", NA=--"))</f>
        <v/>
      </c>
      <c r="AP25" s="75" t="str" cm="1">
        <f t="array" ref="AP25">IF($B25="","",_xll.SNL.Clients.Office.Excel.Functions.SPG($B25,"SP_EPS_EST",AP$7,$F$2,"Options:Curr="&amp;$F$3&amp;", NA=--"))</f>
        <v/>
      </c>
      <c r="AQ25" s="38"/>
      <c r="AR25" s="75" t="str" cm="1">
        <f t="array" ref="AR25">IF($B25="","",_xll.SNL.Clients.Office.Excel.Functions.SPG($B25,"IQ_ROE",AR$7,$F$2,"Options:Curr="&amp;$F$3&amp;", NA=--"))</f>
        <v/>
      </c>
      <c r="AS25" s="38"/>
      <c r="AT25" s="75" t="str" cm="1">
        <f t="array" ref="AT25">IF($B25="","",_xll.SNL.Clients.Office.Excel.Functions.SPG($B25,"IQ_BVPS",AT$7,$F$2,"Options:Curr="&amp;$F$3&amp;", NA=--"))</f>
        <v/>
      </c>
      <c r="AU25" s="38"/>
      <c r="AV25" s="75" t="str" cm="1">
        <f t="array" ref="AV25">IF($B25="","",_xll.SNL.Clients.Office.Excel.Functions.SPG($B25,"IQ_TBVPS",AV$7,$F$2,"Options:Curr="&amp;$F$3&amp;", NA=--"))</f>
        <v/>
      </c>
      <c r="AW25" s="38"/>
      <c r="AX25" s="67" t="str" cm="1">
        <f t="array" ref="AX25">IF($B25="","",_xll.SNL.Clients.Office.Excel.Functions.SPG($B25,"SP_DIV_YIELD",WORKDAY($F$2+1,-1),"Options: NA=--"))</f>
        <v/>
      </c>
      <c r="AY25" s="74" t="str" cm="1">
        <f t="array" ref="AY25">IF($B25="","",_xll.SNL.Clients.Office.Excel.Functions.SPG($B25,"IQ_TOTAL_EQUITY","FQ0",$F$2,"Options:Curr="&amp;$F$3&amp;", Mag=Millions, NA=--"))</f>
        <v/>
      </c>
      <c r="AZ25" s="74" t="str" cm="1">
        <f t="array" ref="AZ25">IF($B25="","",_xll.SNL.Clients.Office.Excel.Functions.SPG($B25,"IQ_TOTAL_DEBT","FQ0",$F$2,"Options:Curr="&amp;$F$3&amp;", Mag=Millions, NA=--"))</f>
        <v/>
      </c>
      <c r="BA25" s="74" t="str" cm="1">
        <f t="array" ref="BA25">IF($B25="","",_xll.SNL.Clients.Office.Excel.Functions.SPG($B25,"IQ_CASH_ST_INVEST","FQ0",$F$2,"Options:Curr="&amp;$F$3&amp;", Mag=Millions, NA=--"))</f>
        <v/>
      </c>
      <c r="BB25" s="74" t="e">
        <f t="shared" si="25"/>
        <v>#VALUE!</v>
      </c>
      <c r="BC25" s="74" t="str" cm="1">
        <f t="array" ref="BC25">IF($B25="","",_xll.SNL.Clients.Office.Excel.Functions.SPG($B25,"IQ_TOTAL_EQUITY","FQ0",$F$2,"Options:Curr="&amp;$F$3&amp;", Mag=Millions, NA=--"))</f>
        <v/>
      </c>
      <c r="BD25" s="38"/>
      <c r="BE25" s="71" t="str">
        <f>IF($B25="","",IFERROR(_xll.SNL.Clients.Office.Excel.Functions.SPG($B25,"SP_GROSS_MARGIN",BE$7,$F$2,"Options: NA=--")/100,"--"))</f>
        <v/>
      </c>
      <c r="BF25" s="71" t="str">
        <f>IF($B25="","",IFERROR(_xll.SNL.Clients.Office.Excel.Functions.SPG($B25,"SP_GROSS_MARGIN_EST",BF$7,$F$2,"Options: NA=--")/100,"--"))</f>
        <v/>
      </c>
      <c r="BG25" s="71" t="str">
        <f>IF($B25="","",IFERROR(_xll.SNL.Clients.Office.Excel.Functions.SPG($B25,"SP_GROSS_MARGIN_EST",BG$7,$F$2,"Options: NA=--")/100,"--"))</f>
        <v/>
      </c>
      <c r="BH25" s="71" t="str">
        <f>IF($B25="","",IFERROR(_xll.SNL.Clients.Office.Excel.Functions.SPG($B25,"SP_GROSS_MARGIN_EST",BH$7,$F$2,"Options: NA=--")/100,"--"))</f>
        <v/>
      </c>
    </row>
    <row r="26" spans="2:60" s="10" customFormat="1" ht="3" customHeight="1" x14ac:dyDescent="0.55000000000000004">
      <c r="B26" s="11"/>
      <c r="G26" s="14"/>
      <c r="H26" s="14"/>
      <c r="I26" s="36"/>
      <c r="J26" s="21"/>
      <c r="K26" s="22"/>
      <c r="L26" s="22"/>
      <c r="M26" s="15"/>
      <c r="N26" s="15"/>
      <c r="O26" s="15"/>
      <c r="P26" s="15"/>
      <c r="Q26" s="15"/>
      <c r="R26" s="16"/>
      <c r="S26" s="16"/>
      <c r="T26" s="16"/>
      <c r="U26" s="15"/>
      <c r="V26" s="15"/>
      <c r="W26" s="15"/>
      <c r="X26" s="15"/>
      <c r="Y26" s="15"/>
      <c r="Z26" s="15"/>
      <c r="AA26" s="16"/>
      <c r="AC26" s="70"/>
      <c r="AD26" s="70"/>
      <c r="AE26" s="70"/>
      <c r="AF26" s="70"/>
      <c r="AG26" s="73"/>
      <c r="AH26" s="73"/>
      <c r="AI26" s="70"/>
      <c r="AJ26" s="70"/>
      <c r="AK26" s="70"/>
      <c r="AL26" s="38"/>
      <c r="AM26" s="36"/>
      <c r="AN26" s="36"/>
      <c r="AO26" s="36"/>
      <c r="AP26" s="36"/>
      <c r="AQ26" s="38"/>
      <c r="AR26" s="38"/>
      <c r="AS26" s="38"/>
      <c r="AT26" s="38"/>
      <c r="AU26" s="38"/>
      <c r="AV26" s="38"/>
      <c r="AW26" s="38"/>
      <c r="AX26" s="70"/>
      <c r="AY26" s="70"/>
      <c r="AZ26" s="70"/>
      <c r="BA26" s="70"/>
      <c r="BB26" s="70"/>
      <c r="BC26" s="70"/>
      <c r="BD26" s="38"/>
      <c r="BE26" s="38"/>
      <c r="BF26" s="72"/>
      <c r="BG26" s="72"/>
      <c r="BH26" s="72"/>
    </row>
    <row r="27" spans="2:60" s="10" customFormat="1" ht="14.5" customHeight="1" x14ac:dyDescent="0.55000000000000004">
      <c r="B27" s="9"/>
      <c r="D27" s="23" t="s">
        <v>22</v>
      </c>
      <c r="E27" s="23"/>
      <c r="F27" s="23"/>
      <c r="G27" s="23"/>
      <c r="H27" s="23"/>
      <c r="I27" s="23"/>
      <c r="J27" s="24"/>
      <c r="K27" s="24"/>
      <c r="L27" s="33" t="str">
        <f>IFERROR(AVERAGE(L20:L25),"n/a ")</f>
        <v xml:space="preserve">n/a </v>
      </c>
      <c r="M27" s="33" t="str">
        <f>IFERROR(AVERAGE(M20:M25),"n/a ")</f>
        <v xml:space="preserve">n/a </v>
      </c>
      <c r="N27" s="25" t="str">
        <f>IFERROR(AVERAGE(N20:N25),"n/a ")</f>
        <v xml:space="preserve">n/a </v>
      </c>
      <c r="O27" s="25" t="str">
        <f t="shared" ref="O27" si="28">IFERROR(AVERAGE(O20:O25),"n/a ")</f>
        <v xml:space="preserve">n/a </v>
      </c>
      <c r="P27" s="25" t="str">
        <f t="shared" ref="P27:Z27" si="29">IFERROR(AVERAGE(P20:P25),"n/a ")</f>
        <v xml:space="preserve">n/a </v>
      </c>
      <c r="Q27" s="25" t="str">
        <f t="shared" si="29"/>
        <v xml:space="preserve">n/a </v>
      </c>
      <c r="R27" s="34" t="str">
        <f t="shared" si="29"/>
        <v xml:space="preserve">n/a </v>
      </c>
      <c r="S27" s="34" t="str">
        <f t="shared" si="29"/>
        <v xml:space="preserve">n/a </v>
      </c>
      <c r="T27" s="34"/>
      <c r="U27" s="25" t="str">
        <f t="shared" si="29"/>
        <v xml:space="preserve">n/a </v>
      </c>
      <c r="V27" s="25" t="str">
        <f t="shared" si="29"/>
        <v xml:space="preserve">n/a </v>
      </c>
      <c r="W27" s="25" t="str">
        <f t="shared" si="29"/>
        <v xml:space="preserve">n/a </v>
      </c>
      <c r="X27" s="77" t="str">
        <f t="shared" si="29"/>
        <v xml:space="preserve">n/a </v>
      </c>
      <c r="Y27" s="33" t="str">
        <f t="shared" si="29"/>
        <v xml:space="preserve">n/a </v>
      </c>
      <c r="Z27" s="33" t="str">
        <f t="shared" si="29"/>
        <v xml:space="preserve">n/a </v>
      </c>
      <c r="AA27" s="34"/>
      <c r="AC27" s="73"/>
      <c r="AD27" s="73"/>
      <c r="AE27" s="73"/>
      <c r="AF27" s="73"/>
      <c r="AG27" s="73"/>
      <c r="AH27" s="73"/>
      <c r="AI27" s="73"/>
      <c r="AJ27" s="73"/>
      <c r="AK27" s="73"/>
      <c r="AL27" s="38"/>
      <c r="AM27" s="38"/>
      <c r="AN27" s="38"/>
      <c r="AO27" s="38"/>
      <c r="AP27" s="38"/>
      <c r="AQ27" s="38"/>
      <c r="AR27" s="38"/>
      <c r="AS27" s="38"/>
      <c r="AT27" s="38"/>
      <c r="AU27" s="38"/>
      <c r="AV27" s="38"/>
      <c r="AW27" s="38"/>
      <c r="AX27" s="38"/>
      <c r="AY27" s="38"/>
      <c r="AZ27" s="38"/>
      <c r="BA27" s="38"/>
      <c r="BB27" s="38"/>
      <c r="BC27" s="38"/>
      <c r="BD27" s="38"/>
      <c r="BE27" s="38"/>
      <c r="BF27" s="72"/>
      <c r="BG27" s="72"/>
      <c r="BH27" s="72"/>
    </row>
    <row r="28" spans="2:60" s="10" customFormat="1" ht="3" customHeight="1" x14ac:dyDescent="0.55000000000000004">
      <c r="B28" s="11"/>
      <c r="I28" s="38"/>
      <c r="J28" s="26"/>
      <c r="K28" s="26"/>
      <c r="L28" s="26"/>
      <c r="AC28" s="73"/>
      <c r="AD28" s="73"/>
      <c r="AE28" s="73"/>
      <c r="AF28" s="73"/>
      <c r="AG28" s="73"/>
      <c r="AH28" s="73"/>
      <c r="AI28" s="73"/>
      <c r="AJ28" s="73"/>
      <c r="AK28" s="73"/>
      <c r="AL28" s="38"/>
      <c r="AM28" s="38"/>
      <c r="AN28" s="38"/>
      <c r="AO28" s="38"/>
      <c r="AP28" s="38"/>
      <c r="AQ28" s="38"/>
      <c r="AR28" s="38"/>
      <c r="AS28" s="38"/>
      <c r="AT28" s="38"/>
      <c r="AU28" s="38"/>
      <c r="AV28" s="38"/>
      <c r="AW28" s="38"/>
      <c r="AX28" s="69"/>
      <c r="AY28" s="38"/>
      <c r="AZ28" s="38"/>
      <c r="BA28" s="38"/>
      <c r="BB28" s="38"/>
      <c r="BC28" s="38"/>
      <c r="BD28" s="38"/>
      <c r="BE28" s="38"/>
      <c r="BF28" s="72"/>
      <c r="BG28" s="72"/>
      <c r="BH28" s="72"/>
    </row>
    <row r="29" spans="2:60" s="10" customFormat="1" ht="14.5" customHeight="1" x14ac:dyDescent="0.55000000000000004">
      <c r="B29" s="11"/>
      <c r="D29" s="56" t="s">
        <v>39</v>
      </c>
      <c r="G29" s="14"/>
      <c r="H29" s="14"/>
      <c r="I29" s="36"/>
      <c r="J29" s="21"/>
      <c r="K29" s="21"/>
      <c r="L29" s="21"/>
      <c r="M29" s="17"/>
      <c r="N29" s="17"/>
      <c r="O29" s="17"/>
      <c r="P29" s="17"/>
      <c r="Q29" s="17"/>
      <c r="R29" s="16"/>
      <c r="S29" s="16"/>
      <c r="T29" s="16"/>
      <c r="U29" s="17"/>
      <c r="V29" s="17"/>
      <c r="W29" s="17"/>
      <c r="X29" s="17"/>
      <c r="Y29" s="17"/>
      <c r="Z29" s="17"/>
      <c r="AA29" s="16"/>
      <c r="AC29" s="70"/>
      <c r="AD29" s="70"/>
      <c r="AE29" s="70"/>
      <c r="AF29" s="70"/>
      <c r="AG29" s="73"/>
      <c r="AH29" s="73"/>
      <c r="AI29" s="70"/>
      <c r="AJ29" s="70"/>
      <c r="AK29" s="70"/>
      <c r="AL29" s="38"/>
      <c r="AM29" s="36"/>
      <c r="AN29" s="36"/>
      <c r="AO29" s="36"/>
      <c r="AP29" s="36"/>
      <c r="AQ29" s="38"/>
      <c r="AR29" s="38"/>
      <c r="AS29" s="38"/>
      <c r="AT29" s="38"/>
      <c r="AU29" s="38"/>
      <c r="AV29" s="38"/>
      <c r="AW29" s="38"/>
      <c r="AX29" s="68"/>
      <c r="AY29" s="70"/>
      <c r="AZ29" s="70"/>
      <c r="BA29" s="70"/>
      <c r="BB29" s="70"/>
      <c r="BC29" s="70"/>
      <c r="BD29" s="38"/>
      <c r="BE29" s="38"/>
      <c r="BF29" s="72"/>
      <c r="BG29" s="72"/>
      <c r="BH29" s="72"/>
    </row>
    <row r="30" spans="2:60" s="10" customFormat="1" ht="14.5" customHeight="1" x14ac:dyDescent="0.55000000000000004">
      <c r="B30" s="32"/>
      <c r="D30" s="10" t="str" cm="1">
        <f t="array" ref="D30">IF($B30="","",_xll.SNL.Clients.Office.Excel.Functions.SPG($B30, "SP_COMPANY_NAME"))</f>
        <v/>
      </c>
      <c r="G30" s="20" t="str" cm="1">
        <f t="array" ref="G30">IF($B30="","",_xll.SNL.Clients.Office.Excel.Functions.SPG($B30,"SP_LASTSALEPRICE",WORKDAY($F$2+1,-1),"Options:Curr="&amp;I30&amp;",NA=--"))</f>
        <v/>
      </c>
      <c r="H30" s="13" t="str" cm="1">
        <f t="array" ref="H30">IF($B30="","",_xll.SNL.Clients.Office.Excel.Functions.SPG($B30,"SP_PRICE_CLOSE",WORKDAY($F$2+1,-1),"Options:Curr="&amp;$F$3&amp;", NA=--"))</f>
        <v/>
      </c>
      <c r="I30" s="36" t="str" cm="1">
        <f t="array" ref="I30">IF($B30="","",_xll.SNL.Clients.Office.Excel.Functions.SPG($B30,"SP_TRADING_CURRENCY","Options: NA=--"))</f>
        <v/>
      </c>
      <c r="J30" s="82" t="str" cm="1">
        <f t="array" ref="J30">IF($B30="","n/a ",_xll.SNL.Clients.Office.Excel.Functions.SPG($B30,"SP_MARKETCAP",WORKDAY($F$2+1,-1),"Options:Curr="&amp;$F$3&amp;", Mag=Millions, NA=--"))</f>
        <v xml:space="preserve">n/a </v>
      </c>
      <c r="K30" s="82" t="str" cm="1">
        <f t="array" ref="K30">IF($B30="","n/a ",_xll.SNL.Clients.Office.Excel.Functions.SPG($B30,"IQ_TEV",WORKDAY($F$2+1,-1),"Options:Curr="&amp;$F$3&amp;", Mag=Millions, NA=--"))</f>
        <v xml:space="preserve">n/a </v>
      </c>
      <c r="L30" s="15" t="str">
        <f t="shared" ref="L30:N35" si="30">IFERROR(IF(OR($K30/AC30&gt;L$4,$K30/AC30&lt;L$3),"nmf ",$K30/AC30),"n/a ")</f>
        <v xml:space="preserve">n/a </v>
      </c>
      <c r="M30" s="15" t="str">
        <f t="shared" si="30"/>
        <v xml:space="preserve">n/a </v>
      </c>
      <c r="N30" s="15" t="str">
        <f t="shared" si="30"/>
        <v xml:space="preserve">n/a </v>
      </c>
      <c r="O30" s="15" t="str">
        <f t="shared" ref="O30:Q35" si="31">IFERROR(IF(OR($K30/AH30&gt;O$4,$K30/AH30&lt;O$3),"nmf ",$K30/AH30),"n/a ")</f>
        <v xml:space="preserve">n/a </v>
      </c>
      <c r="P30" s="15" t="str">
        <f t="shared" si="31"/>
        <v xml:space="preserve">n/a </v>
      </c>
      <c r="Q30" s="15" t="str">
        <f t="shared" si="31"/>
        <v xml:space="preserve">n/a </v>
      </c>
      <c r="R30" s="31" t="str">
        <f t="shared" ref="R30:R35" si="32">IFERROR((AE30/AD30)-1,"n/a ")</f>
        <v xml:space="preserve">n/a </v>
      </c>
      <c r="S30" s="31" t="str">
        <f t="shared" ref="S30:S35" si="33">IFERROR((AF30/AE30)-1,"n/a ")</f>
        <v xml:space="preserve">n/a </v>
      </c>
      <c r="T30" s="31"/>
      <c r="U30" s="15" t="str">
        <f t="shared" ref="U30:U35" si="34">IFERROR($H30/AM30,"n/a ")</f>
        <v xml:space="preserve">n/a </v>
      </c>
      <c r="V30" s="15" t="str">
        <f t="shared" ref="V30:W35" si="35">IFERROR($H30/AO30,"n/a ")</f>
        <v xml:space="preserve">n/a </v>
      </c>
      <c r="W30" s="15" t="str">
        <f t="shared" si="35"/>
        <v xml:space="preserve">n/a </v>
      </c>
      <c r="X30" s="76" t="str">
        <f t="shared" ref="X30:X35" si="36">IFERROR(AR30/100,"n/a ")</f>
        <v xml:space="preserve">n/a </v>
      </c>
      <c r="Y30" s="15" t="str">
        <f>IFERROR(H30/AT30,"n/a ")</f>
        <v xml:space="preserve">n/a </v>
      </c>
      <c r="Z30" s="15" t="str">
        <f>IFERROR(H30/AV30,"n/a ")</f>
        <v xml:space="preserve">n/a </v>
      </c>
      <c r="AA30" s="57"/>
      <c r="AC30" s="74" t="str" cm="1">
        <f t="array" ref="AC30">IF($B30="","",_xll.SNL.Clients.Office.Excel.Functions.SPG($B30,"IQ_REV",AC$7,$F$2,"Options:Curr="&amp;$F$3&amp;", Mag=Millions, NA=--"))</f>
        <v/>
      </c>
      <c r="AD30" s="74" t="str" cm="1">
        <f t="array" ref="AD30">IF($B30="","",_xll.SNL.Clients.Office.Excel.Functions.SPG($B30,"SP_REV_EST",AD$7,$F$2,"Options:Curr="&amp;$F$3&amp;", Mag=Millions, NA=--"))</f>
        <v/>
      </c>
      <c r="AE30" s="74" t="str" cm="1">
        <f t="array" ref="AE30">IF($B30="","",_xll.SNL.Clients.Office.Excel.Functions.SPG($B30,"SP_REV_EST",AE$7,$F$2,"Options:Curr="&amp;$F$3&amp;", Mag=Millions, NA=--"))</f>
        <v/>
      </c>
      <c r="AF30" s="74" t="str" cm="1">
        <f t="array" ref="AF30">IF($B30="","",_xll.SNL.Clients.Office.Excel.Functions.SPG($B30,"SP_REV_EST",AF$7,$F$2,"Options:Curr="&amp;$F$3&amp;", Mag=Millions, NA=--"))</f>
        <v/>
      </c>
      <c r="AG30" s="73"/>
      <c r="AH30" s="74" t="str" cm="1">
        <f t="array" ref="AH30">IF($B30="","",_xll.SNL.Clients.Office.Excel.Functions.SPG($B30,"SP_EBITDA",AH$7,$F$2,"Options:Curr="&amp;$F$3&amp;", Mag=Millions, NA=--"))</f>
        <v/>
      </c>
      <c r="AI30" s="74" t="str" cm="1">
        <f t="array" ref="AI30">IF($B30="","",_xll.SNL.Clients.Office.Excel.Functions.SPG($B30,"SP_EBITDA_EST",AI$7,$F$2,"Options:Curr="&amp;$F$3&amp;", Mag=Millions, NA=--"))</f>
        <v/>
      </c>
      <c r="AJ30" s="74" t="str" cm="1">
        <f t="array" ref="AJ30">IF($B30="","",_xll.SNL.Clients.Office.Excel.Functions.SPG($B30,"SP_EBITDA_EST",AJ$7,$F$2,"Options:Curr="&amp;$F$3&amp;", Mag=Millions, NA=--"))</f>
        <v/>
      </c>
      <c r="AK30" s="74" t="str" cm="1">
        <f t="array" ref="AK30">IF($B30="","",_xll.SNL.Clients.Office.Excel.Functions.SPG($B30,"SP_EBITDA_EST",AK$7,$F$2,"Options:Curr="&amp;$F$3&amp;", Mag=Millions, NA=--"))</f>
        <v/>
      </c>
      <c r="AL30" s="38"/>
      <c r="AM30" s="75" t="str" cm="1">
        <f t="array" ref="AM30">IF($B30="","",_xll.SNL.Clients.Office.Excel.Functions.SPG($B30,"IQ_BASIC_EPS_BEFORE_EXTRA",AM$7,$F$2,"Options:Curr="&amp;$F$3&amp;", NA=--"))</f>
        <v/>
      </c>
      <c r="AN30" s="75" t="str" cm="1">
        <f t="array" ref="AN30">IF($B30="","",_xll.SNL.Clients.Office.Excel.Functions.SPG($B30,"SP_EPS_EST",AN$7,$F$2,"Options:Curr="&amp;$F$3&amp;", NA=--"))</f>
        <v/>
      </c>
      <c r="AO30" s="75" t="str" cm="1">
        <f t="array" ref="AO30">IF($B30="","",_xll.SNL.Clients.Office.Excel.Functions.SPG($B30,"SP_EPS_EST",AO$7,$F$2,"Options:Curr="&amp;$F$3&amp;", NA=--"))</f>
        <v/>
      </c>
      <c r="AP30" s="75" t="str" cm="1">
        <f t="array" ref="AP30">IF($B30="","",_xll.SNL.Clients.Office.Excel.Functions.SPG($B30,"SP_EPS_EST",AP$7,$F$2,"Options:Curr="&amp;$F$3&amp;", NA=--"))</f>
        <v/>
      </c>
      <c r="AQ30" s="38"/>
      <c r="AR30" s="75" t="str" cm="1">
        <f t="array" ref="AR30">IF($B30="","",_xll.SNL.Clients.Office.Excel.Functions.SPG($B30,"IQ_ROE",AR$7,$F$2,"Options:Curr="&amp;$F$3&amp;", NA=--"))</f>
        <v/>
      </c>
      <c r="AS30" s="38"/>
      <c r="AT30" s="75" t="str" cm="1">
        <f t="array" ref="AT30">IF($B30="","",_xll.SNL.Clients.Office.Excel.Functions.SPG($B30,"IQ_BVPS",AT$7,$F$2,"Options:Curr="&amp;$F$3&amp;", NA=--"))</f>
        <v/>
      </c>
      <c r="AU30" s="38"/>
      <c r="AV30" s="75" t="str" cm="1">
        <f t="array" ref="AV30">IF($B30="","",_xll.SNL.Clients.Office.Excel.Functions.SPG($B30,"IQ_TBVPS",AV$7,$F$2,"Options:Curr="&amp;$F$3&amp;", NA=--"))</f>
        <v/>
      </c>
      <c r="AW30" s="38"/>
      <c r="AX30" s="67" t="str" cm="1">
        <f t="array" ref="AX30">IF($B30="","",_xll.SNL.Clients.Office.Excel.Functions.SPG($B30,"SP_DIV_YIELD",WORKDAY($F$2+1,-1),"Options: NA=--"))</f>
        <v/>
      </c>
      <c r="AY30" s="74" t="str" cm="1">
        <f t="array" ref="AY30">IF($B30="","",_xll.SNL.Clients.Office.Excel.Functions.SPG($B30,"IQ_TOTAL_EQUITY","FQ0",$F$2,"Options:Curr="&amp;$F$3&amp;", Mag=Millions, NA=--"))</f>
        <v/>
      </c>
      <c r="AZ30" s="74" t="str" cm="1">
        <f t="array" ref="AZ30">IF($B30="","",_xll.SNL.Clients.Office.Excel.Functions.SPG($B30,"IQ_TOTAL_DEBT","FQ0",$F$2,"Options:Curr="&amp;$F$3&amp;", Mag=Millions, NA=--"))</f>
        <v/>
      </c>
      <c r="BA30" s="74" t="str" cm="1">
        <f t="array" ref="BA30">IF($B30="","",_xll.SNL.Clients.Office.Excel.Functions.SPG($B30,"IQ_CASH_ST_INVEST","FQ0",$F$2,"Options:Curr="&amp;$F$3&amp;", Mag=Millions, NA=--"))</f>
        <v/>
      </c>
      <c r="BB30" s="74" t="e">
        <f>+AZ30-BA30</f>
        <v>#VALUE!</v>
      </c>
      <c r="BC30" s="74" t="str" cm="1">
        <f t="array" ref="BC30">IF($B30="","",_xll.SNL.Clients.Office.Excel.Functions.SPG($B30,"IQ_TOTAL_EQUITY","FQ0",$F$2,"Options:Curr="&amp;$F$3&amp;", Mag=Millions, NA=--"))</f>
        <v/>
      </c>
      <c r="BD30" s="38"/>
      <c r="BE30" s="71" t="str">
        <f>IF($B30="","",IFERROR(_xll.SNL.Clients.Office.Excel.Functions.SPG($B30,"SP_GROSS_MARGIN",BE$7,$F$2,"Options: NA=--")/100,"--"))</f>
        <v/>
      </c>
      <c r="BF30" s="71" t="str">
        <f>IF($B30="","",IFERROR(_xll.SNL.Clients.Office.Excel.Functions.SPG($B30,"SP_GROSS_MARGIN_EST",BF$7,$F$2,"Options: NA=--")/100,"--"))</f>
        <v/>
      </c>
      <c r="BG30" s="71" t="str">
        <f>IF($B30="","",IFERROR(_xll.SNL.Clients.Office.Excel.Functions.SPG($B30,"SP_GROSS_MARGIN_EST",BG$7,$F$2,"Options: NA=--")/100,"--"))</f>
        <v/>
      </c>
      <c r="BH30" s="71" t="str">
        <f>IF($B30="","",IFERROR(_xll.SNL.Clients.Office.Excel.Functions.SPG($B30,"SP_GROSS_MARGIN_EST",BH$7,$F$2,"Options: NA=--")/100,"--"))</f>
        <v/>
      </c>
    </row>
    <row r="31" spans="2:60" s="10" customFormat="1" ht="14.5" customHeight="1" x14ac:dyDescent="0.55000000000000004">
      <c r="B31" s="32"/>
      <c r="D31" s="10" t="str" cm="1">
        <f t="array" ref="D31">IF($B31="","",_xll.SNL.Clients.Office.Excel.Functions.SPG($B31, "SP_COMPANY_NAME"))</f>
        <v/>
      </c>
      <c r="G31" s="20" t="str" cm="1">
        <f t="array" ref="G31">IF($B31="","",_xll.SNL.Clients.Office.Excel.Functions.SPG($B31,"SP_LASTSALEPRICE",WORKDAY($F$2+1,-1),"Options:Curr="&amp;I31&amp;",NA=--"))</f>
        <v/>
      </c>
      <c r="H31" s="13" t="str" cm="1">
        <f t="array" ref="H31">IF($B31="","",_xll.SNL.Clients.Office.Excel.Functions.SPG($B31,"SP_PRICE_CLOSE",WORKDAY($F$2+1,-1),"Options:Curr="&amp;$F$3&amp;", NA=--"))</f>
        <v/>
      </c>
      <c r="I31" s="36" t="str" cm="1">
        <f t="array" ref="I31">IF($B31="","",_xll.SNL.Clients.Office.Excel.Functions.SPG($B31,"SP_TRADING_CURRENCY","Options: NA=--"))</f>
        <v/>
      </c>
      <c r="J31" s="82" t="str" cm="1">
        <f t="array" ref="J31">IF($B31="","n/a ",_xll.SNL.Clients.Office.Excel.Functions.SPG($B31,"SP_MARKETCAP",WORKDAY($F$2+1,-1),"Options:Curr="&amp;$F$3&amp;", Mag=Millions, NA=--"))</f>
        <v xml:space="preserve">n/a </v>
      </c>
      <c r="K31" s="82" t="str" cm="1">
        <f t="array" ref="K31">IF($B31="","n/a ",_xll.SNL.Clients.Office.Excel.Functions.SPG($B31,"IQ_TEV",WORKDAY($F$2+1,-1),"Options:Curr="&amp;$F$3&amp;", Mag=Millions, NA=--"))</f>
        <v xml:space="preserve">n/a </v>
      </c>
      <c r="L31" s="15" t="str">
        <f t="shared" si="30"/>
        <v xml:space="preserve">n/a </v>
      </c>
      <c r="M31" s="15" t="str">
        <f t="shared" si="30"/>
        <v xml:space="preserve">n/a </v>
      </c>
      <c r="N31" s="15" t="str">
        <f t="shared" si="30"/>
        <v xml:space="preserve">n/a </v>
      </c>
      <c r="O31" s="15" t="str">
        <f t="shared" si="31"/>
        <v xml:space="preserve">n/a </v>
      </c>
      <c r="P31" s="15" t="str">
        <f t="shared" si="31"/>
        <v xml:space="preserve">n/a </v>
      </c>
      <c r="Q31" s="15" t="str">
        <f t="shared" si="31"/>
        <v xml:space="preserve">n/a </v>
      </c>
      <c r="R31" s="31" t="str">
        <f t="shared" si="32"/>
        <v xml:space="preserve">n/a </v>
      </c>
      <c r="S31" s="31" t="str">
        <f t="shared" si="33"/>
        <v xml:space="preserve">n/a </v>
      </c>
      <c r="T31" s="31"/>
      <c r="U31" s="15" t="str">
        <f t="shared" si="34"/>
        <v xml:space="preserve">n/a </v>
      </c>
      <c r="V31" s="15" t="str">
        <f t="shared" si="35"/>
        <v xml:space="preserve">n/a </v>
      </c>
      <c r="W31" s="15" t="str">
        <f t="shared" si="35"/>
        <v xml:space="preserve">n/a </v>
      </c>
      <c r="X31" s="76" t="str">
        <f t="shared" si="36"/>
        <v xml:space="preserve">n/a </v>
      </c>
      <c r="Y31" s="15" t="str">
        <f t="shared" ref="Y31:Y35" si="37">IFERROR(H31/AT31,"n/a ")</f>
        <v xml:space="preserve">n/a </v>
      </c>
      <c r="Z31" s="15" t="str">
        <f t="shared" ref="Z31:Z35" si="38">IFERROR(H31/AV31,"n/a ")</f>
        <v xml:space="preserve">n/a </v>
      </c>
      <c r="AA31" s="57"/>
      <c r="AC31" s="74" t="str" cm="1">
        <f t="array" ref="AC31">IF($B31="","",_xll.SNL.Clients.Office.Excel.Functions.SPG($B31,"IQ_REV",AC$7,$F$2,"Options:Curr="&amp;$F$3&amp;", Mag=Millions, NA=--"))</f>
        <v/>
      </c>
      <c r="AD31" s="74" t="str" cm="1">
        <f t="array" ref="AD31">IF($B31="","",_xll.SNL.Clients.Office.Excel.Functions.SPG($B31,"SP_REV_EST",AD$7,$F$2,"Options:Curr="&amp;$F$3&amp;", Mag=Millions, NA=--"))</f>
        <v/>
      </c>
      <c r="AE31" s="74" t="str" cm="1">
        <f t="array" ref="AE31">IF($B31="","",_xll.SNL.Clients.Office.Excel.Functions.SPG($B31,"SP_REV_EST",AE$7,$F$2,"Options:Curr="&amp;$F$3&amp;", Mag=Millions, NA=--"))</f>
        <v/>
      </c>
      <c r="AF31" s="74" t="str" cm="1">
        <f t="array" ref="AF31">IF($B31="","",_xll.SNL.Clients.Office.Excel.Functions.SPG($B31,"SP_REV_EST",AF$7,$F$2,"Options:Curr="&amp;$F$3&amp;", Mag=Millions, NA=--"))</f>
        <v/>
      </c>
      <c r="AG31" s="73"/>
      <c r="AH31" s="74" t="str" cm="1">
        <f t="array" ref="AH31">IF($B31="","",_xll.SNL.Clients.Office.Excel.Functions.SPG($B31,"SP_EBITDA",AH$7,$F$2,"Options:Curr="&amp;$F$3&amp;", Mag=Millions, NA=--"))</f>
        <v/>
      </c>
      <c r="AI31" s="74" t="str" cm="1">
        <f t="array" ref="AI31">IF($B31="","",_xll.SNL.Clients.Office.Excel.Functions.SPG($B31,"SP_EBITDA_EST",AI$7,$F$2,"Options:Curr="&amp;$F$3&amp;", Mag=Millions, NA=--"))</f>
        <v/>
      </c>
      <c r="AJ31" s="74" t="str" cm="1">
        <f t="array" ref="AJ31">IF($B31="","",_xll.SNL.Clients.Office.Excel.Functions.SPG($B31,"SP_EBITDA_EST",AJ$7,$F$2,"Options:Curr="&amp;$F$3&amp;", Mag=Millions, NA=--"))</f>
        <v/>
      </c>
      <c r="AK31" s="74" t="str" cm="1">
        <f t="array" ref="AK31">IF($B31="","",_xll.SNL.Clients.Office.Excel.Functions.SPG($B31,"SP_EBITDA_EST",AK$7,$F$2,"Options:Curr="&amp;$F$3&amp;", Mag=Millions, NA=--"))</f>
        <v/>
      </c>
      <c r="AL31" s="38"/>
      <c r="AM31" s="75" t="str" cm="1">
        <f t="array" ref="AM31">IF($B31="","",_xll.SNL.Clients.Office.Excel.Functions.SPG($B31,"IQ_BASIC_EPS_BEFORE_EXTRA",AM$7,$F$2,"Options:Curr="&amp;$F$3&amp;", NA=--"))</f>
        <v/>
      </c>
      <c r="AN31" s="75" t="str" cm="1">
        <f t="array" ref="AN31">IF($B31="","",_xll.SNL.Clients.Office.Excel.Functions.SPG($B31,"SP_EPS_EST",AN$7,$F$2,"Options:Curr="&amp;$F$3&amp;", NA=--"))</f>
        <v/>
      </c>
      <c r="AO31" s="75" t="str" cm="1">
        <f t="array" ref="AO31">IF($B31="","",_xll.SNL.Clients.Office.Excel.Functions.SPG($B31,"SP_EPS_EST",AO$7,$F$2,"Options:Curr="&amp;$F$3&amp;", NA=--"))</f>
        <v/>
      </c>
      <c r="AP31" s="75" t="str" cm="1">
        <f t="array" ref="AP31">IF($B31="","",_xll.SNL.Clients.Office.Excel.Functions.SPG($B31,"SP_EPS_EST",AP$7,$F$2,"Options:Curr="&amp;$F$3&amp;", NA=--"))</f>
        <v/>
      </c>
      <c r="AQ31" s="38"/>
      <c r="AR31" s="75" t="str" cm="1">
        <f t="array" ref="AR31">IF($B31="","",_xll.SNL.Clients.Office.Excel.Functions.SPG($B31,"IQ_ROE",AR$7,$F$2,"Options:Curr="&amp;$F$3&amp;", NA=--"))</f>
        <v/>
      </c>
      <c r="AS31" s="38"/>
      <c r="AT31" s="75" t="str" cm="1">
        <f t="array" ref="AT31">IF($B31="","",_xll.SNL.Clients.Office.Excel.Functions.SPG($B31,"IQ_BVPS",AT$7,$F$2,"Options:Curr="&amp;$F$3&amp;", NA=--"))</f>
        <v/>
      </c>
      <c r="AU31" s="38"/>
      <c r="AV31" s="75" t="str" cm="1">
        <f t="array" ref="AV31">IF($B31="","",_xll.SNL.Clients.Office.Excel.Functions.SPG($B31,"IQ_TBVPS",AV$7,$F$2,"Options:Curr="&amp;$F$3&amp;", NA=--"))</f>
        <v/>
      </c>
      <c r="AW31" s="38"/>
      <c r="AX31" s="67" t="str" cm="1">
        <f t="array" ref="AX31">IF($B31="","",_xll.SNL.Clients.Office.Excel.Functions.SPG($B31,"SP_DIV_YIELD",WORKDAY($F$2+1,-1),"Options: NA=--"))</f>
        <v/>
      </c>
      <c r="AY31" s="74" t="str" cm="1">
        <f t="array" ref="AY31">IF($B31="","",_xll.SNL.Clients.Office.Excel.Functions.SPG($B31,"IQ_TOTAL_EQUITY","FQ0",$F$2,"Options:Curr="&amp;$F$3&amp;", Mag=Millions, NA=--"))</f>
        <v/>
      </c>
      <c r="AZ31" s="74" t="str" cm="1">
        <f t="array" ref="AZ31">IF($B31="","",_xll.SNL.Clients.Office.Excel.Functions.SPG($B31,"IQ_TOTAL_DEBT","FQ0",$F$2,"Options:Curr="&amp;$F$3&amp;", Mag=Millions, NA=--"))</f>
        <v/>
      </c>
      <c r="BA31" s="74" t="str" cm="1">
        <f t="array" ref="BA31">IF($B31="","",_xll.SNL.Clients.Office.Excel.Functions.SPG($B31,"IQ_CASH_ST_INVEST","FQ0",$F$2,"Options:Curr="&amp;$F$3&amp;", Mag=Millions, NA=--"))</f>
        <v/>
      </c>
      <c r="BB31" s="74" t="e">
        <f t="shared" ref="BB31:BB35" si="39">+AZ31-BA31</f>
        <v>#VALUE!</v>
      </c>
      <c r="BC31" s="74" t="str" cm="1">
        <f t="array" ref="BC31">IF($B31="","",_xll.SNL.Clients.Office.Excel.Functions.SPG($B31,"IQ_TOTAL_EQUITY","FQ0",$F$2,"Options:Curr="&amp;$F$3&amp;", Mag=Millions, NA=--"))</f>
        <v/>
      </c>
      <c r="BD31" s="38"/>
      <c r="BE31" s="71" t="str">
        <f>IF($B31="","",IFERROR(_xll.SNL.Clients.Office.Excel.Functions.SPG($B31,"SP_GROSS_MARGIN",BE$7,$F$2,"Options: NA=--")/100,"--"))</f>
        <v/>
      </c>
      <c r="BF31" s="71" t="str">
        <f>IF($B31="","",IFERROR(_xll.SNL.Clients.Office.Excel.Functions.SPG($B31,"SP_GROSS_MARGIN_EST",BF$7,$F$2,"Options: NA=--")/100,"--"))</f>
        <v/>
      </c>
      <c r="BG31" s="71" t="str">
        <f>IF($B31="","",IFERROR(_xll.SNL.Clients.Office.Excel.Functions.SPG($B31,"SP_GROSS_MARGIN_EST",BG$7,$F$2,"Options: NA=--")/100,"--"))</f>
        <v/>
      </c>
      <c r="BH31" s="71" t="str">
        <f>IF($B31="","",IFERROR(_xll.SNL.Clients.Office.Excel.Functions.SPG($B31,"SP_GROSS_MARGIN_EST",BH$7,$F$2,"Options: NA=--")/100,"--"))</f>
        <v/>
      </c>
    </row>
    <row r="32" spans="2:60" s="10" customFormat="1" ht="14.5" customHeight="1" x14ac:dyDescent="0.55000000000000004">
      <c r="B32" s="32"/>
      <c r="D32" s="10" t="str" cm="1">
        <f t="array" ref="D32">IF($B32="","",_xll.SNL.Clients.Office.Excel.Functions.SPG($B32, "SP_COMPANY_NAME"))</f>
        <v/>
      </c>
      <c r="G32" s="20" t="str" cm="1">
        <f t="array" ref="G32">IF($B32="","",_xll.SNL.Clients.Office.Excel.Functions.SPG($B32,"SP_LASTSALEPRICE",WORKDAY($F$2+1,-1),"Options:Curr="&amp;I32&amp;",NA=--"))</f>
        <v/>
      </c>
      <c r="H32" s="13" t="str" cm="1">
        <f t="array" ref="H32">IF($B32="","",_xll.SNL.Clients.Office.Excel.Functions.SPG($B32,"SP_PRICE_CLOSE",WORKDAY($F$2+1,-1),"Options:Curr="&amp;$F$3&amp;", NA=--"))</f>
        <v/>
      </c>
      <c r="I32" s="36" t="str" cm="1">
        <f t="array" ref="I32">IF($B32="","",_xll.SNL.Clients.Office.Excel.Functions.SPG($B32,"SP_TRADING_CURRENCY","Options: NA=--"))</f>
        <v/>
      </c>
      <c r="J32" s="82" t="str" cm="1">
        <f t="array" ref="J32">IF($B32="","n/a ",_xll.SNL.Clients.Office.Excel.Functions.SPG($B32,"SP_MARKETCAP",WORKDAY($F$2+1,-1),"Options:Curr="&amp;$F$3&amp;", Mag=Millions, NA=--"))</f>
        <v xml:space="preserve">n/a </v>
      </c>
      <c r="K32" s="82" t="str" cm="1">
        <f t="array" ref="K32">IF($B32="","n/a ",_xll.SNL.Clients.Office.Excel.Functions.SPG($B32,"IQ_TEV",WORKDAY($F$2+1,-1),"Options:Curr="&amp;$F$3&amp;", Mag=Millions, NA=--"))</f>
        <v xml:space="preserve">n/a </v>
      </c>
      <c r="L32" s="15" t="str">
        <f t="shared" si="30"/>
        <v xml:space="preserve">n/a </v>
      </c>
      <c r="M32" s="15" t="str">
        <f t="shared" si="30"/>
        <v xml:space="preserve">n/a </v>
      </c>
      <c r="N32" s="15" t="str">
        <f t="shared" si="30"/>
        <v xml:space="preserve">n/a </v>
      </c>
      <c r="O32" s="15" t="str">
        <f t="shared" si="31"/>
        <v xml:space="preserve">n/a </v>
      </c>
      <c r="P32" s="15" t="str">
        <f t="shared" si="31"/>
        <v xml:space="preserve">n/a </v>
      </c>
      <c r="Q32" s="15" t="str">
        <f t="shared" si="31"/>
        <v xml:space="preserve">n/a </v>
      </c>
      <c r="R32" s="31" t="str">
        <f t="shared" si="32"/>
        <v xml:space="preserve">n/a </v>
      </c>
      <c r="S32" s="31" t="str">
        <f t="shared" si="33"/>
        <v xml:space="preserve">n/a </v>
      </c>
      <c r="T32" s="31"/>
      <c r="U32" s="15" t="str">
        <f t="shared" si="34"/>
        <v xml:space="preserve">n/a </v>
      </c>
      <c r="V32" s="15" t="str">
        <f t="shared" si="35"/>
        <v xml:space="preserve">n/a </v>
      </c>
      <c r="W32" s="15" t="str">
        <f t="shared" si="35"/>
        <v xml:space="preserve">n/a </v>
      </c>
      <c r="X32" s="76" t="str">
        <f t="shared" si="36"/>
        <v xml:space="preserve">n/a </v>
      </c>
      <c r="Y32" s="15" t="str">
        <f t="shared" si="37"/>
        <v xml:space="preserve">n/a </v>
      </c>
      <c r="Z32" s="15" t="str">
        <f t="shared" si="38"/>
        <v xml:space="preserve">n/a </v>
      </c>
      <c r="AA32" s="57"/>
      <c r="AC32" s="74" t="str" cm="1">
        <f t="array" ref="AC32">IF($B32="","",_xll.SNL.Clients.Office.Excel.Functions.SPG($B32,"IQ_REV",AC$7,$F$2,"Options:Curr="&amp;$F$3&amp;", Mag=Millions, NA=--"))</f>
        <v/>
      </c>
      <c r="AD32" s="74" t="str" cm="1">
        <f t="array" ref="AD32">IF($B32="","",_xll.SNL.Clients.Office.Excel.Functions.SPG($B32,"SP_REV_EST",AD$7,$F$2,"Options:Curr="&amp;$F$3&amp;", Mag=Millions, NA=--"))</f>
        <v/>
      </c>
      <c r="AE32" s="74" t="str" cm="1">
        <f t="array" ref="AE32">IF($B32="","",_xll.SNL.Clients.Office.Excel.Functions.SPG($B32,"SP_REV_EST",AE$7,$F$2,"Options:Curr="&amp;$F$3&amp;", Mag=Millions, NA=--"))</f>
        <v/>
      </c>
      <c r="AF32" s="74" t="str" cm="1">
        <f t="array" ref="AF32">IF($B32="","",_xll.SNL.Clients.Office.Excel.Functions.SPG($B32,"SP_REV_EST",AF$7,$F$2,"Options:Curr="&amp;$F$3&amp;", Mag=Millions, NA=--"))</f>
        <v/>
      </c>
      <c r="AG32" s="73"/>
      <c r="AH32" s="74" t="str" cm="1">
        <f t="array" ref="AH32">IF($B32="","",_xll.SNL.Clients.Office.Excel.Functions.SPG($B32,"SP_EBITDA",AH$7,$F$2,"Options:Curr="&amp;$F$3&amp;", Mag=Millions, NA=--"))</f>
        <v/>
      </c>
      <c r="AI32" s="74" t="str" cm="1">
        <f t="array" ref="AI32">IF($B32="","",_xll.SNL.Clients.Office.Excel.Functions.SPG($B32,"SP_EBITDA_EST",AI$7,$F$2,"Options:Curr="&amp;$F$3&amp;", Mag=Millions, NA=--"))</f>
        <v/>
      </c>
      <c r="AJ32" s="74" t="str" cm="1">
        <f t="array" ref="AJ32">IF($B32="","",_xll.SNL.Clients.Office.Excel.Functions.SPG($B32,"SP_EBITDA_EST",AJ$7,$F$2,"Options:Curr="&amp;$F$3&amp;", Mag=Millions, NA=--"))</f>
        <v/>
      </c>
      <c r="AK32" s="74" t="str" cm="1">
        <f t="array" ref="AK32">IF($B32="","",_xll.SNL.Clients.Office.Excel.Functions.SPG($B32,"SP_EBITDA_EST",AK$7,$F$2,"Options:Curr="&amp;$F$3&amp;", Mag=Millions, NA=--"))</f>
        <v/>
      </c>
      <c r="AL32" s="38"/>
      <c r="AM32" s="75" t="str" cm="1">
        <f t="array" ref="AM32">IF($B32="","",_xll.SNL.Clients.Office.Excel.Functions.SPG($B32,"IQ_BASIC_EPS_BEFORE_EXTRA",AM$7,$F$2,"Options:Curr="&amp;$F$3&amp;", NA=--"))</f>
        <v/>
      </c>
      <c r="AN32" s="75" t="str" cm="1">
        <f t="array" ref="AN32">IF($B32="","",_xll.SNL.Clients.Office.Excel.Functions.SPG($B32,"SP_EPS_EST",AN$7,$F$2,"Options:Curr="&amp;$F$3&amp;", NA=--"))</f>
        <v/>
      </c>
      <c r="AO32" s="75" t="str" cm="1">
        <f t="array" ref="AO32">IF($B32="","",_xll.SNL.Clients.Office.Excel.Functions.SPG($B32,"SP_EPS_EST",AO$7,$F$2,"Options:Curr="&amp;$F$3&amp;", NA=--"))</f>
        <v/>
      </c>
      <c r="AP32" s="75" t="str" cm="1">
        <f t="array" ref="AP32">IF($B32="","",_xll.SNL.Clients.Office.Excel.Functions.SPG($B32,"SP_EPS_EST",AP$7,$F$2,"Options:Curr="&amp;$F$3&amp;", NA=--"))</f>
        <v/>
      </c>
      <c r="AQ32" s="38"/>
      <c r="AR32" s="75" t="str" cm="1">
        <f t="array" ref="AR32">IF($B32="","",_xll.SNL.Clients.Office.Excel.Functions.SPG($B32,"IQ_ROE",AR$7,$F$2,"Options:Curr="&amp;$F$3&amp;", NA=--"))</f>
        <v/>
      </c>
      <c r="AS32" s="38"/>
      <c r="AT32" s="75" t="str" cm="1">
        <f t="array" ref="AT32">IF($B32="","",_xll.SNL.Clients.Office.Excel.Functions.SPG($B32,"IQ_BVPS",AT$7,$F$2,"Options:Curr="&amp;$F$3&amp;", NA=--"))</f>
        <v/>
      </c>
      <c r="AU32" s="38"/>
      <c r="AV32" s="75" t="str" cm="1">
        <f t="array" ref="AV32">IF($B32="","",_xll.SNL.Clients.Office.Excel.Functions.SPG($B32,"IQ_TBVPS",AV$7,$F$2,"Options:Curr="&amp;$F$3&amp;", NA=--"))</f>
        <v/>
      </c>
      <c r="AW32" s="38"/>
      <c r="AX32" s="67" t="str" cm="1">
        <f t="array" ref="AX32">IF($B32="","",_xll.SNL.Clients.Office.Excel.Functions.SPG($B32,"SP_DIV_YIELD",WORKDAY($F$2+1,-1),"Options: NA=--"))</f>
        <v/>
      </c>
      <c r="AY32" s="74" t="str" cm="1">
        <f t="array" ref="AY32">IF($B32="","",_xll.SNL.Clients.Office.Excel.Functions.SPG($B32,"IQ_TOTAL_EQUITY","FQ0",$F$2,"Options:Curr="&amp;$F$3&amp;", Mag=Millions, NA=--"))</f>
        <v/>
      </c>
      <c r="AZ32" s="74" t="str" cm="1">
        <f t="array" ref="AZ32">IF($B32="","",_xll.SNL.Clients.Office.Excel.Functions.SPG($B32,"IQ_TOTAL_DEBT","FQ0",$F$2,"Options:Curr="&amp;$F$3&amp;", Mag=Millions, NA=--"))</f>
        <v/>
      </c>
      <c r="BA32" s="74" t="str" cm="1">
        <f t="array" ref="BA32">IF($B32="","",_xll.SNL.Clients.Office.Excel.Functions.SPG($B32,"IQ_CASH_ST_INVEST","FQ0",$F$2,"Options:Curr="&amp;$F$3&amp;", Mag=Millions, NA=--"))</f>
        <v/>
      </c>
      <c r="BB32" s="74" t="e">
        <f t="shared" si="39"/>
        <v>#VALUE!</v>
      </c>
      <c r="BC32" s="74" t="str" cm="1">
        <f t="array" ref="BC32">IF($B32="","",_xll.SNL.Clients.Office.Excel.Functions.SPG($B32,"IQ_TOTAL_EQUITY","FQ0",$F$2,"Options:Curr="&amp;$F$3&amp;", Mag=Millions, NA=--"))</f>
        <v/>
      </c>
      <c r="BD32" s="38"/>
      <c r="BE32" s="71" t="str">
        <f>IF($B32="","",IFERROR(_xll.SNL.Clients.Office.Excel.Functions.SPG($B32,"SP_GROSS_MARGIN",BE$7,$F$2,"Options: NA=--")/100,"--"))</f>
        <v/>
      </c>
      <c r="BF32" s="71" t="str">
        <f>IF($B32="","",IFERROR(_xll.SNL.Clients.Office.Excel.Functions.SPG($B32,"SP_GROSS_MARGIN_EST",BF$7,$F$2,"Options: NA=--")/100,"--"))</f>
        <v/>
      </c>
      <c r="BG32" s="71" t="str">
        <f>IF($B32="","",IFERROR(_xll.SNL.Clients.Office.Excel.Functions.SPG($B32,"SP_GROSS_MARGIN_EST",BG$7,$F$2,"Options: NA=--")/100,"--"))</f>
        <v/>
      </c>
      <c r="BH32" s="71" t="str">
        <f>IF($B32="","",IFERROR(_xll.SNL.Clients.Office.Excel.Functions.SPG($B32,"SP_GROSS_MARGIN_EST",BH$7,$F$2,"Options: NA=--")/100,"--"))</f>
        <v/>
      </c>
    </row>
    <row r="33" spans="2:60" s="10" customFormat="1" ht="14.5" customHeight="1" x14ac:dyDescent="0.55000000000000004">
      <c r="B33" s="32"/>
      <c r="D33" s="10" t="str" cm="1">
        <f t="array" ref="D33">IF($B33="","",_xll.SNL.Clients.Office.Excel.Functions.SPG($B33, "SP_COMPANY_NAME"))</f>
        <v/>
      </c>
      <c r="G33" s="20" t="str" cm="1">
        <f t="array" ref="G33">IF($B33="","",_xll.SNL.Clients.Office.Excel.Functions.SPG($B33,"SP_LASTSALEPRICE",WORKDAY($F$2+1,-1),"Options:Curr="&amp;I33&amp;",NA=--"))</f>
        <v/>
      </c>
      <c r="H33" s="13" t="str" cm="1">
        <f t="array" ref="H33">IF($B33="","",_xll.SNL.Clients.Office.Excel.Functions.SPG($B33,"SP_PRICE_CLOSE",WORKDAY($F$2+1,-1),"Options:Curr="&amp;$F$3&amp;", NA=--"))</f>
        <v/>
      </c>
      <c r="I33" s="36" t="str" cm="1">
        <f t="array" ref="I33">IF($B33="","",_xll.SNL.Clients.Office.Excel.Functions.SPG($B33,"SP_TRADING_CURRENCY","Options: NA=--"))</f>
        <v/>
      </c>
      <c r="J33" s="82" t="str" cm="1">
        <f t="array" ref="J33">IF($B33="","n/a ",_xll.SNL.Clients.Office.Excel.Functions.SPG($B33,"SP_MARKETCAP",WORKDAY($F$2+1,-1),"Options:Curr="&amp;$F$3&amp;", Mag=Millions, NA=--"))</f>
        <v xml:space="preserve">n/a </v>
      </c>
      <c r="K33" s="82" t="str" cm="1">
        <f t="array" ref="K33">IF($B33="","n/a ",_xll.SNL.Clients.Office.Excel.Functions.SPG($B33,"IQ_TEV",WORKDAY($F$2+1,-1),"Options:Curr="&amp;$F$3&amp;", Mag=Millions, NA=--"))</f>
        <v xml:space="preserve">n/a </v>
      </c>
      <c r="L33" s="15" t="str">
        <f t="shared" si="30"/>
        <v xml:space="preserve">n/a </v>
      </c>
      <c r="M33" s="15" t="str">
        <f t="shared" si="30"/>
        <v xml:space="preserve">n/a </v>
      </c>
      <c r="N33" s="15" t="str">
        <f t="shared" si="30"/>
        <v xml:space="preserve">n/a </v>
      </c>
      <c r="O33" s="15" t="str">
        <f t="shared" si="31"/>
        <v xml:space="preserve">n/a </v>
      </c>
      <c r="P33" s="15" t="str">
        <f t="shared" si="31"/>
        <v xml:space="preserve">n/a </v>
      </c>
      <c r="Q33" s="15" t="str">
        <f t="shared" si="31"/>
        <v xml:space="preserve">n/a </v>
      </c>
      <c r="R33" s="31" t="str">
        <f t="shared" si="32"/>
        <v xml:space="preserve">n/a </v>
      </c>
      <c r="S33" s="31" t="str">
        <f t="shared" si="33"/>
        <v xml:space="preserve">n/a </v>
      </c>
      <c r="T33" s="31"/>
      <c r="U33" s="15" t="str">
        <f t="shared" si="34"/>
        <v xml:space="preserve">n/a </v>
      </c>
      <c r="V33" s="15" t="str">
        <f t="shared" si="35"/>
        <v xml:space="preserve">n/a </v>
      </c>
      <c r="W33" s="15" t="str">
        <f t="shared" si="35"/>
        <v xml:space="preserve">n/a </v>
      </c>
      <c r="X33" s="76" t="str">
        <f t="shared" si="36"/>
        <v xml:space="preserve">n/a </v>
      </c>
      <c r="Y33" s="15" t="str">
        <f t="shared" si="37"/>
        <v xml:space="preserve">n/a </v>
      </c>
      <c r="Z33" s="15" t="str">
        <f t="shared" si="38"/>
        <v xml:space="preserve">n/a </v>
      </c>
      <c r="AA33" s="57"/>
      <c r="AC33" s="74" t="str" cm="1">
        <f t="array" ref="AC33">IF($B33="","",_xll.SNL.Clients.Office.Excel.Functions.SPG($B33,"IQ_REV",AC$7,$F$2,"Options:Curr="&amp;$F$3&amp;", Mag=Millions, NA=--"))</f>
        <v/>
      </c>
      <c r="AD33" s="74" t="str" cm="1">
        <f t="array" ref="AD33">IF($B33="","",_xll.SNL.Clients.Office.Excel.Functions.SPG($B33,"SP_REV_EST",AD$7,$F$2,"Options:Curr="&amp;$F$3&amp;", Mag=Millions, NA=--"))</f>
        <v/>
      </c>
      <c r="AE33" s="74" t="str" cm="1">
        <f t="array" ref="AE33">IF($B33="","",_xll.SNL.Clients.Office.Excel.Functions.SPG($B33,"SP_REV_EST",AE$7,$F$2,"Options:Curr="&amp;$F$3&amp;", Mag=Millions, NA=--"))</f>
        <v/>
      </c>
      <c r="AF33" s="74" t="str" cm="1">
        <f t="array" ref="AF33">IF($B33="","",_xll.SNL.Clients.Office.Excel.Functions.SPG($B33,"SP_REV_EST",AF$7,$F$2,"Options:Curr="&amp;$F$3&amp;", Mag=Millions, NA=--"))</f>
        <v/>
      </c>
      <c r="AG33" s="73"/>
      <c r="AH33" s="74" t="str" cm="1">
        <f t="array" ref="AH33">IF($B33="","",_xll.SNL.Clients.Office.Excel.Functions.SPG($B33,"SP_EBITDA",AH$7,$F$2,"Options:Curr="&amp;$F$3&amp;", Mag=Millions, NA=--"))</f>
        <v/>
      </c>
      <c r="AI33" s="74" t="str" cm="1">
        <f t="array" ref="AI33">IF($B33="","",_xll.SNL.Clients.Office.Excel.Functions.SPG($B33,"SP_EBITDA_EST",AI$7,$F$2,"Options:Curr="&amp;$F$3&amp;", Mag=Millions, NA=--"))</f>
        <v/>
      </c>
      <c r="AJ33" s="74" t="str" cm="1">
        <f t="array" ref="AJ33">IF($B33="","",_xll.SNL.Clients.Office.Excel.Functions.SPG($B33,"SP_EBITDA_EST",AJ$7,$F$2,"Options:Curr="&amp;$F$3&amp;", Mag=Millions, NA=--"))</f>
        <v/>
      </c>
      <c r="AK33" s="74" t="str" cm="1">
        <f t="array" ref="AK33">IF($B33="","",_xll.SNL.Clients.Office.Excel.Functions.SPG($B33,"SP_EBITDA_EST",AK$7,$F$2,"Options:Curr="&amp;$F$3&amp;", Mag=Millions, NA=--"))</f>
        <v/>
      </c>
      <c r="AL33" s="38"/>
      <c r="AM33" s="75" t="str" cm="1">
        <f t="array" ref="AM33">IF($B33="","",_xll.SNL.Clients.Office.Excel.Functions.SPG($B33,"IQ_BASIC_EPS_BEFORE_EXTRA",AM$7,$F$2,"Options:Curr="&amp;$F$3&amp;", NA=--"))</f>
        <v/>
      </c>
      <c r="AN33" s="75" t="str" cm="1">
        <f t="array" ref="AN33">IF($B33="","",_xll.SNL.Clients.Office.Excel.Functions.SPG($B33,"SP_EPS_EST",AN$7,$F$2,"Options:Curr="&amp;$F$3&amp;", NA=--"))</f>
        <v/>
      </c>
      <c r="AO33" s="75" t="str" cm="1">
        <f t="array" ref="AO33">IF($B33="","",_xll.SNL.Clients.Office.Excel.Functions.SPG($B33,"SP_EPS_EST",AO$7,$F$2,"Options:Curr="&amp;$F$3&amp;", NA=--"))</f>
        <v/>
      </c>
      <c r="AP33" s="75" t="str" cm="1">
        <f t="array" ref="AP33">IF($B33="","",_xll.SNL.Clients.Office.Excel.Functions.SPG($B33,"SP_EPS_EST",AP$7,$F$2,"Options:Curr="&amp;$F$3&amp;", NA=--"))</f>
        <v/>
      </c>
      <c r="AQ33" s="38"/>
      <c r="AR33" s="75" t="str" cm="1">
        <f t="array" ref="AR33">IF($B33="","",_xll.SNL.Clients.Office.Excel.Functions.SPG($B33,"IQ_ROE",AR$7,$F$2,"Options:Curr="&amp;$F$3&amp;", NA=--"))</f>
        <v/>
      </c>
      <c r="AS33" s="38"/>
      <c r="AT33" s="75" t="str" cm="1">
        <f t="array" ref="AT33">IF($B33="","",_xll.SNL.Clients.Office.Excel.Functions.SPG($B33,"IQ_BVPS",AT$7,$F$2,"Options:Curr="&amp;$F$3&amp;", NA=--"))</f>
        <v/>
      </c>
      <c r="AU33" s="38"/>
      <c r="AV33" s="75" t="str" cm="1">
        <f t="array" ref="AV33">IF($B33="","",_xll.SNL.Clients.Office.Excel.Functions.SPG($B33,"IQ_TBVPS",AV$7,$F$2,"Options:Curr="&amp;$F$3&amp;", NA=--"))</f>
        <v/>
      </c>
      <c r="AW33" s="38"/>
      <c r="AX33" s="67" t="str" cm="1">
        <f t="array" ref="AX33">IF($B33="","",_xll.SNL.Clients.Office.Excel.Functions.SPG($B33,"SP_DIV_YIELD",WORKDAY($F$2+1,-1),"Options: NA=--"))</f>
        <v/>
      </c>
      <c r="AY33" s="74" t="str" cm="1">
        <f t="array" ref="AY33">IF($B33="","",_xll.SNL.Clients.Office.Excel.Functions.SPG($B33,"IQ_TOTAL_EQUITY","FQ0",$F$2,"Options:Curr="&amp;$F$3&amp;", Mag=Millions, NA=--"))</f>
        <v/>
      </c>
      <c r="AZ33" s="74" t="str" cm="1">
        <f t="array" ref="AZ33">IF($B33="","",_xll.SNL.Clients.Office.Excel.Functions.SPG($B33,"IQ_TOTAL_DEBT","FQ0",$F$2,"Options:Curr="&amp;$F$3&amp;", Mag=Millions, NA=--"))</f>
        <v/>
      </c>
      <c r="BA33" s="74" t="str" cm="1">
        <f t="array" ref="BA33">IF($B33="","",_xll.SNL.Clients.Office.Excel.Functions.SPG($B33,"IQ_CASH_ST_INVEST","FQ0",$F$2,"Options:Curr="&amp;$F$3&amp;", Mag=Millions, NA=--"))</f>
        <v/>
      </c>
      <c r="BB33" s="74" t="e">
        <f t="shared" si="39"/>
        <v>#VALUE!</v>
      </c>
      <c r="BC33" s="74" t="str" cm="1">
        <f t="array" ref="BC33">IF($B33="","",_xll.SNL.Clients.Office.Excel.Functions.SPG($B33,"IQ_TOTAL_EQUITY","FQ0",$F$2,"Options:Curr="&amp;$F$3&amp;", Mag=Millions, NA=--"))</f>
        <v/>
      </c>
      <c r="BD33" s="38"/>
      <c r="BE33" s="71" t="str">
        <f>IF($B33="","",IFERROR(_xll.SNL.Clients.Office.Excel.Functions.SPG($B33,"SP_GROSS_MARGIN",BE$7,$F$2,"Options: NA=--")/100,"--"))</f>
        <v/>
      </c>
      <c r="BF33" s="71" t="str">
        <f>IF($B33="","",IFERROR(_xll.SNL.Clients.Office.Excel.Functions.SPG($B33,"SP_GROSS_MARGIN_EST",BF$7,$F$2,"Options: NA=--")/100,"--"))</f>
        <v/>
      </c>
      <c r="BG33" s="71" t="str">
        <f>IF($B33="","",IFERROR(_xll.SNL.Clients.Office.Excel.Functions.SPG($B33,"SP_GROSS_MARGIN_EST",BG$7,$F$2,"Options: NA=--")/100,"--"))</f>
        <v/>
      </c>
      <c r="BH33" s="71" t="str">
        <f>IF($B33="","",IFERROR(_xll.SNL.Clients.Office.Excel.Functions.SPG($B33,"SP_GROSS_MARGIN_EST",BH$7,$F$2,"Options: NA=--")/100,"--"))</f>
        <v/>
      </c>
    </row>
    <row r="34" spans="2:60" s="10" customFormat="1" ht="14.5" customHeight="1" x14ac:dyDescent="0.55000000000000004">
      <c r="B34" s="32"/>
      <c r="D34" s="10" t="str" cm="1">
        <f t="array" ref="D34">IF($B34="","",_xll.SNL.Clients.Office.Excel.Functions.SPG($B34, "SP_COMPANY_NAME"))</f>
        <v/>
      </c>
      <c r="G34" s="20" t="str" cm="1">
        <f t="array" ref="G34">IF($B34="","",_xll.SNL.Clients.Office.Excel.Functions.SPG($B34,"SP_LASTSALEPRICE",WORKDAY($F$2+1,-1),"Options:Curr="&amp;I34&amp;",NA=--"))</f>
        <v/>
      </c>
      <c r="H34" s="13" t="str" cm="1">
        <f t="array" ref="H34">IF($B34="","",_xll.SNL.Clients.Office.Excel.Functions.SPG($B34,"SP_PRICE_CLOSE",WORKDAY($F$2+1,-1),"Options:Curr="&amp;$F$3&amp;", NA=--"))</f>
        <v/>
      </c>
      <c r="I34" s="36" t="str" cm="1">
        <f t="array" ref="I34">IF($B34="","",_xll.SNL.Clients.Office.Excel.Functions.SPG($B34,"SP_TRADING_CURRENCY","Options: NA=--"))</f>
        <v/>
      </c>
      <c r="J34" s="82" t="str" cm="1">
        <f t="array" ref="J34">IF($B34="","n/a ",_xll.SNL.Clients.Office.Excel.Functions.SPG($B34,"SP_MARKETCAP",WORKDAY($F$2+1,-1),"Options:Curr="&amp;$F$3&amp;", Mag=Millions, NA=--"))</f>
        <v xml:space="preserve">n/a </v>
      </c>
      <c r="K34" s="82" t="str" cm="1">
        <f t="array" ref="K34">IF($B34="","n/a ",_xll.SNL.Clients.Office.Excel.Functions.SPG($B34,"IQ_TEV",WORKDAY($F$2+1,-1),"Options:Curr="&amp;$F$3&amp;", Mag=Millions, NA=--"))</f>
        <v xml:space="preserve">n/a </v>
      </c>
      <c r="L34" s="15" t="str">
        <f t="shared" si="30"/>
        <v xml:space="preserve">n/a </v>
      </c>
      <c r="M34" s="15" t="str">
        <f t="shared" si="30"/>
        <v xml:space="preserve">n/a </v>
      </c>
      <c r="N34" s="15" t="str">
        <f t="shared" si="30"/>
        <v xml:space="preserve">n/a </v>
      </c>
      <c r="O34" s="15" t="str">
        <f t="shared" si="31"/>
        <v xml:space="preserve">n/a </v>
      </c>
      <c r="P34" s="15" t="str">
        <f t="shared" si="31"/>
        <v xml:space="preserve">n/a </v>
      </c>
      <c r="Q34" s="15" t="str">
        <f t="shared" si="31"/>
        <v xml:space="preserve">n/a </v>
      </c>
      <c r="R34" s="31" t="str">
        <f t="shared" si="32"/>
        <v xml:space="preserve">n/a </v>
      </c>
      <c r="S34" s="31" t="str">
        <f t="shared" si="33"/>
        <v xml:space="preserve">n/a </v>
      </c>
      <c r="T34" s="31"/>
      <c r="U34" s="15" t="str">
        <f t="shared" si="34"/>
        <v xml:space="preserve">n/a </v>
      </c>
      <c r="V34" s="15" t="str">
        <f t="shared" si="35"/>
        <v xml:space="preserve">n/a </v>
      </c>
      <c r="W34" s="15" t="str">
        <f t="shared" si="35"/>
        <v xml:space="preserve">n/a </v>
      </c>
      <c r="X34" s="76" t="str">
        <f t="shared" si="36"/>
        <v xml:space="preserve">n/a </v>
      </c>
      <c r="Y34" s="15" t="str">
        <f t="shared" si="37"/>
        <v xml:space="preserve">n/a </v>
      </c>
      <c r="Z34" s="15" t="str">
        <f t="shared" si="38"/>
        <v xml:space="preserve">n/a </v>
      </c>
      <c r="AA34" s="57"/>
      <c r="AC34" s="74" t="str" cm="1">
        <f t="array" ref="AC34">IF($B34="","",_xll.SNL.Clients.Office.Excel.Functions.SPG($B34,"IQ_REV",AC$7,$F$2,"Options:Curr="&amp;$F$3&amp;", Mag=Millions, NA=--"))</f>
        <v/>
      </c>
      <c r="AD34" s="74" t="str" cm="1">
        <f t="array" ref="AD34">IF($B34="","",_xll.SNL.Clients.Office.Excel.Functions.SPG($B34,"SP_REV_EST",AD$7,$F$2,"Options:Curr="&amp;$F$3&amp;", Mag=Millions, NA=--"))</f>
        <v/>
      </c>
      <c r="AE34" s="74" t="str" cm="1">
        <f t="array" ref="AE34">IF($B34="","",_xll.SNL.Clients.Office.Excel.Functions.SPG($B34,"SP_REV_EST",AE$7,$F$2,"Options:Curr="&amp;$F$3&amp;", Mag=Millions, NA=--"))</f>
        <v/>
      </c>
      <c r="AF34" s="74" t="str" cm="1">
        <f t="array" ref="AF34">IF($B34="","",_xll.SNL.Clients.Office.Excel.Functions.SPG($B34,"SP_REV_EST",AF$7,$F$2,"Options:Curr="&amp;$F$3&amp;", Mag=Millions, NA=--"))</f>
        <v/>
      </c>
      <c r="AG34" s="73"/>
      <c r="AH34" s="74" t="str" cm="1">
        <f t="array" ref="AH34">IF($B34="","",_xll.SNL.Clients.Office.Excel.Functions.SPG($B34,"SP_EBITDA",AH$7,$F$2,"Options:Curr="&amp;$F$3&amp;", Mag=Millions, NA=--"))</f>
        <v/>
      </c>
      <c r="AI34" s="74" t="str" cm="1">
        <f t="array" ref="AI34">IF($B34="","",_xll.SNL.Clients.Office.Excel.Functions.SPG($B34,"SP_EBITDA_EST",AI$7,$F$2,"Options:Curr="&amp;$F$3&amp;", Mag=Millions, NA=--"))</f>
        <v/>
      </c>
      <c r="AJ34" s="74" t="str" cm="1">
        <f t="array" ref="AJ34">IF($B34="","",_xll.SNL.Clients.Office.Excel.Functions.SPG($B34,"SP_EBITDA_EST",AJ$7,$F$2,"Options:Curr="&amp;$F$3&amp;", Mag=Millions, NA=--"))</f>
        <v/>
      </c>
      <c r="AK34" s="74" t="str" cm="1">
        <f t="array" ref="AK34">IF($B34="","",_xll.SNL.Clients.Office.Excel.Functions.SPG($B34,"SP_EBITDA_EST",AK$7,$F$2,"Options:Curr="&amp;$F$3&amp;", Mag=Millions, NA=--"))</f>
        <v/>
      </c>
      <c r="AL34" s="38"/>
      <c r="AM34" s="75" t="str" cm="1">
        <f t="array" ref="AM34">IF($B34="","",_xll.SNL.Clients.Office.Excel.Functions.SPG($B34,"IQ_BASIC_EPS_BEFORE_EXTRA",AM$7,$F$2,"Options:Curr="&amp;$F$3&amp;", NA=--"))</f>
        <v/>
      </c>
      <c r="AN34" s="75" t="str" cm="1">
        <f t="array" ref="AN34">IF($B34="","",_xll.SNL.Clients.Office.Excel.Functions.SPG($B34,"SP_EPS_EST",AN$7,$F$2,"Options:Curr="&amp;$F$3&amp;", NA=--"))</f>
        <v/>
      </c>
      <c r="AO34" s="75" t="str" cm="1">
        <f t="array" ref="AO34">IF($B34="","",_xll.SNL.Clients.Office.Excel.Functions.SPG($B34,"SP_EPS_EST",AO$7,$F$2,"Options:Curr="&amp;$F$3&amp;", NA=--"))</f>
        <v/>
      </c>
      <c r="AP34" s="75" t="str" cm="1">
        <f t="array" ref="AP34">IF($B34="","",_xll.SNL.Clients.Office.Excel.Functions.SPG($B34,"SP_EPS_EST",AP$7,$F$2,"Options:Curr="&amp;$F$3&amp;", NA=--"))</f>
        <v/>
      </c>
      <c r="AQ34" s="38"/>
      <c r="AR34" s="75" t="str" cm="1">
        <f t="array" ref="AR34">IF($B34="","",_xll.SNL.Clients.Office.Excel.Functions.SPG($B34,"IQ_ROE",AR$7,$F$2,"Options:Curr="&amp;$F$3&amp;", NA=--"))</f>
        <v/>
      </c>
      <c r="AS34" s="38"/>
      <c r="AT34" s="75" t="str" cm="1">
        <f t="array" ref="AT34">IF($B34="","",_xll.SNL.Clients.Office.Excel.Functions.SPG($B34,"IQ_BVPS",AT$7,$F$2,"Options:Curr="&amp;$F$3&amp;", NA=--"))</f>
        <v/>
      </c>
      <c r="AU34" s="38"/>
      <c r="AV34" s="75" t="str" cm="1">
        <f t="array" ref="AV34">IF($B34="","",_xll.SNL.Clients.Office.Excel.Functions.SPG($B34,"IQ_TBVPS",AV$7,$F$2,"Options:Curr="&amp;$F$3&amp;", NA=--"))</f>
        <v/>
      </c>
      <c r="AW34" s="38"/>
      <c r="AX34" s="67" t="str" cm="1">
        <f t="array" ref="AX34">IF($B34="","",_xll.SNL.Clients.Office.Excel.Functions.SPG($B34,"SP_DIV_YIELD",WORKDAY($F$2+1,-1),"Options: NA=--"))</f>
        <v/>
      </c>
      <c r="AY34" s="74" t="str" cm="1">
        <f t="array" ref="AY34">IF($B34="","",_xll.SNL.Clients.Office.Excel.Functions.SPG($B34,"IQ_TOTAL_EQUITY","FQ0",$F$2,"Options:Curr="&amp;$F$3&amp;", Mag=Millions, NA=--"))</f>
        <v/>
      </c>
      <c r="AZ34" s="74" t="str" cm="1">
        <f t="array" ref="AZ34">IF($B34="","",_xll.SNL.Clients.Office.Excel.Functions.SPG($B34,"IQ_TOTAL_DEBT","FQ0",$F$2,"Options:Curr="&amp;$F$3&amp;", Mag=Millions, NA=--"))</f>
        <v/>
      </c>
      <c r="BA34" s="74" t="str" cm="1">
        <f t="array" ref="BA34">IF($B34="","",_xll.SNL.Clients.Office.Excel.Functions.SPG($B34,"IQ_CASH_ST_INVEST","FQ0",$F$2,"Options:Curr="&amp;$F$3&amp;", Mag=Millions, NA=--"))</f>
        <v/>
      </c>
      <c r="BB34" s="74" t="e">
        <f t="shared" si="39"/>
        <v>#VALUE!</v>
      </c>
      <c r="BC34" s="74" t="str" cm="1">
        <f t="array" ref="BC34">IF($B34="","",_xll.SNL.Clients.Office.Excel.Functions.SPG($B34,"IQ_TOTAL_EQUITY","FQ0",$F$2,"Options:Curr="&amp;$F$3&amp;", Mag=Millions, NA=--"))</f>
        <v/>
      </c>
      <c r="BD34" s="38"/>
      <c r="BE34" s="71" t="str">
        <f>IF($B34="","",IFERROR(_xll.SNL.Clients.Office.Excel.Functions.SPG($B34,"SP_GROSS_MARGIN",BE$7,$F$2,"Options: NA=--")/100,"--"))</f>
        <v/>
      </c>
      <c r="BF34" s="71" t="str">
        <f>IF($B34="","",IFERROR(_xll.SNL.Clients.Office.Excel.Functions.SPG($B34,"SP_GROSS_MARGIN_EST",BF$7,$F$2,"Options: NA=--")/100,"--"))</f>
        <v/>
      </c>
      <c r="BG34" s="71" t="str">
        <f>IF($B34="","",IFERROR(_xll.SNL.Clients.Office.Excel.Functions.SPG($B34,"SP_GROSS_MARGIN_EST",BG$7,$F$2,"Options: NA=--")/100,"--"))</f>
        <v/>
      </c>
      <c r="BH34" s="71" t="str">
        <f>IF($B34="","",IFERROR(_xll.SNL.Clients.Office.Excel.Functions.SPG($B34,"SP_GROSS_MARGIN_EST",BH$7,$F$2,"Options: NA=--")/100,"--"))</f>
        <v/>
      </c>
    </row>
    <row r="35" spans="2:60" s="10" customFormat="1" ht="14.5" customHeight="1" x14ac:dyDescent="0.55000000000000004">
      <c r="B35" s="32"/>
      <c r="D35" s="10" t="str" cm="1">
        <f t="array" ref="D35">IF($B35="","",_xll.SNL.Clients.Office.Excel.Functions.SPG($B35, "SP_COMPANY_NAME"))</f>
        <v/>
      </c>
      <c r="G35" s="20" t="str" cm="1">
        <f t="array" ref="G35">IF($B35="","",_xll.SNL.Clients.Office.Excel.Functions.SPG($B35,"SP_LASTSALEPRICE",WORKDAY($F$2+1,-1),"Options:Curr="&amp;I35&amp;",NA=--"))</f>
        <v/>
      </c>
      <c r="H35" s="13" t="str" cm="1">
        <f t="array" ref="H35">IF($B35="","",_xll.SNL.Clients.Office.Excel.Functions.SPG($B35,"SP_PRICE_CLOSE",WORKDAY($F$2+1,-1),"Options:Curr="&amp;$F$3&amp;", NA=--"))</f>
        <v/>
      </c>
      <c r="I35" s="36" t="str" cm="1">
        <f t="array" ref="I35">IF($B35="","",_xll.SNL.Clients.Office.Excel.Functions.SPG($B35,"SP_TRADING_CURRENCY","Options: NA=--"))</f>
        <v/>
      </c>
      <c r="J35" s="82" t="str" cm="1">
        <f t="array" ref="J35">IF($B35="","n/a ",_xll.SNL.Clients.Office.Excel.Functions.SPG($B35,"SP_MARKETCAP",WORKDAY($F$2+1,-1),"Options:Curr="&amp;$F$3&amp;", Mag=Millions, NA=--"))</f>
        <v xml:space="preserve">n/a </v>
      </c>
      <c r="K35" s="82" t="str" cm="1">
        <f t="array" ref="K35">IF($B35="","n/a ",_xll.SNL.Clients.Office.Excel.Functions.SPG($B35,"IQ_TEV",WORKDAY($F$2+1,-1),"Options:Curr="&amp;$F$3&amp;", Mag=Millions, NA=--"))</f>
        <v xml:space="preserve">n/a </v>
      </c>
      <c r="L35" s="15" t="str">
        <f t="shared" si="30"/>
        <v xml:space="preserve">n/a </v>
      </c>
      <c r="M35" s="15" t="str">
        <f t="shared" si="30"/>
        <v xml:space="preserve">n/a </v>
      </c>
      <c r="N35" s="15" t="str">
        <f t="shared" si="30"/>
        <v xml:space="preserve">n/a </v>
      </c>
      <c r="O35" s="15" t="str">
        <f t="shared" si="31"/>
        <v xml:space="preserve">n/a </v>
      </c>
      <c r="P35" s="15" t="str">
        <f t="shared" si="31"/>
        <v xml:space="preserve">n/a </v>
      </c>
      <c r="Q35" s="15" t="str">
        <f t="shared" si="31"/>
        <v xml:space="preserve">n/a </v>
      </c>
      <c r="R35" s="31" t="str">
        <f t="shared" si="32"/>
        <v xml:space="preserve">n/a </v>
      </c>
      <c r="S35" s="31" t="str">
        <f t="shared" si="33"/>
        <v xml:space="preserve">n/a </v>
      </c>
      <c r="T35" s="31"/>
      <c r="U35" s="15" t="str">
        <f t="shared" si="34"/>
        <v xml:space="preserve">n/a </v>
      </c>
      <c r="V35" s="15" t="str">
        <f t="shared" si="35"/>
        <v xml:space="preserve">n/a </v>
      </c>
      <c r="W35" s="15" t="str">
        <f t="shared" si="35"/>
        <v xml:space="preserve">n/a </v>
      </c>
      <c r="X35" s="76" t="str">
        <f t="shared" si="36"/>
        <v xml:space="preserve">n/a </v>
      </c>
      <c r="Y35" s="15" t="str">
        <f t="shared" si="37"/>
        <v xml:space="preserve">n/a </v>
      </c>
      <c r="Z35" s="15" t="str">
        <f t="shared" si="38"/>
        <v xml:space="preserve">n/a </v>
      </c>
      <c r="AA35" s="57"/>
      <c r="AC35" s="74" t="str" cm="1">
        <f t="array" ref="AC35">IF($B35="","",_xll.SNL.Clients.Office.Excel.Functions.SPG($B35,"IQ_REV",AC$7,$F$2,"Options:Curr="&amp;$F$3&amp;", Mag=Millions, NA=--"))</f>
        <v/>
      </c>
      <c r="AD35" s="74" t="str" cm="1">
        <f t="array" ref="AD35">IF($B35="","",_xll.SNL.Clients.Office.Excel.Functions.SPG($B35,"SP_REV_EST",AD$7,$F$2,"Options:Curr="&amp;$F$3&amp;", Mag=Millions, NA=--"))</f>
        <v/>
      </c>
      <c r="AE35" s="74" t="str" cm="1">
        <f t="array" ref="AE35">IF($B35="","",_xll.SNL.Clients.Office.Excel.Functions.SPG($B35,"SP_REV_EST",AE$7,$F$2,"Options:Curr="&amp;$F$3&amp;", Mag=Millions, NA=--"))</f>
        <v/>
      </c>
      <c r="AF35" s="74" t="str" cm="1">
        <f t="array" ref="AF35">IF($B35="","",_xll.SNL.Clients.Office.Excel.Functions.SPG($B35,"SP_REV_EST",AF$7,$F$2,"Options:Curr="&amp;$F$3&amp;", Mag=Millions, NA=--"))</f>
        <v/>
      </c>
      <c r="AG35" s="73"/>
      <c r="AH35" s="74" t="str" cm="1">
        <f t="array" ref="AH35">IF($B35="","",_xll.SNL.Clients.Office.Excel.Functions.SPG($B35,"SP_EBITDA",AH$7,$F$2,"Options:Curr="&amp;$F$3&amp;", Mag=Millions, NA=--"))</f>
        <v/>
      </c>
      <c r="AI35" s="74" t="str" cm="1">
        <f t="array" ref="AI35">IF($B35="","",_xll.SNL.Clients.Office.Excel.Functions.SPG($B35,"SP_EBITDA_EST",AI$7,$F$2,"Options:Curr="&amp;$F$3&amp;", Mag=Millions, NA=--"))</f>
        <v/>
      </c>
      <c r="AJ35" s="74" t="str" cm="1">
        <f t="array" ref="AJ35">IF($B35="","",_xll.SNL.Clients.Office.Excel.Functions.SPG($B35,"SP_EBITDA_EST",AJ$7,$F$2,"Options:Curr="&amp;$F$3&amp;", Mag=Millions, NA=--"))</f>
        <v/>
      </c>
      <c r="AK35" s="74" t="str" cm="1">
        <f t="array" ref="AK35">IF($B35="","",_xll.SNL.Clients.Office.Excel.Functions.SPG($B35,"SP_EBITDA_EST",AK$7,$F$2,"Options:Curr="&amp;$F$3&amp;", Mag=Millions, NA=--"))</f>
        <v/>
      </c>
      <c r="AL35" s="38"/>
      <c r="AM35" s="75" t="str" cm="1">
        <f t="array" ref="AM35">IF($B35="","",_xll.SNL.Clients.Office.Excel.Functions.SPG($B35,"IQ_BASIC_EPS_BEFORE_EXTRA",AM$7,$F$2,"Options:Curr="&amp;$F$3&amp;", NA=--"))</f>
        <v/>
      </c>
      <c r="AN35" s="75" t="str" cm="1">
        <f t="array" ref="AN35">IF($B35="","",_xll.SNL.Clients.Office.Excel.Functions.SPG($B35,"SP_EPS_EST",AN$7,$F$2,"Options:Curr="&amp;$F$3&amp;", NA=--"))</f>
        <v/>
      </c>
      <c r="AO35" s="75" t="str" cm="1">
        <f t="array" ref="AO35">IF($B35="","",_xll.SNL.Clients.Office.Excel.Functions.SPG($B35,"SP_EPS_EST",AO$7,$F$2,"Options:Curr="&amp;$F$3&amp;", NA=--"))</f>
        <v/>
      </c>
      <c r="AP35" s="75" t="str" cm="1">
        <f t="array" ref="AP35">IF($B35="","",_xll.SNL.Clients.Office.Excel.Functions.SPG($B35,"SP_EPS_EST",AP$7,$F$2,"Options:Curr="&amp;$F$3&amp;", NA=--"))</f>
        <v/>
      </c>
      <c r="AQ35" s="38"/>
      <c r="AR35" s="75" t="str" cm="1">
        <f t="array" ref="AR35">IF($B35="","",_xll.SNL.Clients.Office.Excel.Functions.SPG($B35,"IQ_ROE",AR$7,$F$2,"Options:Curr="&amp;$F$3&amp;", NA=--"))</f>
        <v/>
      </c>
      <c r="AS35" s="38"/>
      <c r="AT35" s="75" t="str" cm="1">
        <f t="array" ref="AT35">IF($B35="","",_xll.SNL.Clients.Office.Excel.Functions.SPG($B35,"IQ_BVPS",AT$7,$F$2,"Options:Curr="&amp;$F$3&amp;", NA=--"))</f>
        <v/>
      </c>
      <c r="AU35" s="38"/>
      <c r="AV35" s="75" t="str" cm="1">
        <f t="array" ref="AV35">IF($B35="","",_xll.SNL.Clients.Office.Excel.Functions.SPG($B35,"IQ_TBVPS",AV$7,$F$2,"Options:Curr="&amp;$F$3&amp;", NA=--"))</f>
        <v/>
      </c>
      <c r="AW35" s="38"/>
      <c r="AX35" s="67" t="str" cm="1">
        <f t="array" ref="AX35">IF($B35="","",_xll.SNL.Clients.Office.Excel.Functions.SPG($B35,"SP_DIV_YIELD",WORKDAY($F$2+1,-1),"Options: NA=--"))</f>
        <v/>
      </c>
      <c r="AY35" s="74" t="str" cm="1">
        <f t="array" ref="AY35">IF($B35="","",_xll.SNL.Clients.Office.Excel.Functions.SPG($B35,"IQ_TOTAL_EQUITY","FQ0",$F$2,"Options:Curr="&amp;$F$3&amp;", Mag=Millions, NA=--"))</f>
        <v/>
      </c>
      <c r="AZ35" s="74" t="str" cm="1">
        <f t="array" ref="AZ35">IF($B35="","",_xll.SNL.Clients.Office.Excel.Functions.SPG($B35,"IQ_TOTAL_DEBT","FQ0",$F$2,"Options:Curr="&amp;$F$3&amp;", Mag=Millions, NA=--"))</f>
        <v/>
      </c>
      <c r="BA35" s="74" t="str" cm="1">
        <f t="array" ref="BA35">IF($B35="","",_xll.SNL.Clients.Office.Excel.Functions.SPG($B35,"IQ_CASH_ST_INVEST","FQ0",$F$2,"Options:Curr="&amp;$F$3&amp;", Mag=Millions, NA=--"))</f>
        <v/>
      </c>
      <c r="BB35" s="74" t="e">
        <f t="shared" si="39"/>
        <v>#VALUE!</v>
      </c>
      <c r="BC35" s="74" t="str" cm="1">
        <f t="array" ref="BC35">IF($B35="","",_xll.SNL.Clients.Office.Excel.Functions.SPG($B35,"IQ_TOTAL_EQUITY","FQ0",$F$2,"Options:Curr="&amp;$F$3&amp;", Mag=Millions, NA=--"))</f>
        <v/>
      </c>
      <c r="BD35" s="38"/>
      <c r="BE35" s="71" t="str">
        <f>IF($B35="","",IFERROR(_xll.SNL.Clients.Office.Excel.Functions.SPG($B35,"SP_GROSS_MARGIN",BE$7,$F$2,"Options: NA=--")/100,"--"))</f>
        <v/>
      </c>
      <c r="BF35" s="71" t="str">
        <f>IF($B35="","",IFERROR(_xll.SNL.Clients.Office.Excel.Functions.SPG($B35,"SP_GROSS_MARGIN_EST",BF$7,$F$2,"Options: NA=--")/100,"--"))</f>
        <v/>
      </c>
      <c r="BG35" s="71" t="str">
        <f>IF($B35="","",IFERROR(_xll.SNL.Clients.Office.Excel.Functions.SPG($B35,"SP_GROSS_MARGIN_EST",BG$7,$F$2,"Options: NA=--")/100,"--"))</f>
        <v/>
      </c>
      <c r="BH35" s="71" t="str">
        <f>IF($B35="","",IFERROR(_xll.SNL.Clients.Office.Excel.Functions.SPG($B35,"SP_GROSS_MARGIN_EST",BH$7,$F$2,"Options: NA=--")/100,"--"))</f>
        <v/>
      </c>
    </row>
    <row r="36" spans="2:60" s="10" customFormat="1" ht="3" customHeight="1" x14ac:dyDescent="0.55000000000000004">
      <c r="B36" s="11"/>
      <c r="G36" s="14"/>
      <c r="H36" s="14"/>
      <c r="I36" s="36"/>
      <c r="J36" s="21"/>
      <c r="K36" s="22"/>
      <c r="L36" s="22"/>
      <c r="M36" s="15"/>
      <c r="N36" s="15"/>
      <c r="O36" s="15"/>
      <c r="P36" s="15"/>
      <c r="Q36" s="15"/>
      <c r="R36" s="16"/>
      <c r="S36" s="16"/>
      <c r="T36" s="16"/>
      <c r="U36" s="15"/>
      <c r="V36" s="15"/>
      <c r="W36" s="15"/>
      <c r="X36" s="15"/>
      <c r="Y36" s="15"/>
      <c r="Z36" s="15"/>
      <c r="AA36" s="16"/>
      <c r="AC36" s="18"/>
      <c r="AD36" s="13"/>
      <c r="AE36" s="13"/>
      <c r="AF36" s="13"/>
      <c r="AI36" s="19"/>
      <c r="AJ36" s="19"/>
      <c r="AK36" s="19"/>
      <c r="AM36" s="13"/>
      <c r="AN36" s="13"/>
      <c r="AO36" s="13"/>
      <c r="AP36" s="13"/>
      <c r="AX36" s="18"/>
      <c r="AY36" s="18"/>
      <c r="AZ36" s="18"/>
      <c r="BA36" s="18"/>
      <c r="BB36" s="18"/>
      <c r="BC36" s="18"/>
      <c r="BF36" s="40"/>
      <c r="BG36" s="40"/>
      <c r="BH36" s="40"/>
    </row>
    <row r="37" spans="2:60" s="10" customFormat="1" ht="14.5" customHeight="1" x14ac:dyDescent="0.55000000000000004">
      <c r="B37" s="9"/>
      <c r="D37" s="23" t="s">
        <v>22</v>
      </c>
      <c r="E37" s="23"/>
      <c r="F37" s="23"/>
      <c r="G37" s="23"/>
      <c r="H37" s="23"/>
      <c r="I37" s="23"/>
      <c r="J37" s="24"/>
      <c r="K37" s="24"/>
      <c r="L37" s="33" t="str">
        <f>IFERROR(AVERAGE(L30:L35),"n/a ")</f>
        <v xml:space="preserve">n/a </v>
      </c>
      <c r="M37" s="33" t="str">
        <f>IFERROR(AVERAGE(M30:M35),"n/a ")</f>
        <v xml:space="preserve">n/a </v>
      </c>
      <c r="N37" s="25" t="str">
        <f>IFERROR(AVERAGE(N30:N35),"n/a ")</f>
        <v xml:space="preserve">n/a </v>
      </c>
      <c r="O37" s="25" t="str">
        <f t="shared" ref="O37:Z37" si="40">IFERROR(AVERAGE(O30:O35),"n/a ")</f>
        <v xml:space="preserve">n/a </v>
      </c>
      <c r="P37" s="25" t="str">
        <f t="shared" si="40"/>
        <v xml:space="preserve">n/a </v>
      </c>
      <c r="Q37" s="25" t="str">
        <f t="shared" si="40"/>
        <v xml:space="preserve">n/a </v>
      </c>
      <c r="R37" s="34" t="str">
        <f t="shared" si="40"/>
        <v xml:space="preserve">n/a </v>
      </c>
      <c r="S37" s="34" t="str">
        <f t="shared" si="40"/>
        <v xml:space="preserve">n/a </v>
      </c>
      <c r="T37" s="34"/>
      <c r="U37" s="25" t="str">
        <f t="shared" si="40"/>
        <v xml:space="preserve">n/a </v>
      </c>
      <c r="V37" s="25" t="str">
        <f t="shared" si="40"/>
        <v xml:space="preserve">n/a </v>
      </c>
      <c r="W37" s="25" t="str">
        <f t="shared" si="40"/>
        <v xml:space="preserve">n/a </v>
      </c>
      <c r="X37" s="77" t="str">
        <f t="shared" si="40"/>
        <v xml:space="preserve">n/a </v>
      </c>
      <c r="Y37" s="33" t="str">
        <f t="shared" si="40"/>
        <v xml:space="preserve">n/a </v>
      </c>
      <c r="Z37" s="33" t="str">
        <f t="shared" si="40"/>
        <v xml:space="preserve">n/a </v>
      </c>
      <c r="AA37" s="34"/>
      <c r="BF37" s="40"/>
      <c r="BG37" s="40"/>
      <c r="BH37" s="40"/>
    </row>
    <row r="38" spans="2:60" s="10" customFormat="1" ht="3" customHeight="1" x14ac:dyDescent="0.55000000000000004">
      <c r="B38" s="9"/>
      <c r="D38" s="45"/>
      <c r="E38" s="45"/>
      <c r="F38" s="45"/>
      <c r="G38" s="45"/>
      <c r="H38" s="45"/>
      <c r="I38" s="45"/>
      <c r="J38" s="46"/>
      <c r="K38" s="46"/>
      <c r="L38" s="45"/>
      <c r="M38" s="45"/>
      <c r="N38" s="45"/>
      <c r="O38" s="45"/>
      <c r="P38" s="45"/>
      <c r="Q38" s="45"/>
      <c r="R38" s="45"/>
      <c r="S38" s="45"/>
      <c r="T38" s="45"/>
      <c r="U38" s="45"/>
      <c r="V38" s="45"/>
      <c r="W38" s="45"/>
      <c r="X38" s="45"/>
      <c r="Y38" s="45"/>
      <c r="Z38" s="45"/>
      <c r="AA38" s="45"/>
      <c r="BF38" s="40"/>
      <c r="BG38" s="40"/>
      <c r="BH38" s="40"/>
    </row>
    <row r="39" spans="2:60" s="28" customFormat="1" ht="14.5" customHeight="1" x14ac:dyDescent="0.55000000000000004">
      <c r="B39" s="27"/>
      <c r="D39" s="47" t="s">
        <v>23</v>
      </c>
      <c r="E39" s="47"/>
      <c r="F39" s="47"/>
      <c r="G39" s="47"/>
      <c r="H39" s="47"/>
      <c r="I39" s="47"/>
      <c r="J39" s="47"/>
      <c r="K39" s="47"/>
      <c r="L39" s="48" t="str">
        <f>IFERROR(AVERAGE(L10:L15,L20:L25,L30:L35),"n/a ")</f>
        <v xml:space="preserve">n/a </v>
      </c>
      <c r="M39" s="48" t="str">
        <f t="shared" ref="M39:S39" si="41">IFERROR(AVERAGE(M10:M15,M20:M25,M30:M35),"n/a ")</f>
        <v xml:space="preserve">n/a </v>
      </c>
      <c r="N39" s="48" t="str">
        <f t="shared" si="41"/>
        <v xml:space="preserve">n/a </v>
      </c>
      <c r="O39" s="48" t="str">
        <f t="shared" si="41"/>
        <v xml:space="preserve">n/a </v>
      </c>
      <c r="P39" s="48" t="str">
        <f t="shared" si="41"/>
        <v xml:space="preserve">n/a </v>
      </c>
      <c r="Q39" s="48" t="str">
        <f t="shared" si="41"/>
        <v xml:space="preserve">n/a </v>
      </c>
      <c r="R39" s="59" t="str">
        <f t="shared" si="41"/>
        <v xml:space="preserve">n/a </v>
      </c>
      <c r="S39" s="59" t="str">
        <f t="shared" si="41"/>
        <v xml:space="preserve">n/a </v>
      </c>
      <c r="T39" s="59"/>
      <c r="U39" s="48" t="str">
        <f t="shared" ref="U39:W39" si="42">IFERROR(AVERAGE(U10:U15,U20:U25,U30:U35),"n/a ")</f>
        <v xml:space="preserve">n/a </v>
      </c>
      <c r="V39" s="48" t="str">
        <f t="shared" si="42"/>
        <v xml:space="preserve">n/a </v>
      </c>
      <c r="W39" s="48" t="str">
        <f t="shared" si="42"/>
        <v xml:space="preserve">n/a </v>
      </c>
      <c r="X39" s="48" t="str">
        <f t="shared" ref="X39:Z39" si="43">IFERROR(AVERAGE(X10:X15,X20:X25,X30:X35),"n/a ")</f>
        <v xml:space="preserve">n/a </v>
      </c>
      <c r="Y39" s="48" t="str">
        <f t="shared" si="43"/>
        <v xml:space="preserve">n/a </v>
      </c>
      <c r="Z39" s="48" t="str">
        <f t="shared" si="43"/>
        <v xml:space="preserve">n/a </v>
      </c>
      <c r="AA39" s="49"/>
      <c r="BF39" s="41"/>
      <c r="BG39" s="41"/>
      <c r="BH39" s="41"/>
    </row>
    <row r="40" spans="2:60" s="28" customFormat="1" ht="14.5" hidden="1" customHeight="1" outlineLevel="1" x14ac:dyDescent="0.55000000000000004">
      <c r="B40" s="27"/>
      <c r="D40" s="42" t="s">
        <v>32</v>
      </c>
      <c r="E40" s="42"/>
      <c r="F40" s="42"/>
      <c r="G40" s="42"/>
      <c r="H40" s="42"/>
      <c r="I40" s="42"/>
      <c r="J40" s="42"/>
      <c r="K40" s="42"/>
      <c r="L40" s="43">
        <f t="shared" ref="L40:S40" si="44">+IFERROR((SUM(L20:L25,L10:L15)-MAX(L10:L15,L20:L25)-MIN(L10:L15,L20:L25))/(COUNT(L20:L25,L10:L15)-2),"n/a ")</f>
        <v>0</v>
      </c>
      <c r="M40" s="43">
        <f t="shared" si="44"/>
        <v>0</v>
      </c>
      <c r="N40" s="43">
        <f t="shared" si="44"/>
        <v>0</v>
      </c>
      <c r="O40" s="43">
        <f t="shared" si="44"/>
        <v>0</v>
      </c>
      <c r="P40" s="43">
        <f t="shared" si="44"/>
        <v>0</v>
      </c>
      <c r="Q40" s="43">
        <f t="shared" si="44"/>
        <v>0</v>
      </c>
      <c r="R40" s="60">
        <f t="shared" si="44"/>
        <v>0</v>
      </c>
      <c r="S40" s="60">
        <f t="shared" si="44"/>
        <v>0</v>
      </c>
      <c r="T40" s="60"/>
      <c r="U40" s="43">
        <f t="shared" ref="U40:W40" si="45">+IFERROR((SUM(U20:U25,U10:U15)-MAX(U10:U15,U20:U25)-MIN(U10:U15,U20:U25))/(COUNT(U20:U25,U10:U15)-2),"n/a ")</f>
        <v>0</v>
      </c>
      <c r="V40" s="43">
        <f t="shared" si="45"/>
        <v>0</v>
      </c>
      <c r="W40" s="43">
        <f t="shared" si="45"/>
        <v>0</v>
      </c>
      <c r="X40" s="43">
        <f t="shared" ref="X40:Z40" si="46">+IFERROR((SUM(X20:X25,X10:X15)-MAX(X10:X15,X20:X25)-MIN(X10:X15,X20:X25))/(COUNT(X20:X25,X10:X15)-2),"n/a ")</f>
        <v>0</v>
      </c>
      <c r="Y40" s="43">
        <f t="shared" si="46"/>
        <v>0</v>
      </c>
      <c r="Z40" s="43">
        <f t="shared" si="46"/>
        <v>0</v>
      </c>
      <c r="AA40" s="44"/>
      <c r="BF40" s="41"/>
      <c r="BG40" s="41"/>
      <c r="BH40" s="41"/>
    </row>
    <row r="41" spans="2:60" s="28" customFormat="1" ht="14.5" customHeight="1" collapsed="1" x14ac:dyDescent="0.55000000000000004">
      <c r="B41" s="27"/>
      <c r="D41" s="50" t="s">
        <v>31</v>
      </c>
      <c r="E41" s="50"/>
      <c r="F41" s="50"/>
      <c r="G41" s="50"/>
      <c r="H41" s="50"/>
      <c r="I41" s="50"/>
      <c r="J41" s="50"/>
      <c r="K41" s="50"/>
      <c r="L41" s="51" t="str">
        <f>IFERROR(MEDIAN(L20:L25,L10:L15,L30:L35),"n/a ")</f>
        <v xml:space="preserve">n/a </v>
      </c>
      <c r="M41" s="51" t="str">
        <f t="shared" ref="M41:S41" si="47">IFERROR(MEDIAN(M20:M25,M10:M15,M30:M35),"n/a ")</f>
        <v xml:space="preserve">n/a </v>
      </c>
      <c r="N41" s="51" t="str">
        <f t="shared" si="47"/>
        <v xml:space="preserve">n/a </v>
      </c>
      <c r="O41" s="51" t="str">
        <f t="shared" si="47"/>
        <v xml:space="preserve">n/a </v>
      </c>
      <c r="P41" s="51" t="str">
        <f t="shared" si="47"/>
        <v xml:space="preserve">n/a </v>
      </c>
      <c r="Q41" s="51" t="str">
        <f t="shared" si="47"/>
        <v xml:space="preserve">n/a </v>
      </c>
      <c r="R41" s="61" t="str">
        <f t="shared" si="47"/>
        <v xml:space="preserve">n/a </v>
      </c>
      <c r="S41" s="61" t="str">
        <f t="shared" si="47"/>
        <v xml:space="preserve">n/a </v>
      </c>
      <c r="T41" s="61"/>
      <c r="U41" s="51" t="str">
        <f t="shared" ref="U41:W41" si="48">IFERROR(MEDIAN(U20:U25,U10:U15,U30:U35),"n/a ")</f>
        <v xml:space="preserve">n/a </v>
      </c>
      <c r="V41" s="51" t="str">
        <f t="shared" si="48"/>
        <v xml:space="preserve">n/a </v>
      </c>
      <c r="W41" s="51" t="str">
        <f t="shared" si="48"/>
        <v xml:space="preserve">n/a </v>
      </c>
      <c r="X41" s="51" t="str">
        <f t="shared" ref="X41:Z41" si="49">IFERROR(MEDIAN(X20:X25,X10:X15,X30:X35),"n/a ")</f>
        <v xml:space="preserve">n/a </v>
      </c>
      <c r="Y41" s="51" t="str">
        <f t="shared" si="49"/>
        <v xml:space="preserve">n/a </v>
      </c>
      <c r="Z41" s="51" t="str">
        <f t="shared" si="49"/>
        <v xml:space="preserve">n/a </v>
      </c>
      <c r="AA41" s="52"/>
      <c r="BF41" s="41"/>
      <c r="BG41" s="41"/>
      <c r="BH41" s="41"/>
    </row>
    <row r="42" spans="2:60" s="10" customFormat="1" ht="3" customHeight="1" x14ac:dyDescent="0.55000000000000004">
      <c r="B42" s="9"/>
      <c r="J42" s="26"/>
      <c r="K42" s="26"/>
      <c r="L42" s="26"/>
      <c r="BF42" s="40"/>
      <c r="BG42" s="40"/>
      <c r="BH42" s="40"/>
    </row>
    <row r="43" spans="2:60" ht="14.5" customHeight="1" x14ac:dyDescent="0.6">
      <c r="D43" s="78" t="s">
        <v>48</v>
      </c>
      <c r="E43" s="79"/>
      <c r="F43" s="80"/>
      <c r="G43" s="80"/>
      <c r="H43" s="80"/>
      <c r="I43" s="80"/>
      <c r="J43" s="80"/>
      <c r="K43" s="80"/>
      <c r="L43" s="80" t="e">
        <f>_xlfn.PERCENTILE.INC((L10:L15,L20:L25,L30:L35),0.25)</f>
        <v>#NUM!</v>
      </c>
      <c r="M43" s="80" t="e">
        <f>_xlfn.PERCENTILE.INC((M10:M15,M20:M25,M30:M35),0.25)</f>
        <v>#NUM!</v>
      </c>
      <c r="N43" s="80" t="e">
        <f>_xlfn.PERCENTILE.INC((N10:N15,N20:N25,N30:N35),0.25)</f>
        <v>#NUM!</v>
      </c>
      <c r="O43" s="80" t="e">
        <f>_xlfn.PERCENTILE.INC((O10:O15,O20:O25,O30:O35),0.25)</f>
        <v>#NUM!</v>
      </c>
      <c r="P43" s="80" t="e">
        <f>_xlfn.PERCENTILE.INC((P10:P15,P20:P25,P30:P35),0.25)</f>
        <v>#NUM!</v>
      </c>
      <c r="Q43" s="80" t="e">
        <f>_xlfn.PERCENTILE.INC((Q10:Q15,Q20:Q25,Q30:Q35),0.25)</f>
        <v>#NUM!</v>
      </c>
      <c r="R43" s="81" t="e">
        <f>_xlfn.PERCENTILE.INC((R10:R15,R20:R25,R30:R35),0.25)</f>
        <v>#NUM!</v>
      </c>
      <c r="S43" s="81" t="e">
        <f>_xlfn.PERCENTILE.INC((S10:S15,S20:S25,S30:S35),0.25)</f>
        <v>#NUM!</v>
      </c>
      <c r="T43" s="80"/>
      <c r="U43" s="80" t="e">
        <f>_xlfn.PERCENTILE.INC((U10:U15,U20:U25,U30:U35),0.25)</f>
        <v>#NUM!</v>
      </c>
      <c r="V43" s="80" t="e">
        <f>_xlfn.PERCENTILE.INC((V10:V15,V20:V25,V30:V35),0.25)</f>
        <v>#NUM!</v>
      </c>
      <c r="W43" s="80" t="e">
        <f>_xlfn.PERCENTILE.INC((W10:W15,W20:W25,W30:W35),0.25)</f>
        <v>#NUM!</v>
      </c>
      <c r="X43" s="81" t="e">
        <f>_xlfn.PERCENTILE.INC((X10:X15,X20:X25,X30:X35),0.25)</f>
        <v>#NUM!</v>
      </c>
      <c r="Y43" s="80" t="e">
        <f>_xlfn.PERCENTILE.INC((Y10:Y15,Y20:Y25,Y30:Y35),0.25)</f>
        <v>#NUM!</v>
      </c>
      <c r="Z43" s="80" t="e">
        <f>_xlfn.PERCENTILE.INC((Z10:Z15,Z20:Z25,Z30:Z35),0.25)</f>
        <v>#NUM!</v>
      </c>
      <c r="AA43" s="80"/>
    </row>
    <row r="44" spans="2:60" ht="14.5" customHeight="1" x14ac:dyDescent="0.6">
      <c r="D44" s="78" t="s">
        <v>49</v>
      </c>
      <c r="E44" s="79"/>
      <c r="F44" s="80"/>
      <c r="G44" s="80"/>
      <c r="H44" s="80"/>
      <c r="I44" s="80"/>
      <c r="J44" s="80"/>
      <c r="K44" s="80"/>
      <c r="L44" s="80" t="e">
        <f>_xlfn.PERCENTILE.INC((L10:L15,L20:L25,L30:L35),0.75)</f>
        <v>#NUM!</v>
      </c>
      <c r="M44" s="80" t="e">
        <f>_xlfn.PERCENTILE.INC((M10:M15,M20:M25,M30:M35),0.75)</f>
        <v>#NUM!</v>
      </c>
      <c r="N44" s="80" t="e">
        <f>_xlfn.PERCENTILE.INC((N10:N15,N20:N25,N30:N35),0.75)</f>
        <v>#NUM!</v>
      </c>
      <c r="O44" s="80" t="e">
        <f>_xlfn.PERCENTILE.INC((O10:O15,O20:O25,O30:O35),0.75)</f>
        <v>#NUM!</v>
      </c>
      <c r="P44" s="80" t="e">
        <f>_xlfn.PERCENTILE.INC((P10:P15,P20:P25,P30:P35),0.75)</f>
        <v>#NUM!</v>
      </c>
      <c r="Q44" s="80" t="e">
        <f>_xlfn.PERCENTILE.INC((Q10:Q15,Q20:Q25,Q30:Q35),0.75)</f>
        <v>#NUM!</v>
      </c>
      <c r="R44" s="81" t="e">
        <f>_xlfn.PERCENTILE.INC((R10:R15,R20:R25,R30:R35),0.75)</f>
        <v>#NUM!</v>
      </c>
      <c r="S44" s="81" t="e">
        <f>_xlfn.PERCENTILE.INC((S10:S15,S20:S25,S30:S35),0.75)</f>
        <v>#NUM!</v>
      </c>
      <c r="T44" s="80"/>
      <c r="U44" s="80" t="e">
        <f>_xlfn.PERCENTILE.INC((U10:U15,U20:U25,U30:U35),0.75)</f>
        <v>#NUM!</v>
      </c>
      <c r="V44" s="80" t="e">
        <f>_xlfn.PERCENTILE.INC((V10:V15,V20:V25,V30:V35),0.75)</f>
        <v>#NUM!</v>
      </c>
      <c r="W44" s="80" t="e">
        <f>_xlfn.PERCENTILE.INC((W10:W15,W20:W25,W30:W35),0.75)</f>
        <v>#NUM!</v>
      </c>
      <c r="X44" s="81" t="e">
        <f>_xlfn.PERCENTILE.INC((X10:X15,X20:X25,X30:X35),0.75)</f>
        <v>#NUM!</v>
      </c>
      <c r="Y44" s="80" t="e">
        <f>_xlfn.PERCENTILE.INC((Y10:Y15,Y20:Y25,Y30:Y35),0.75)</f>
        <v>#NUM!</v>
      </c>
      <c r="Z44" s="80" t="e">
        <f>_xlfn.PERCENTILE.INC((Z10:Z15,Z20:Z25,Z30:Z35),0.75)</f>
        <v>#NUM!</v>
      </c>
      <c r="AA44" s="80"/>
    </row>
  </sheetData>
  <sortState xmlns:xlrd2="http://schemas.microsoft.com/office/spreadsheetml/2017/richdata2" ref="B10:BH15">
    <sortCondition descending="1" ref="K10:K15"/>
  </sortState>
  <conditionalFormatting sqref="B10:B15">
    <cfRule type="duplicateValues" dxfId="6" priority="69"/>
  </conditionalFormatting>
  <conditionalFormatting sqref="B20:B25">
    <cfRule type="duplicateValues" dxfId="5" priority="2"/>
  </conditionalFormatting>
  <conditionalFormatting sqref="B30:B35">
    <cfRule type="duplicateValues" dxfId="4" priority="1"/>
  </conditionalFormatting>
  <conditionalFormatting sqref="G10:G15 G20:G25">
    <cfRule type="expression" dxfId="3" priority="54">
      <formula>I10="EUR"</formula>
    </cfRule>
    <cfRule type="expression" dxfId="2" priority="55">
      <formula>I10="CAD"</formula>
    </cfRule>
  </conditionalFormatting>
  <conditionalFormatting sqref="G30:G35">
    <cfRule type="expression" dxfId="1" priority="11">
      <formula>I30="EUR"</formula>
    </cfRule>
    <cfRule type="expression" dxfId="0" priority="12">
      <formula>I30="CAD"</formula>
    </cfRule>
  </conditionalFormatting>
  <pageMargins left="0.7" right="0.7" top="0.75" bottom="0.75" header="0.3" footer="0.3"/>
  <pageSetup scale="2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Comps</vt:lpstr>
      <vt:lpstr>Comps!Print_Area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Joey Shaw</dc:creator>
  <cp:lastModifiedBy>Tate Wilson</cp:lastModifiedBy>
  <dcterms:created xsi:type="dcterms:W3CDTF">2018-01-24T22:30:48Z</dcterms:created>
  <dcterms:modified xsi:type="dcterms:W3CDTF">2026-06-08T21:28:25Z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{02F2FB49-18D7-4FD0-B391-8825F6E7E010}</vt:lpwstr>
  </property>
  <property fmtid="{D5CDD505-2E9C-101B-9397-08002B2CF9AE}" pid="3" name="snltemplateid">
    <vt:r8>430539263</vt:r8>
  </property>
  <property fmtid="{D5CDD505-2E9C-101B-9397-08002B2CF9AE}" pid="4" name="KeyFile">
    <vt:r8>430539263</vt:r8>
  </property>
  <property fmtid="{D5CDD505-2E9C-101B-9397-08002B2CF9AE}" pid="5" name="MSIP_Label_6267e522-0091-4d88-9989-f382df9eb3cc_Enabled">
    <vt:lpwstr>true</vt:lpwstr>
  </property>
  <property fmtid="{D5CDD505-2E9C-101B-9397-08002B2CF9AE}" pid="6" name="MSIP_Label_6267e522-0091-4d88-9989-f382df9eb3cc_SetDate">
    <vt:lpwstr>2025-06-17T19:12:40Z</vt:lpwstr>
  </property>
  <property fmtid="{D5CDD505-2E9C-101B-9397-08002B2CF9AE}" pid="7" name="MSIP_Label_6267e522-0091-4d88-9989-f382df9eb3cc_Method">
    <vt:lpwstr>Privileged</vt:lpwstr>
  </property>
  <property fmtid="{D5CDD505-2E9C-101B-9397-08002B2CF9AE}" pid="8" name="MSIP_Label_6267e522-0091-4d88-9989-f382df9eb3cc_Name">
    <vt:lpwstr>General</vt:lpwstr>
  </property>
  <property fmtid="{D5CDD505-2E9C-101B-9397-08002B2CF9AE}" pid="9" name="MSIP_Label_6267e522-0091-4d88-9989-f382df9eb3cc_SiteId">
    <vt:lpwstr>8f3e36ea-8039-4b40-81a7-7dc0599e8645</vt:lpwstr>
  </property>
  <property fmtid="{D5CDD505-2E9C-101B-9397-08002B2CF9AE}" pid="10" name="MSIP_Label_6267e522-0091-4d88-9989-f382df9eb3cc_ActionId">
    <vt:lpwstr>91041642-74f4-4405-ac8d-5e74025083d7</vt:lpwstr>
  </property>
  <property fmtid="{D5CDD505-2E9C-101B-9397-08002B2CF9AE}" pid="11" name="MSIP_Label_6267e522-0091-4d88-9989-f382df9eb3cc_ContentBits">
    <vt:lpwstr>0</vt:lpwstr>
  </property>
</Properties>
</file>