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ptable" sheetId="1" state="visible" r:id="rId1"/>
    <sheet xmlns:r="http://schemas.openxmlformats.org/officeDocument/2006/relationships" name="comps" sheetId="2" state="visible" r:id="rId2"/>
    <sheet xmlns:r="http://schemas.openxmlformats.org/officeDocument/2006/relationships" name="financial-summary" sheetId="3" state="visible" r:id="rId3"/>
    <sheet xmlns:r="http://schemas.openxmlformats.org/officeDocument/2006/relationships" name="ltm-metric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Bloomberg Output" sheetId="6" state="visible" r:id="rId6"/>
    <sheet xmlns:r="http://schemas.openxmlformats.org/officeDocument/2006/relationships" name="precedent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4">
    <numFmt numFmtId="164" formatCode="d\-mmm\-yy"/>
    <numFmt numFmtId="165" formatCode="#,##0.000000"/>
    <numFmt numFmtId="166" formatCode="#,##0.0000\x_);\(#,##0.0000&quot;x)&quot;;&quot;--&quot;"/>
    <numFmt numFmtId="167" formatCode="#,##0.0000_);\(#,##0.0000\);&quot;-- &quot;"/>
    <numFmt numFmtId="168" formatCode="\$#,##0.00_);&quot;($&quot;#,##0.00\);&quot;--&quot;"/>
    <numFmt numFmtId="169" formatCode="#,##0.0_);\(#,##0.0\);&quot;-- &quot;"/>
    <numFmt numFmtId="170" formatCode="\$#,##0.0_);&quot;($&quot;#,##0.0\);&quot;-- &quot;"/>
    <numFmt numFmtId="171" formatCode="\$#,##0.00"/>
    <numFmt numFmtId="172" formatCode="\$#,##0.0_);&quot;($&quot;#,##0.0\);&quot;--&quot;_);&quot;--&quot;_)"/>
    <numFmt numFmtId="173" formatCode=";;;@"/>
    <numFmt numFmtId="174" formatCode=";;;@\E"/>
    <numFmt numFmtId="175" formatCode="\$#,##0.0_);&quot;($&quot;#,##0.0\);&quot;--&quot;"/>
    <numFmt numFmtId="176" formatCode="#,##0.0%_);\(#,##0.0%\);&quot;--&quot;"/>
    <numFmt numFmtId="177" formatCode="0.0\x_);\(0.0&quot;x)&quot;;&quot;-- &quot;"/>
    <numFmt numFmtId="178" formatCode="#,##0&quot; Analysts&quot;_);\(#,##0\);&quot;--&quot;_)"/>
    <numFmt numFmtId="179" formatCode="\$#,##0.00_);&quot;($&quot;#,##0.00\);&quot;-- &quot;"/>
    <numFmt numFmtId="180" formatCode="0.0%_);\(0.0%\);&quot;-- &quot;"/>
    <numFmt numFmtId="181" formatCode="[$-1009]d/mmm/yy;@"/>
    <numFmt numFmtId="182" formatCode="0.0"/>
    <numFmt numFmtId="183" formatCode="\$#,##0.0"/>
    <numFmt numFmtId="184" formatCode="#,##0.0"/>
    <numFmt numFmtId="185" formatCode="mmm&quot;. &quot;d&quot;, &quot;yyyy"/>
    <numFmt numFmtId="186" formatCode="\$#,##0_);&quot;($&quot;#,##0\);&quot;-- &quot;"/>
    <numFmt numFmtId="187" formatCode="#,##0.0_);\(#,##0.0\);&quot;--&quot;"/>
    <numFmt numFmtId="188" formatCode="#,##0.0\x_);\(#,##0.0&quot;x)&quot;;&quot;--&quot;"/>
    <numFmt numFmtId="189" formatCode="0.0%"/>
    <numFmt numFmtId="190" formatCode="#,##0,_);\(#,##0,\);&quot;-- &quot;"/>
    <numFmt numFmtId="191" formatCode="#,##0.0,_);\(#,##0.0,\);&quot;-- &quot;"/>
    <numFmt numFmtId="192" formatCode="#,##0_);\(#,##0\);&quot;-- &quot;"/>
    <numFmt numFmtId="193" formatCode="yyyy\-mm\-dd"/>
    <numFmt numFmtId="194" formatCode="m/d/yyyy"/>
    <numFmt numFmtId="195" formatCode="#,##0.00000\x_);\(#,##0.00000&quot;x)&quot;;&quot;--&quot;"/>
    <numFmt numFmtId="196" formatCode="mmm\-yy"/>
    <numFmt numFmtId="197" formatCode="\$#,##0_);&quot;($&quot;#,##0\);&quot;--&quot;"/>
  </numFmts>
  <fonts count="6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Palatino Linotype"/>
      <charset val="1"/>
      <family val="1"/>
      <color theme="1"/>
      <sz val="9"/>
    </font>
    <font>
      <name val="Palatino Linotype"/>
      <charset val="1"/>
      <family val="1"/>
      <color rgb="FF000000"/>
      <sz val="9"/>
    </font>
    <font>
      <name val="Palatino Linotype"/>
      <charset val="1"/>
      <family val="1"/>
      <i val="1"/>
      <color rgb="FF000000"/>
      <sz val="9"/>
    </font>
    <font>
      <name val="Palatino Linotype"/>
      <charset val="1"/>
      <family val="1"/>
      <color rgb="FFFF0000"/>
      <sz val="9"/>
    </font>
    <font>
      <name val="Palatino Linotype"/>
      <charset val="1"/>
      <family val="0"/>
      <color rgb="FF0000FF"/>
      <sz val="9"/>
    </font>
    <font>
      <name val="Palatino Linotype"/>
      <charset val="1"/>
      <family val="1"/>
      <color rgb="FF0000FF"/>
      <sz val="9"/>
    </font>
    <font>
      <name val="Palatino Linotype"/>
      <charset val="1"/>
      <family val="1"/>
      <i val="1"/>
      <sz val="9"/>
    </font>
    <font>
      <name val="Palatino Linotype"/>
      <charset val="1"/>
      <family val="1"/>
      <b val="1"/>
      <color theme="1"/>
      <sz val="9"/>
    </font>
    <font>
      <name val="Palatino Linotype"/>
      <charset val="1"/>
      <family val="1"/>
      <b val="1"/>
      <color theme="0"/>
      <sz val="9"/>
      <u val="single"/>
    </font>
    <font>
      <name val="Calibri"/>
      <charset val="1"/>
      <family val="2"/>
      <color theme="1"/>
      <sz val="9"/>
    </font>
    <font>
      <name val="Calibri"/>
      <charset val="1"/>
      <family val="2"/>
      <i val="1"/>
      <color theme="1"/>
      <sz val="9"/>
    </font>
    <font>
      <name val="Palatino Linotype"/>
      <charset val="1"/>
      <family val="1"/>
      <b val="1"/>
      <color rgb="FF000000"/>
      <sz val="9"/>
    </font>
    <font>
      <name val="Palatino Linotype"/>
      <charset val="1"/>
      <family val="1"/>
      <sz val="9"/>
    </font>
    <font>
      <name val="Palatino Linotype"/>
      <charset val="1"/>
      <family val="1"/>
      <color rgb="FF008000"/>
      <sz val="9"/>
    </font>
    <font>
      <name val="Palatino Linotype"/>
      <charset val="1"/>
      <family val="1"/>
      <b val="1"/>
      <i val="1"/>
      <color theme="1"/>
      <sz val="9"/>
    </font>
    <font>
      <name val="Palatino Linotype"/>
      <charset val="1"/>
      <family val="1"/>
      <b val="1"/>
      <color theme="1"/>
      <sz val="9"/>
      <u val="single"/>
    </font>
    <font>
      <name val="Palatino Linotype"/>
      <charset val="1"/>
      <family val="1"/>
      <i val="1"/>
      <color theme="1"/>
      <sz val="9"/>
    </font>
    <font>
      <name val="Palatino Linotype"/>
      <charset val="1"/>
      <family val="1"/>
      <color rgb="FF800080"/>
      <sz val="9"/>
    </font>
    <font>
      <name val="Palatino Linotype"/>
      <charset val="1"/>
      <family val="1"/>
      <b val="1"/>
      <color theme="0"/>
      <sz val="9"/>
    </font>
    <font>
      <name val="Palatino Linotype"/>
      <charset val="1"/>
      <family val="1"/>
      <b val="1"/>
      <color rgb="FFFFFFFF"/>
      <sz val="9"/>
    </font>
    <font>
      <name val="Palatino Linotype"/>
      <charset val="1"/>
      <family val="1"/>
      <b val="1"/>
      <color rgb="FFFF0000"/>
      <sz val="9"/>
    </font>
    <font>
      <name val="Arial"/>
      <family val="2"/>
      <sz val="10"/>
    </font>
    <font>
      <name val="Arial"/>
      <charset val="1"/>
      <family val="2"/>
      <color rgb="FF000000"/>
      <sz val="6"/>
    </font>
    <font>
      <name val="Palatino Linotype"/>
      <charset val="1"/>
      <family val="1"/>
      <b val="1"/>
      <i val="1"/>
      <color theme="0"/>
      <sz val="9"/>
    </font>
    <font>
      <name val="Palatino Linotype"/>
      <charset val="1"/>
      <family val="1"/>
      <color theme="0"/>
      <sz val="9"/>
    </font>
    <font>
      <name val="Palatino Linotype"/>
      <charset val="1"/>
      <family val="1"/>
      <b val="1"/>
      <color rgb="FF000000"/>
      <sz val="9"/>
      <u val="single"/>
    </font>
    <font>
      <name val="Palatino Linotype"/>
      <charset val="1"/>
      <family val="1"/>
      <b val="1"/>
      <color rgb="FF0000FF"/>
      <sz val="9"/>
    </font>
    <font>
      <name val="Palatino Linotype"/>
      <charset val="1"/>
      <family val="0"/>
      <b val="1"/>
      <color rgb="FF1F3864"/>
      <sz val="14"/>
    </font>
    <font>
      <name val="Palatino Linotype"/>
      <charset val="1"/>
      <family val="0"/>
      <i val="1"/>
      <color rgb="FF595959"/>
      <sz val="10"/>
    </font>
    <font>
      <name val="Palatino Linotype"/>
      <charset val="1"/>
      <family val="0"/>
      <b val="1"/>
      <color rgb="FFFFFFFF"/>
      <sz val="11"/>
    </font>
    <font>
      <name val="Palatino Linotype"/>
      <charset val="1"/>
      <family val="0"/>
      <b val="1"/>
      <sz val="11"/>
    </font>
    <font>
      <name val="Palatino Linotype"/>
      <charset val="1"/>
      <family val="0"/>
      <sz val="11"/>
    </font>
    <font>
      <name val="Palatino Linotype"/>
      <charset val="1"/>
      <family val="0"/>
      <b val="1"/>
      <color rgb="FF1F3864"/>
      <sz val="11"/>
    </font>
    <font>
      <name val="Palatino Linotype"/>
      <charset val="1"/>
      <family val="1"/>
      <b val="1"/>
      <color theme="0"/>
      <sz val="11"/>
    </font>
    <font>
      <name val="Palatino Linotype"/>
      <charset val="1"/>
      <family val="1"/>
      <b val="1"/>
      <color theme="0"/>
      <sz val="10"/>
    </font>
    <font>
      <name val="Palatino Linotype"/>
      <charset val="1"/>
      <family val="1"/>
      <b val="1"/>
      <color theme="0"/>
      <sz val="12"/>
    </font>
    <font>
      <name val="Palatino Linotype"/>
      <charset val="1"/>
      <family val="1"/>
      <color theme="0"/>
      <sz val="10"/>
    </font>
    <font>
      <name val="Palatino Linotype"/>
      <charset val="1"/>
      <family val="1"/>
      <b val="1"/>
      <color theme="1"/>
      <sz val="10"/>
    </font>
    <font>
      <name val="Palatino Linotype"/>
      <charset val="1"/>
      <family val="1"/>
      <color theme="1"/>
      <sz val="11"/>
    </font>
    <font>
      <name val="Palatino Linotype"/>
      <charset val="1"/>
      <family val="1"/>
      <color theme="1"/>
      <sz val="10"/>
    </font>
    <font>
      <name val="Palatino Linotype"/>
      <charset val="1"/>
      <family val="1"/>
      <color rgb="FF000000"/>
      <sz val="10"/>
    </font>
    <font>
      <name val="Palatino Linotype"/>
      <charset val="1"/>
      <family val="1"/>
      <i val="1"/>
      <color rgb="FF000000"/>
      <sz val="10"/>
    </font>
    <font>
      <name val="Palatino Linotype"/>
      <charset val="1"/>
      <family val="1"/>
      <i val="1"/>
      <color theme="1"/>
      <sz val="10"/>
    </font>
    <font>
      <name val="Palatino Linotype"/>
      <charset val="1"/>
      <family val="1"/>
      <color rgb="FF0000FF"/>
      <sz val="10"/>
    </font>
    <font>
      <name val="Palatino Linotype"/>
      <charset val="1"/>
      <family val="1"/>
      <b val="1"/>
      <color theme="1"/>
      <sz val="11"/>
    </font>
    <font>
      <name val="Palatino Linotype"/>
      <charset val="1"/>
      <family val="1"/>
      <b val="1"/>
      <i val="1"/>
      <color theme="1"/>
      <sz val="10"/>
    </font>
    <font>
      <name val="Palatino Linotype"/>
      <charset val="1"/>
      <family val="1"/>
      <b val="1"/>
      <color rgb="FF000000"/>
      <sz val="10"/>
    </font>
    <font>
      <name val="Palatino Linotype"/>
      <charset val="1"/>
      <family val="1"/>
      <b val="1"/>
      <i val="1"/>
      <color theme="0"/>
      <sz val="10"/>
    </font>
    <font>
      <name val="Calibri"/>
      <charset val="1"/>
      <family val="0"/>
      <color rgb="FF0000FF"/>
      <sz val="11"/>
    </font>
    <font>
      <name val="Palatino Linotype"/>
      <charset val="1"/>
      <family val="0"/>
      <color rgb="FF0000FF"/>
      <sz val="10"/>
    </font>
    <font>
      <name val="Palatino Linotype"/>
      <charset val="1"/>
      <family val="1"/>
      <b val="1"/>
      <color rgb="FFFFFFFF"/>
      <sz val="10"/>
    </font>
    <font>
      <name val="Palatino Linotype"/>
      <charset val="1"/>
      <family val="1"/>
      <color rgb="FFFFFFFF"/>
      <sz val="10"/>
    </font>
    <font>
      <name val="Palatino Linotype"/>
      <charset val="1"/>
      <family val="1"/>
      <color rgb="FF008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0000FF"/>
      <sz val="11"/>
    </font>
    <font>
      <name val="Palatino Linotype"/>
      <charset val="1"/>
      <family val="0"/>
      <sz val="9"/>
    </font>
    <font>
      <name val="Calibri"/>
      <charset val="1"/>
      <family val="2"/>
      <color theme="10"/>
      <sz val="11"/>
      <u val="single"/>
    </font>
    <font>
      <name val="Palatino Linotype"/>
      <b val="1"/>
      <color rgb="001F3864"/>
      <sz val="11"/>
    </font>
    <font>
      <name val="Palatino Linotype"/>
      <b val="1"/>
      <sz val="11"/>
    </font>
    <font>
      <name val="Palatino Linotype"/>
      <sz val="11"/>
    </font>
  </fonts>
  <fills count="15">
    <fill>
      <patternFill/>
    </fill>
    <fill>
      <patternFill patternType="gray125"/>
    </fill>
    <fill>
      <patternFill patternType="solid">
        <fgColor rgb="FFFFFFCC"/>
        <bgColor rgb="FFFAF9F9"/>
      </patternFill>
    </fill>
    <fill>
      <patternFill patternType="solid">
        <fgColor rgb="FFE5E3E3"/>
        <bgColor rgb="FFD9E1F2"/>
      </patternFill>
    </fill>
    <fill>
      <patternFill patternType="solid">
        <fgColor theme="1"/>
        <bgColor rgb="FF0E213F"/>
      </patternFill>
    </fill>
    <fill>
      <patternFill patternType="solid">
        <fgColor theme="5"/>
        <bgColor rgb="FF595959"/>
      </patternFill>
    </fill>
    <fill>
      <patternFill patternType="solid">
        <fgColor theme="4"/>
        <bgColor rgb="FF1F3864"/>
      </patternFill>
    </fill>
    <fill>
      <patternFill patternType="solid">
        <fgColor theme="8"/>
        <bgColor rgb="FF595959"/>
      </patternFill>
    </fill>
    <fill>
      <patternFill patternType="solid">
        <fgColor rgb="FF1F3864"/>
        <bgColor rgb="FF0E213F"/>
      </patternFill>
    </fill>
    <fill>
      <patternFill patternType="solid">
        <fgColor rgb="FFD9E1F2"/>
        <bgColor rgb="FFE5E3E3"/>
      </patternFill>
    </fill>
    <fill>
      <patternFill patternType="solid">
        <fgColor rgb="FF95B5E8"/>
        <bgColor rgb="FF8DB4E2"/>
      </patternFill>
    </fill>
    <fill>
      <patternFill patternType="solid">
        <fgColor rgb="FFFDDFC7"/>
        <bgColor rgb="FFE5E3E3"/>
      </patternFill>
    </fill>
    <fill>
      <patternFill patternType="solid">
        <fgColor theme="9" tint="0.7999000000000001"/>
        <bgColor rgb="FFFFFFFF"/>
      </patternFill>
    </fill>
    <fill>
      <patternFill patternType="solid">
        <fgColor rgb="FF37659D"/>
        <bgColor rgb="FF46566E"/>
      </patternFill>
    </fill>
    <fill>
      <patternFill patternType="solid">
        <fgColor theme="0" tint="-0.05"/>
        <bgColor rgb="FFFAF9F9"/>
      </patternFill>
    </fill>
  </fills>
  <borders count="54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hair"/>
      <diagonal/>
    </border>
    <border>
      <left/>
      <right/>
      <top/>
      <bottom style="hair"/>
      <diagonal/>
    </border>
    <border>
      <left/>
      <right style="medium"/>
      <top style="hair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hair"/>
      <right style="hair"/>
      <top style="hair"/>
      <bottom/>
      <diagonal/>
    </border>
    <border>
      <left style="hair"/>
      <right style="hair"/>
      <top style="hair"/>
      <bottom style="hair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hair"/>
      <bottom style="hair"/>
      <diagonal/>
    </border>
    <border>
      <left style="hair"/>
      <right/>
      <top/>
      <bottom/>
      <diagonal/>
    </border>
    <border>
      <left/>
      <right style="hair"/>
      <top/>
      <bottom style="hair"/>
      <diagonal/>
    </border>
    <border>
      <left/>
      <right style="hair"/>
      <top style="hair"/>
      <bottom style="hair"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/>
      <bottom style="thin"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/>
      <top style="thin"/>
      <bottom style="thin"/>
      <diagonal/>
    </border>
    <border>
      <left/>
      <right style="thin">
        <color theme="0"/>
      </right>
      <top/>
      <bottom style="thin"/>
      <diagonal/>
    </border>
    <border>
      <left style="thin">
        <color theme="0"/>
      </left>
      <right style="thin">
        <color theme="0"/>
      </right>
      <top style="thin"/>
      <bottom/>
      <diagonal/>
    </border>
    <border>
      <left style="thin">
        <color theme="0"/>
      </left>
      <right/>
      <top style="thin"/>
      <bottom/>
      <diagonal/>
    </border>
    <border>
      <left style="thin">
        <color theme="0"/>
      </left>
      <right style="thin"/>
      <top style="thin"/>
      <bottom/>
      <diagonal/>
    </border>
    <border>
      <left style="thin"/>
      <right/>
      <top style="thin"/>
      <bottom style="thin">
        <color rgb="FF8DB4E2"/>
      </bottom>
      <diagonal/>
    </border>
    <border>
      <left/>
      <right/>
      <top style="thin"/>
      <bottom style="thin">
        <color rgb="FF8DB4E2"/>
      </bottom>
      <diagonal/>
    </border>
    <border>
      <left style="thin">
        <color rgb="FF8DB4E2"/>
      </left>
      <right/>
      <top style="thin"/>
      <bottom style="thin">
        <color rgb="FF8DB4E2"/>
      </bottom>
      <diagonal/>
    </border>
    <border>
      <left style="thin">
        <color rgb="FF8DB4E2"/>
      </left>
      <right style="thin">
        <color rgb="FF8DB4E2"/>
      </right>
      <top style="thin"/>
      <bottom style="thin">
        <color rgb="FF8DB4E2"/>
      </bottom>
      <diagonal/>
    </border>
    <border>
      <left style="thin">
        <color rgb="FF8DB4E2"/>
      </left>
      <right style="thin"/>
      <top style="thin"/>
      <bottom style="thin">
        <color rgb="FF8DB4E2"/>
      </bottom>
      <diagonal/>
    </border>
    <border>
      <left style="thin"/>
      <right/>
      <top style="thin">
        <color rgb="FF8DB4E2"/>
      </top>
      <bottom style="thin">
        <color rgb="FF8DB4E2"/>
      </bottom>
      <diagonal/>
    </border>
    <border>
      <left/>
      <right/>
      <top style="thin">
        <color rgb="FF8DB4E2"/>
      </top>
      <bottom style="thin">
        <color rgb="FF8DB4E2"/>
      </bottom>
      <diagonal/>
    </border>
    <border>
      <left style="thin">
        <color rgb="FF8DB4E2"/>
      </left>
      <right/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/>
      <top style="thin">
        <color rgb="FF8DB4E2"/>
      </top>
      <bottom style="thin">
        <color rgb="FF8DB4E2"/>
      </bottom>
      <diagonal/>
    </border>
    <border>
      <left style="thin"/>
      <right/>
      <top style="thin">
        <color rgb="FF8DB4E2"/>
      </top>
      <bottom style="thin"/>
      <diagonal/>
    </border>
    <border>
      <left/>
      <right/>
      <top style="thin">
        <color rgb="FF8DB4E2"/>
      </top>
      <bottom style="thin"/>
      <diagonal/>
    </border>
    <border>
      <left style="thin">
        <color rgb="FF8DB4E2"/>
      </left>
      <right/>
      <top style="thin">
        <color rgb="FF8DB4E2"/>
      </top>
      <bottom style="thin"/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/>
      <diagonal/>
    </border>
    <border>
      <left style="thin">
        <color rgb="FF8DB4E2"/>
      </left>
      <right style="thin"/>
      <top style="thin">
        <color rgb="FF8DB4E2"/>
      </top>
      <bottom style="thin"/>
      <diagonal/>
    </border>
    <border>
      <left style="medium"/>
      <right/>
      <top style="medium"/>
      <bottom style="medium"/>
      <diagonal/>
    </border>
    <border>
      <left style="thin">
        <color rgb="FFB2B2B2"/>
      </left>
      <right style="medium"/>
      <top style="medium"/>
      <bottom style="medium"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0"/>
      </right>
      <top style="thin"/>
      <bottom/>
      <diagonal/>
    </border>
    <border>
      <left/>
      <right style="thin">
        <color theme="0"/>
      </right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right" vertical="center"/>
    </xf>
    <xf numFmtId="0" fontId="4" fillId="0" borderId="4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8" fillId="2" borderId="5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/>
    </xf>
    <xf numFmtId="0" fontId="9" fillId="2" borderId="5" applyAlignment="1" pivotButton="0" quotePrefix="0" xfId="0">
      <alignment horizontal="right" vertical="center"/>
    </xf>
    <xf numFmtId="164" fontId="5" fillId="0" borderId="5" applyAlignment="1" pivotButton="0" quotePrefix="0" xfId="0">
      <alignment horizontal="right" vertical="center"/>
    </xf>
    <xf numFmtId="166" fontId="8" fillId="0" borderId="5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right" vertical="bottom"/>
    </xf>
    <xf numFmtId="0" fontId="4" fillId="0" borderId="4" applyAlignment="1" pivotButton="0" quotePrefix="0" xfId="0">
      <alignment horizontal="general" vertical="bottom"/>
    </xf>
    <xf numFmtId="167" fontId="5" fillId="0" borderId="5" applyAlignment="1" pivotButton="0" quotePrefix="0" xfId="0">
      <alignment horizontal="right" vertical="bottom"/>
    </xf>
    <xf numFmtId="0" fontId="11" fillId="0" borderId="6" applyAlignment="1" pivotButton="0" quotePrefix="0" xfId="0">
      <alignment horizontal="general" vertical="bottom"/>
    </xf>
    <xf numFmtId="0" fontId="4" fillId="0" borderId="7" applyAlignment="1" pivotButton="0" quotePrefix="0" xfId="0">
      <alignment horizontal="general" vertical="bottom"/>
    </xf>
    <xf numFmtId="0" fontId="4" fillId="0" borderId="4" applyAlignment="1" pivotButton="0" quotePrefix="0" xfId="0">
      <alignment horizontal="left" vertical="center"/>
    </xf>
    <xf numFmtId="164" fontId="5" fillId="3" borderId="8" applyAlignment="1" pivotButton="0" quotePrefix="0" xfId="0">
      <alignment horizontal="center" vertical="center"/>
    </xf>
    <xf numFmtId="164" fontId="4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general" vertical="bottom"/>
    </xf>
    <xf numFmtId="0" fontId="4" fillId="3" borderId="11" applyAlignment="1" pivotButton="0" quotePrefix="0" xfId="0">
      <alignment horizontal="center" vertical="center"/>
    </xf>
    <xf numFmtId="167" fontId="5" fillId="0" borderId="0" applyAlignment="1" pivotButton="0" quotePrefix="0" xfId="0">
      <alignment horizontal="right" vertical="bottom"/>
    </xf>
    <xf numFmtId="0" fontId="12" fillId="4" borderId="1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right" vertical="center" indent="1"/>
    </xf>
    <xf numFmtId="168" fontId="8" fillId="0" borderId="0" applyAlignment="1" pivotButton="0" quotePrefix="0" xfId="0">
      <alignment horizontal="right" vertical="center" indent="1"/>
    </xf>
    <xf numFmtId="0" fontId="4" fillId="0" borderId="0" applyAlignment="1" pivotButton="0" quotePrefix="0" xfId="0">
      <alignment horizontal="left" vertical="center" indent="2"/>
    </xf>
    <xf numFmtId="169" fontId="5" fillId="0" borderId="0" applyAlignment="1" pivotButton="0" quotePrefix="0" xfId="0">
      <alignment horizontal="right" vertical="center" indent="1"/>
    </xf>
    <xf numFmtId="0" fontId="4" fillId="0" borderId="12" applyAlignment="1" pivotButton="0" quotePrefix="0" xfId="0">
      <alignment horizontal="left" vertical="center" indent="1"/>
    </xf>
    <xf numFmtId="0" fontId="4" fillId="0" borderId="12" applyAlignment="1" pivotButton="0" quotePrefix="0" xfId="0">
      <alignment horizontal="general" vertical="bottom"/>
    </xf>
    <xf numFmtId="170" fontId="5" fillId="0" borderId="12" applyAlignment="1" pivotButton="0" quotePrefix="0" xfId="0">
      <alignment horizontal="right" vertical="center" inden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169" fontId="5" fillId="0" borderId="12" applyAlignment="1" pivotButton="0" quotePrefix="0" xfId="0">
      <alignment horizontal="right" vertical="center" indent="1"/>
    </xf>
    <xf numFmtId="0" fontId="11" fillId="0" borderId="13" applyAlignment="1" pivotButton="0" quotePrefix="0" xfId="0">
      <alignment horizontal="left" vertical="center" indent="1"/>
    </xf>
    <xf numFmtId="0" fontId="11" fillId="0" borderId="13" applyAlignment="1" pivotButton="0" quotePrefix="0" xfId="0">
      <alignment horizontal="general" vertical="bottom"/>
    </xf>
    <xf numFmtId="170" fontId="15" fillId="0" borderId="13" applyAlignment="1" pivotButton="0" quotePrefix="0" xfId="0">
      <alignment horizontal="right" vertical="center" indent="1"/>
    </xf>
    <xf numFmtId="171" fontId="7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right" vertical="center" indent="1"/>
    </xf>
    <xf numFmtId="0" fontId="4" fillId="0" borderId="14" applyAlignment="1" pivotButton="0" quotePrefix="0" xfId="0">
      <alignment horizontal="left" vertical="center" indent="1"/>
    </xf>
    <xf numFmtId="0" fontId="4" fillId="0" borderId="14" applyAlignment="1" pivotButton="0" quotePrefix="0" xfId="0">
      <alignment horizontal="general" vertical="bottom"/>
    </xf>
    <xf numFmtId="170" fontId="5" fillId="0" borderId="14" applyAlignment="1" pivotButton="0" quotePrefix="0" xfId="0">
      <alignment horizontal="right" vertical="center" indent="1"/>
    </xf>
    <xf numFmtId="0" fontId="16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right" vertical="bottom"/>
    </xf>
    <xf numFmtId="172" fontId="5" fillId="0" borderId="0" applyAlignment="1" pivotButton="0" quotePrefix="0" xfId="0">
      <alignment horizontal="right" vertical="center" indent="1"/>
    </xf>
    <xf numFmtId="0" fontId="16" fillId="0" borderId="15" applyAlignment="1" pivotButton="0" quotePrefix="0" xfId="0">
      <alignment horizontal="left" vertical="center" indent="1"/>
    </xf>
    <xf numFmtId="0" fontId="16" fillId="0" borderId="15" applyAlignment="1" pivotButton="0" quotePrefix="0" xfId="0">
      <alignment horizontal="general" vertical="bottom"/>
    </xf>
    <xf numFmtId="169" fontId="5" fillId="0" borderId="15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center"/>
    </xf>
    <xf numFmtId="170" fontId="17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73" fontId="19" fillId="0" borderId="0" applyAlignment="1" pivotButton="0" quotePrefix="0" xfId="0">
      <alignment horizontal="center" vertical="center"/>
    </xf>
    <xf numFmtId="174" fontId="19" fillId="0" borderId="0" applyAlignment="1" pivotButton="0" quotePrefix="0" xfId="0">
      <alignment horizontal="center" vertical="center"/>
    </xf>
    <xf numFmtId="175" fontId="5" fillId="0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center"/>
    </xf>
    <xf numFmtId="176" fontId="5" fillId="0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177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bottom"/>
    </xf>
    <xf numFmtId="177" fontId="4" fillId="0" borderId="0" applyAlignment="1" pivotButton="0" quotePrefix="0" xfId="0">
      <alignment horizontal="right" vertical="bottom" indent="1"/>
    </xf>
    <xf numFmtId="178" fontId="5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bottom"/>
    </xf>
    <xf numFmtId="3" fontId="4" fillId="0" borderId="0" applyAlignment="1" pivotButton="0" quotePrefix="0" xfId="0">
      <alignment horizontal="right" vertical="bottom"/>
    </xf>
    <xf numFmtId="179" fontId="5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2"/>
    </xf>
    <xf numFmtId="180" fontId="5" fillId="0" borderId="0" applyAlignment="1" pivotButton="0" quotePrefix="0" xfId="0">
      <alignment horizontal="right" vertical="center"/>
    </xf>
    <xf numFmtId="170" fontId="17" fillId="0" borderId="0" applyAlignment="1" pivotButton="0" quotePrefix="0" xfId="0">
      <alignment horizontal="right" vertical="bottom" indent="1"/>
    </xf>
    <xf numFmtId="170" fontId="8" fillId="2" borderId="0" applyAlignment="1" pivotButton="0" quotePrefix="0" xfId="0">
      <alignment horizontal="right" vertical="bottom"/>
    </xf>
    <xf numFmtId="170" fontId="2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bottom" indent="1"/>
    </xf>
    <xf numFmtId="170" fontId="21" fillId="0" borderId="0" applyAlignment="1" pivotButton="0" quotePrefix="0" xfId="0">
      <alignment horizontal="right" vertical="bottom" indent="1"/>
    </xf>
    <xf numFmtId="0" fontId="12" fillId="5" borderId="0" applyAlignment="1" pivotButton="0" quotePrefix="0" xfId="0">
      <alignment horizontal="center" vertical="center"/>
    </xf>
    <xf numFmtId="0" fontId="22" fillId="5" borderId="15" applyAlignment="1" pivotButton="0" quotePrefix="0" xfId="0">
      <alignment horizontal="general" vertical="center"/>
    </xf>
    <xf numFmtId="0" fontId="22" fillId="5" borderId="15" applyAlignment="1" pivotButton="0" quotePrefix="0" xfId="0">
      <alignment horizontal="center" vertical="center"/>
    </xf>
    <xf numFmtId="0" fontId="23" fillId="5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 indent="1"/>
    </xf>
    <xf numFmtId="181" fontId="9" fillId="2" borderId="0" applyAlignment="1" pivotButton="0" quotePrefix="0" xfId="0">
      <alignment horizontal="right" vertical="bottom"/>
    </xf>
    <xf numFmtId="0" fontId="8" fillId="2" borderId="0" applyAlignment="1" pivotButton="0" quotePrefix="0" xfId="0">
      <alignment horizontal="general" vertical="bottom"/>
    </xf>
    <xf numFmtId="182" fontId="8" fillId="2" borderId="0" applyAlignment="1" pivotButton="0" quotePrefix="0" xfId="0">
      <alignment horizontal="general" vertical="bottom"/>
    </xf>
    <xf numFmtId="171" fontId="8" fillId="2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right" vertical="bottom"/>
    </xf>
    <xf numFmtId="170" fontId="4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 indent="1"/>
    </xf>
    <xf numFmtId="0" fontId="9" fillId="2" borderId="0" applyAlignment="1" pivotButton="0" quotePrefix="0" xfId="0">
      <alignment horizontal="general" vertical="bottom"/>
    </xf>
    <xf numFmtId="182" fontId="9" fillId="2" borderId="0" applyAlignment="1" pivotButton="0" quotePrefix="0" xfId="0">
      <alignment horizontal="general" vertical="bottom"/>
    </xf>
    <xf numFmtId="171" fontId="9" fillId="2" borderId="0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169" fontId="11" fillId="0" borderId="14" applyAlignment="1" pivotButton="0" quotePrefix="0" xfId="0">
      <alignment horizontal="right" vertical="bottom"/>
    </xf>
    <xf numFmtId="170" fontId="11" fillId="0" borderId="14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0" fontId="4" fillId="0" borderId="15" applyAlignment="1" pivotButton="0" quotePrefix="0" xfId="0">
      <alignment horizontal="general" vertical="bottom"/>
    </xf>
    <xf numFmtId="169" fontId="4" fillId="0" borderId="15" applyAlignment="1" pivotButton="0" quotePrefix="0" xfId="0">
      <alignment horizontal="right" vertical="bottom"/>
    </xf>
    <xf numFmtId="170" fontId="9" fillId="2" borderId="0" applyAlignment="1" pivotButton="0" quotePrefix="0" xfId="0">
      <alignment horizontal="right" vertical="bottom"/>
    </xf>
    <xf numFmtId="169" fontId="5" fillId="2" borderId="0" applyAlignment="1" pivotButton="0" quotePrefix="0" xfId="0">
      <alignment horizontal="right" vertical="bottom"/>
    </xf>
    <xf numFmtId="179" fontId="9" fillId="2" borderId="0" applyAlignment="1" pivotButton="0" quotePrefix="0" xfId="0">
      <alignment horizontal="right" vertical="bottom"/>
    </xf>
    <xf numFmtId="169" fontId="9" fillId="2" borderId="0" applyAlignment="1" pivotButton="0" quotePrefix="0" xfId="0">
      <alignment horizontal="right" vertical="bottom"/>
    </xf>
    <xf numFmtId="183" fontId="9" fillId="2" borderId="0" applyAlignment="1" pivotButton="0" quotePrefix="0" xfId="0">
      <alignment horizontal="right" vertical="bottom"/>
    </xf>
    <xf numFmtId="184" fontId="9" fillId="2" borderId="0" applyAlignment="1" pivotButton="0" quotePrefix="0" xfId="0">
      <alignment horizontal="right" vertical="bottom"/>
    </xf>
    <xf numFmtId="181" fontId="8" fillId="2" borderId="0" applyAlignment="1" pivotButton="0" quotePrefix="0" xfId="0">
      <alignment horizontal="right" vertical="bottom"/>
    </xf>
    <xf numFmtId="171" fontId="9" fillId="2" borderId="0" applyAlignment="1" pivotButton="0" quotePrefix="0" xfId="0">
      <alignment horizontal="right" vertical="bottom"/>
    </xf>
    <xf numFmtId="0" fontId="15" fillId="0" borderId="14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right" vertical="bottom"/>
    </xf>
    <xf numFmtId="164" fontId="8" fillId="2" borderId="0" applyAlignment="1" pivotButton="0" quotePrefix="0" xfId="0">
      <alignment horizontal="right" vertical="bottom"/>
    </xf>
    <xf numFmtId="164" fontId="9" fillId="2" borderId="0" applyAlignment="1" pivotButton="0" quotePrefix="0" xfId="0">
      <alignment horizontal="right" vertical="bottom"/>
    </xf>
    <xf numFmtId="170" fontId="16" fillId="2" borderId="0" applyAlignment="1" pivotButton="0" quotePrefix="0" xfId="0">
      <alignment horizontal="right" vertical="bottom"/>
    </xf>
    <xf numFmtId="169" fontId="8" fillId="2" borderId="14" applyAlignment="1" pivotButton="0" quotePrefix="0" xfId="0">
      <alignment horizontal="right" vertical="bottom"/>
    </xf>
    <xf numFmtId="169" fontId="15" fillId="0" borderId="14" applyAlignment="1" pivotButton="0" quotePrefix="0" xfId="0">
      <alignment horizontal="right" vertical="bottom"/>
    </xf>
    <xf numFmtId="169" fontId="11" fillId="0" borderId="0" applyAlignment="1" pivotButton="0" quotePrefix="0" xfId="0">
      <alignment horizontal="right" vertical="bottom"/>
    </xf>
    <xf numFmtId="184" fontId="9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general" vertical="bottom"/>
    </xf>
    <xf numFmtId="184" fontId="20" fillId="0" borderId="0" applyAlignment="1" pivotButton="0" quotePrefix="0" xfId="0">
      <alignment horizontal="right" vertical="bottom"/>
    </xf>
    <xf numFmtId="180" fontId="4" fillId="0" borderId="0" applyAlignment="1" pivotButton="0" quotePrefix="0" xfId="0">
      <alignment horizontal="right" vertical="bottom"/>
    </xf>
    <xf numFmtId="185" fontId="5" fillId="2" borderId="1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177" fontId="9" fillId="2" borderId="16" applyAlignment="1" pivotButton="0" quotePrefix="0" xfId="0">
      <alignment horizontal="right" vertical="center"/>
    </xf>
    <xf numFmtId="4" fontId="26" fillId="0" borderId="0" applyAlignment="1" pivotButton="0" quotePrefix="0" xfId="0">
      <alignment horizontal="right" vertical="bottom"/>
    </xf>
    <xf numFmtId="0" fontId="9" fillId="2" borderId="17" applyAlignment="1" pivotButton="0" quotePrefix="0" xfId="0">
      <alignment horizontal="center" vertical="center"/>
    </xf>
    <xf numFmtId="177" fontId="9" fillId="2" borderId="17" applyAlignment="1" pivotButton="0" quotePrefix="0" xfId="0">
      <alignment horizontal="right" vertical="center"/>
    </xf>
    <xf numFmtId="0" fontId="27" fillId="6" borderId="0" applyAlignment="1" pivotButton="0" quotePrefix="0" xfId="0">
      <alignment horizontal="general" vertical="bottom"/>
    </xf>
    <xf numFmtId="0" fontId="28" fillId="6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11" fontId="22" fillId="6" borderId="0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top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center" vertical="bottom"/>
    </xf>
    <xf numFmtId="11" fontId="22" fillId="6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general" vertical="center"/>
    </xf>
    <xf numFmtId="179" fontId="5" fillId="0" borderId="0" applyAlignment="1" pivotButton="0" quotePrefix="0" xfId="0">
      <alignment horizontal="right" vertical="center"/>
    </xf>
    <xf numFmtId="179" fontId="21" fillId="0" borderId="0" applyAlignment="1" pivotButton="0" quotePrefix="0" xfId="0">
      <alignment horizontal="right" vertical="center"/>
    </xf>
    <xf numFmtId="179" fontId="21" fillId="0" borderId="0" applyAlignment="1" pivotButton="0" quotePrefix="0" xfId="0">
      <alignment horizontal="center" vertical="center"/>
    </xf>
    <xf numFmtId="186" fontId="16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right" vertical="center" indent="1"/>
    </xf>
    <xf numFmtId="180" fontId="5" fillId="0" borderId="0" applyAlignment="1" pivotButton="0" quotePrefix="0" xfId="0">
      <alignment horizontal="right" vertical="center" indent="1"/>
    </xf>
    <xf numFmtId="176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left" vertical="center"/>
    </xf>
    <xf numFmtId="186" fontId="5" fillId="0" borderId="0" applyAlignment="1" pivotButton="0" quotePrefix="0" xfId="0">
      <alignment horizontal="center" vertical="center"/>
    </xf>
    <xf numFmtId="18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79" fontId="5" fillId="0" borderId="0" applyAlignment="1" pivotButton="0" quotePrefix="0" xfId="0">
      <alignment horizontal="center" vertical="center"/>
    </xf>
    <xf numFmtId="187" fontId="5" fillId="0" borderId="0" applyAlignment="1" pivotButton="0" quotePrefix="0" xfId="0">
      <alignment horizontal="center" vertical="center"/>
    </xf>
    <xf numFmtId="176" fontId="21" fillId="0" borderId="0" applyAlignment="1" pivotButton="0" quotePrefix="0" xfId="0">
      <alignment horizontal="center" vertical="center"/>
    </xf>
    <xf numFmtId="179" fontId="1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79" fontId="21" fillId="0" borderId="0" applyAlignment="1" pivotButton="0" quotePrefix="0" xfId="0">
      <alignment horizontal="right" vertical="center" indent="2"/>
    </xf>
    <xf numFmtId="186" fontId="21" fillId="0" borderId="0" applyAlignment="1" pivotButton="0" quotePrefix="0" xfId="0">
      <alignment horizontal="right" vertical="center" indent="1"/>
    </xf>
    <xf numFmtId="180" fontId="4" fillId="0" borderId="0" applyAlignment="1" pivotButton="0" quotePrefix="0" xfId="0">
      <alignment horizontal="right" vertical="center" indent="1"/>
    </xf>
    <xf numFmtId="186" fontId="21" fillId="0" borderId="0" applyAlignment="1" pivotButton="0" quotePrefix="0" xfId="0">
      <alignment horizontal="center" vertical="center"/>
    </xf>
    <xf numFmtId="187" fontId="21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0" fontId="11" fillId="3" borderId="12" applyAlignment="1" pivotButton="0" quotePrefix="0" xfId="0">
      <alignment horizontal="general" vertical="center"/>
    </xf>
    <xf numFmtId="0" fontId="11" fillId="3" borderId="12" applyAlignment="1" pivotButton="0" quotePrefix="0" xfId="0">
      <alignment horizontal="center" vertical="center"/>
    </xf>
    <xf numFmtId="0" fontId="11" fillId="3" borderId="12" applyAlignment="1" pivotButton="0" quotePrefix="0" xfId="0">
      <alignment horizontal="right" vertical="center"/>
    </xf>
    <xf numFmtId="177" fontId="15" fillId="3" borderId="12" applyAlignment="1" pivotButton="0" quotePrefix="0" xfId="0">
      <alignment horizontal="right" vertical="center" indent="1"/>
    </xf>
    <xf numFmtId="177" fontId="11" fillId="3" borderId="12" applyAlignment="1" pivotButton="0" quotePrefix="0" xfId="0">
      <alignment horizontal="right" vertical="center" indent="1"/>
    </xf>
    <xf numFmtId="180" fontId="11" fillId="3" borderId="12" applyAlignment="1" pivotButton="0" quotePrefix="0" xfId="0">
      <alignment horizontal="right" vertical="center" indent="1"/>
    </xf>
    <xf numFmtId="176" fontId="15" fillId="3" borderId="12" applyAlignment="1" pivotButton="0" quotePrefix="0" xfId="0">
      <alignment horizontal="right" vertical="center" indent="1"/>
    </xf>
    <xf numFmtId="187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7" fontId="4" fillId="0" borderId="0" applyAlignment="1" pivotButton="0" quotePrefix="0" xfId="0">
      <alignment horizontal="right" vertical="center" indent="1"/>
    </xf>
    <xf numFmtId="0" fontId="9" fillId="0" borderId="0" applyAlignment="1" pivotButton="0" quotePrefix="0" xfId="0">
      <alignment horizontal="center" vertical="center"/>
    </xf>
    <xf numFmtId="186" fontId="21" fillId="0" borderId="0" applyAlignment="1" pivotButton="0" quotePrefix="0" xfId="0">
      <alignment horizontal="right" vertical="center"/>
    </xf>
    <xf numFmtId="170" fontId="21" fillId="0" borderId="0" applyAlignment="1" pivotButton="0" quotePrefix="0" xfId="0">
      <alignment horizontal="right" vertical="center"/>
    </xf>
    <xf numFmtId="176" fontId="4" fillId="0" borderId="0" applyAlignment="1" pivotButton="0" quotePrefix="0" xfId="0">
      <alignment horizontal="general" vertical="center"/>
    </xf>
    <xf numFmtId="0" fontId="4" fillId="0" borderId="14" applyAlignment="1" pivotButton="0" quotePrefix="0" xfId="0">
      <alignment horizontal="general" vertical="center"/>
    </xf>
    <xf numFmtId="0" fontId="4" fillId="0" borderId="14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/>
    </xf>
    <xf numFmtId="0" fontId="22" fillId="7" borderId="14" applyAlignment="1" pivotButton="0" quotePrefix="0" xfId="0">
      <alignment horizontal="general" vertical="center"/>
    </xf>
    <xf numFmtId="177" fontId="22" fillId="7" borderId="14" applyAlignment="1" pivotButton="0" quotePrefix="0" xfId="0">
      <alignment horizontal="right" vertical="center" indent="1"/>
    </xf>
    <xf numFmtId="176" fontId="22" fillId="7" borderId="14" applyAlignment="1" pivotButton="0" quotePrefix="0" xfId="0">
      <alignment horizontal="right" vertical="center" indent="1"/>
    </xf>
    <xf numFmtId="180" fontId="22" fillId="7" borderId="14" applyAlignment="1" pivotButton="0" quotePrefix="0" xfId="0">
      <alignment horizontal="right" vertical="center" indent="1"/>
    </xf>
    <xf numFmtId="176" fontId="11" fillId="0" borderId="0" applyAlignment="1" pivotButton="0" quotePrefix="0" xfId="0">
      <alignment horizontal="general" vertical="center"/>
    </xf>
    <xf numFmtId="0" fontId="22" fillId="7" borderId="0" applyAlignment="1" pivotButton="0" quotePrefix="0" xfId="0">
      <alignment horizontal="general" vertical="center"/>
    </xf>
    <xf numFmtId="177" fontId="22" fillId="7" borderId="0" applyAlignment="1" pivotButton="0" quotePrefix="0" xfId="0">
      <alignment horizontal="right" vertical="center" indent="1"/>
    </xf>
    <xf numFmtId="176" fontId="22" fillId="7" borderId="0" applyAlignment="1" pivotButton="0" quotePrefix="0" xfId="0">
      <alignment horizontal="right" vertical="center" indent="1"/>
    </xf>
    <xf numFmtId="180" fontId="22" fillId="7" borderId="0" applyAlignment="1" pivotButton="0" quotePrefix="0" xfId="0">
      <alignment horizontal="right" vertical="center" indent="1"/>
    </xf>
    <xf numFmtId="0" fontId="22" fillId="7" borderId="15" applyAlignment="1" pivotButton="0" quotePrefix="0" xfId="0">
      <alignment horizontal="general" vertical="center"/>
    </xf>
    <xf numFmtId="177" fontId="22" fillId="7" borderId="15" applyAlignment="1" pivotButton="0" quotePrefix="0" xfId="0">
      <alignment horizontal="right" vertical="center" indent="1"/>
    </xf>
    <xf numFmtId="176" fontId="22" fillId="7" borderId="15" applyAlignment="1" pivotButton="0" quotePrefix="0" xfId="0">
      <alignment horizontal="right" vertical="center" indent="1"/>
    </xf>
    <xf numFmtId="180" fontId="22" fillId="7" borderId="15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general" vertical="center"/>
    </xf>
    <xf numFmtId="0" fontId="7" fillId="5" borderId="0" applyAlignment="1" pivotButton="0" quotePrefix="0" xfId="0">
      <alignment horizontal="general" vertical="bottom"/>
    </xf>
    <xf numFmtId="188" fontId="24" fillId="5" borderId="0" applyAlignment="1" pivotButton="0" quotePrefix="0" xfId="0">
      <alignment horizontal="center" vertical="center"/>
    </xf>
    <xf numFmtId="176" fontId="24" fillId="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8" borderId="18" applyAlignment="1" pivotButton="0" quotePrefix="0" xfId="0">
      <alignment horizontal="left" vertical="bottom"/>
    </xf>
    <xf numFmtId="0" fontId="33" fillId="8" borderId="18" applyAlignment="1" pivotButton="0" quotePrefix="0" xfId="0">
      <alignment horizontal="center" vertical="bottom"/>
    </xf>
    <xf numFmtId="0" fontId="34" fillId="0" borderId="18" applyAlignment="1" pivotButton="0" quotePrefix="0" xfId="0">
      <alignment horizontal="general" vertical="bottom"/>
    </xf>
    <xf numFmtId="175" fontId="35" fillId="0" borderId="18" applyAlignment="1" pivotButton="0" quotePrefix="0" xfId="0">
      <alignment horizontal="center" vertical="bottom"/>
    </xf>
    <xf numFmtId="175" fontId="34" fillId="0" borderId="18" applyAlignment="1" pivotButton="0" quotePrefix="0" xfId="0">
      <alignment horizontal="center" vertical="bottom"/>
    </xf>
    <xf numFmtId="0" fontId="32" fillId="0" borderId="18" applyAlignment="1" pivotButton="0" quotePrefix="0" xfId="0">
      <alignment horizontal="center" vertical="bottom"/>
    </xf>
    <xf numFmtId="0" fontId="36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35" fillId="0" borderId="18" applyAlignment="1" pivotButton="0" quotePrefix="0" xfId="0">
      <alignment horizontal="general" vertical="bottom"/>
    </xf>
    <xf numFmtId="184" fontId="35" fillId="0" borderId="18" applyAlignment="1" pivotButton="0" quotePrefix="0" xfId="0">
      <alignment horizontal="general" vertical="bottom"/>
    </xf>
    <xf numFmtId="189" fontId="35" fillId="0" borderId="18" applyAlignment="1" pivotButton="0" quotePrefix="0" xfId="0">
      <alignment horizontal="center" vertical="bottom"/>
    </xf>
    <xf numFmtId="184" fontId="34" fillId="0" borderId="18" applyAlignment="1" pivotButton="0" quotePrefix="0" xfId="0">
      <alignment horizontal="general" vertical="bottom"/>
    </xf>
    <xf numFmtId="189" fontId="34" fillId="0" borderId="18" applyAlignment="1" pivotButton="0" quotePrefix="0" xfId="0">
      <alignment horizontal="center" vertical="bottom"/>
    </xf>
    <xf numFmtId="0" fontId="37" fillId="6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right" vertical="center"/>
    </xf>
    <xf numFmtId="189" fontId="41" fillId="0" borderId="0" applyAlignment="1" pivotButton="0" quotePrefix="0" xfId="0">
      <alignment horizontal="right" vertical="center"/>
    </xf>
    <xf numFmtId="0" fontId="38" fillId="5" borderId="0" applyAlignment="1" pivotButton="0" quotePrefix="0" xfId="0">
      <alignment horizontal="general" vertical="center"/>
    </xf>
    <xf numFmtId="0" fontId="38" fillId="5" borderId="0" applyAlignment="1" pivotButton="0" quotePrefix="0" xfId="0">
      <alignment horizontal="right" vertical="center"/>
    </xf>
    <xf numFmtId="189" fontId="38" fillId="5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right" vertical="center"/>
    </xf>
    <xf numFmtId="189" fontId="38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general" vertical="center"/>
    </xf>
    <xf numFmtId="0" fontId="38" fillId="0" borderId="0" applyAlignment="1" pivotButton="0" quotePrefix="0" xfId="0">
      <alignment horizontal="general" vertical="center"/>
    </xf>
    <xf numFmtId="0" fontId="43" fillId="0" borderId="0" applyAlignment="1" pivotButton="0" quotePrefix="0" xfId="0">
      <alignment horizontal="right" vertical="center"/>
    </xf>
    <xf numFmtId="0" fontId="43" fillId="0" borderId="0" applyAlignment="1" pivotButton="0" quotePrefix="0" xfId="0">
      <alignment horizontal="general" vertical="center"/>
    </xf>
    <xf numFmtId="190" fontId="44" fillId="0" borderId="0" applyAlignment="1" pivotButton="0" quotePrefix="0" xfId="0">
      <alignment horizontal="right" vertical="center"/>
    </xf>
    <xf numFmtId="189" fontId="45" fillId="0" borderId="0" applyAlignment="1" pivotButton="0" quotePrefix="0" xfId="0">
      <alignment horizontal="right" vertical="center"/>
    </xf>
    <xf numFmtId="191" fontId="44" fillId="0" borderId="0" applyAlignment="1" pivotButton="0" quotePrefix="0" xfId="0">
      <alignment horizontal="general" vertical="center"/>
    </xf>
    <xf numFmtId="189" fontId="46" fillId="0" borderId="0" applyAlignment="1" pivotButton="0" quotePrefix="0" xfId="0">
      <alignment horizontal="right" vertical="center"/>
    </xf>
    <xf numFmtId="190" fontId="43" fillId="0" borderId="0" applyAlignment="1" pivotButton="0" quotePrefix="0" xfId="0">
      <alignment horizontal="right" vertical="center"/>
    </xf>
    <xf numFmtId="192" fontId="47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general" vertical="center"/>
    </xf>
    <xf numFmtId="190" fontId="41" fillId="0" borderId="0" applyAlignment="1" pivotButton="0" quotePrefix="0" xfId="0">
      <alignment horizontal="right" vertical="center"/>
    </xf>
    <xf numFmtId="189" fontId="49" fillId="0" borderId="0" applyAlignment="1" pivotButton="0" quotePrefix="0" xfId="0">
      <alignment horizontal="right" vertical="center"/>
    </xf>
    <xf numFmtId="189" fontId="43" fillId="0" borderId="0" applyAlignment="1" pivotButton="0" quotePrefix="0" xfId="0">
      <alignment horizontal="general" vertical="center"/>
    </xf>
    <xf numFmtId="0" fontId="41" fillId="3" borderId="14" applyAlignment="1" pivotButton="0" quotePrefix="0" xfId="0">
      <alignment horizontal="general" vertical="center"/>
    </xf>
    <xf numFmtId="190" fontId="50" fillId="3" borderId="14" applyAlignment="1" pivotButton="0" quotePrefix="0" xfId="0">
      <alignment horizontal="right" vertical="center"/>
    </xf>
    <xf numFmtId="189" fontId="49" fillId="3" borderId="14" applyAlignment="1" pivotButton="0" quotePrefix="0" xfId="0">
      <alignment horizontal="right" vertical="center"/>
    </xf>
    <xf numFmtId="190" fontId="43" fillId="0" borderId="0" applyAlignment="1" pivotButton="0" quotePrefix="0" xfId="0">
      <alignment horizontal="general" vertical="center"/>
    </xf>
    <xf numFmtId="190" fontId="41" fillId="0" borderId="0" applyAlignment="1" pivotButton="0" quotePrefix="0" xfId="0">
      <alignment horizontal="general" vertical="center"/>
    </xf>
    <xf numFmtId="0" fontId="37" fillId="0" borderId="0" applyAlignment="1" pivotButton="0" quotePrefix="0" xfId="0">
      <alignment horizontal="general" vertical="center"/>
    </xf>
    <xf numFmtId="190" fontId="38" fillId="0" borderId="0" applyAlignment="1" pivotButton="0" quotePrefix="0" xfId="0">
      <alignment horizontal="right" vertical="center"/>
    </xf>
    <xf numFmtId="189" fontId="51" fillId="0" borderId="0" applyAlignment="1" pivotButton="0" quotePrefix="0" xfId="0">
      <alignment horizontal="general" vertical="center"/>
    </xf>
    <xf numFmtId="189" fontId="43" fillId="0" borderId="0" applyAlignment="1" pivotButton="0" quotePrefix="0" xfId="0">
      <alignment horizontal="left" vertical="center"/>
    </xf>
    <xf numFmtId="0" fontId="38" fillId="7" borderId="12" applyAlignment="1" pivotButton="0" quotePrefix="0" xfId="0">
      <alignment horizontal="general" vertical="center"/>
    </xf>
    <xf numFmtId="190" fontId="38" fillId="7" borderId="12" applyAlignment="1" pivotButton="0" quotePrefix="0" xfId="0">
      <alignment horizontal="general" vertical="center"/>
    </xf>
    <xf numFmtId="189" fontId="51" fillId="7" borderId="12" applyAlignment="1" pivotButton="0" quotePrefix="0" xfId="0">
      <alignment horizontal="right" vertical="center"/>
    </xf>
    <xf numFmtId="189" fontId="46" fillId="0" borderId="0" applyAlignment="1" pivotButton="0" quotePrefix="0" xfId="0">
      <alignment horizontal="general" vertical="center"/>
    </xf>
    <xf numFmtId="3" fontId="43" fillId="0" borderId="0" applyAlignment="1" pivotButton="0" quotePrefix="0" xfId="0">
      <alignment horizontal="general" vertical="center"/>
    </xf>
    <xf numFmtId="0" fontId="46" fillId="0" borderId="0" applyAlignment="1" pivotButton="0" quotePrefix="0" xfId="0">
      <alignment horizontal="general" vertical="center"/>
    </xf>
    <xf numFmtId="9" fontId="46" fillId="0" borderId="0" applyAlignment="1" pivotButton="0" quotePrefix="0" xfId="0">
      <alignment horizontal="general" vertical="center"/>
    </xf>
    <xf numFmtId="0" fontId="38" fillId="6" borderId="0" applyAlignment="1" pivotButton="0" quotePrefix="0" xfId="0">
      <alignment horizontal="general" vertical="center"/>
    </xf>
    <xf numFmtId="189" fontId="38" fillId="6" borderId="0" applyAlignment="1" pivotButton="0" quotePrefix="0" xfId="0">
      <alignment horizontal="general" vertical="center"/>
    </xf>
    <xf numFmtId="190" fontId="47" fillId="0" borderId="0" applyAlignment="1" pivotButton="0" quotePrefix="0" xfId="0">
      <alignment horizontal="right" vertical="center"/>
    </xf>
    <xf numFmtId="0" fontId="52" fillId="0" borderId="0" applyAlignment="1" pivotButton="0" quotePrefix="0" xfId="0">
      <alignment horizontal="general" vertical="bottom"/>
    </xf>
    <xf numFmtId="192" fontId="53" fillId="0" borderId="0" applyAlignment="1" pivotButton="0" quotePrefix="0" xfId="0">
      <alignment horizontal="right" vertical="center"/>
    </xf>
    <xf numFmtId="193" fontId="53" fillId="0" borderId="0" applyAlignment="1" pivotButton="0" quotePrefix="0" xfId="0">
      <alignment horizontal="right" vertical="center"/>
    </xf>
    <xf numFmtId="192" fontId="44" fillId="2" borderId="17" applyAlignment="1" pivotButton="0" quotePrefix="0" xfId="0">
      <alignment horizontal="right" vertical="center"/>
    </xf>
    <xf numFmtId="3" fontId="44" fillId="0" borderId="0" applyAlignment="1" pivotButton="0" quotePrefix="0" xfId="0">
      <alignment horizontal="general" vertical="center"/>
    </xf>
    <xf numFmtId="164" fontId="47" fillId="0" borderId="0" applyAlignment="1" pivotButton="0" quotePrefix="0" xfId="0">
      <alignment horizontal="right" vertical="center"/>
    </xf>
    <xf numFmtId="192" fontId="47" fillId="2" borderId="17" applyAlignment="1" pivotButton="0" quotePrefix="0" xfId="0">
      <alignment horizontal="right" vertical="center"/>
    </xf>
    <xf numFmtId="0" fontId="54" fillId="6" borderId="0" applyAlignment="1" pivotButton="0" quotePrefix="0" xfId="0">
      <alignment horizontal="general" vertical="center"/>
    </xf>
    <xf numFmtId="189" fontId="54" fillId="6" borderId="0" applyAlignment="1" pivotButton="0" quotePrefix="0" xfId="0">
      <alignment horizontal="general" vertical="center"/>
    </xf>
    <xf numFmtId="0" fontId="55" fillId="6" borderId="0" applyAlignment="1" pivotButton="0" quotePrefix="0" xfId="0">
      <alignment horizontal="general" vertical="center"/>
    </xf>
    <xf numFmtId="0" fontId="56" fillId="0" borderId="0" applyAlignment="1" pivotButton="0" quotePrefix="0" xfId="0">
      <alignment horizontal="general" vertical="center"/>
    </xf>
    <xf numFmtId="3" fontId="56" fillId="0" borderId="0" applyAlignment="1" pivotButton="0" quotePrefix="0" xfId="0">
      <alignment horizontal="general" vertical="center"/>
    </xf>
    <xf numFmtId="192" fontId="53" fillId="2" borderId="19" applyAlignment="1" pivotButton="0" quotePrefix="0" xfId="0">
      <alignment horizontal="right" vertical="center"/>
    </xf>
    <xf numFmtId="3" fontId="44" fillId="0" borderId="20" applyAlignment="1" pivotButton="0" quotePrefix="0" xfId="0">
      <alignment horizontal="general" vertical="center"/>
    </xf>
    <xf numFmtId="0" fontId="53" fillId="0" borderId="0" applyAlignment="1" pivotButton="0" quotePrefix="0" xfId="0">
      <alignment horizontal="general" vertical="center"/>
    </xf>
    <xf numFmtId="0" fontId="44" fillId="0" borderId="0" applyAlignment="1" pivotButton="0" quotePrefix="0" xfId="0">
      <alignment horizontal="general" vertical="center"/>
    </xf>
    <xf numFmtId="192" fontId="53" fillId="2" borderId="21" applyAlignment="1" pivotButton="0" quotePrefix="0" xfId="0">
      <alignment horizontal="right" vertical="center"/>
    </xf>
    <xf numFmtId="192" fontId="53" fillId="2" borderId="22" applyAlignment="1" pivotButton="0" quotePrefix="0" xfId="0">
      <alignment horizontal="right" vertical="center"/>
    </xf>
    <xf numFmtId="192" fontId="44" fillId="2" borderId="22" applyAlignment="1" pivotButton="0" quotePrefix="0" xfId="0">
      <alignment horizontal="right" vertical="center"/>
    </xf>
    <xf numFmtId="0" fontId="4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7" fillId="0" borderId="23" applyAlignment="1" pivotButton="0" quotePrefix="0" xfId="0">
      <alignment horizontal="general" vertical="bottom"/>
    </xf>
    <xf numFmtId="0" fontId="0" fillId="10" borderId="24" applyAlignment="1" pivotButton="0" quotePrefix="0" xfId="0">
      <alignment horizontal="center" vertical="bottom"/>
    </xf>
    <xf numFmtId="0" fontId="58" fillId="11" borderId="25" applyAlignment="1" pivotButton="0" quotePrefix="0" xfId="0">
      <alignment horizontal="center" vertical="top"/>
    </xf>
    <xf numFmtId="0" fontId="0" fillId="12" borderId="26" applyAlignment="1" pivotButton="0" quotePrefix="0" xfId="0">
      <alignment horizontal="general" vertical="bottom"/>
    </xf>
    <xf numFmtId="0" fontId="58" fillId="11" borderId="27" applyAlignment="1" pivotButton="0" quotePrefix="0" xfId="0">
      <alignment horizontal="center" vertical="top"/>
    </xf>
    <xf numFmtId="0" fontId="59" fillId="0" borderId="0" applyAlignment="1" pivotButton="0" quotePrefix="0" xfId="0">
      <alignment horizontal="right" vertical="bottom" indent="1"/>
    </xf>
    <xf numFmtId="0" fontId="60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top"/>
    </xf>
    <xf numFmtId="0" fontId="0" fillId="12" borderId="28" applyAlignment="1" pivotButton="0" quotePrefix="0" xfId="0">
      <alignment horizontal="general" vertical="bottom"/>
    </xf>
    <xf numFmtId="0" fontId="61" fillId="13" borderId="25" applyAlignment="1" pivotButton="0" quotePrefix="0" xfId="0">
      <alignment horizontal="center" vertical="center"/>
    </xf>
    <xf numFmtId="0" fontId="61" fillId="13" borderId="29" applyAlignment="1" pivotButton="0" quotePrefix="0" xfId="0">
      <alignment horizontal="center" vertical="center"/>
    </xf>
    <xf numFmtId="0" fontId="61" fillId="13" borderId="30" applyAlignment="1" pivotButton="0" quotePrefix="0" xfId="0">
      <alignment horizontal="center" vertical="center"/>
    </xf>
    <xf numFmtId="0" fontId="61" fillId="13" borderId="31" applyAlignment="1" pivotButton="0" quotePrefix="0" xfId="0">
      <alignment horizontal="center" vertical="center"/>
    </xf>
    <xf numFmtId="0" fontId="62" fillId="0" borderId="0" applyAlignment="1" pivotButton="0" quotePrefix="0" xfId="0">
      <alignment horizontal="right" vertical="bottom" indent="1"/>
    </xf>
    <xf numFmtId="0" fontId="59" fillId="0" borderId="32" applyAlignment="1" pivotButton="0" quotePrefix="0" xfId="0">
      <alignment horizontal="general" vertical="bottom"/>
    </xf>
    <xf numFmtId="0" fontId="0" fillId="0" borderId="33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3" fontId="62" fillId="0" borderId="35" applyAlignment="1" pivotButton="0" quotePrefix="0" xfId="0">
      <alignment horizontal="general" vertical="bottom"/>
    </xf>
    <xf numFmtId="194" fontId="62" fillId="0" borderId="35" applyAlignment="1" pivotButton="0" quotePrefix="0" xfId="0">
      <alignment horizontal="general" vertical="bottom"/>
    </xf>
    <xf numFmtId="0" fontId="0" fillId="0" borderId="35" applyAlignment="1" pivotButton="0" quotePrefix="0" xfId="0">
      <alignment horizontal="general" vertical="bottom"/>
    </xf>
    <xf numFmtId="0" fontId="62" fillId="0" borderId="35" applyAlignment="1" pivotButton="0" quotePrefix="0" xfId="0">
      <alignment horizontal="general" vertical="bottom"/>
    </xf>
    <xf numFmtId="0" fontId="62" fillId="0" borderId="36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0" fontId="0" fillId="0" borderId="38" applyAlignment="1" pivotButton="0" quotePrefix="0" xfId="0">
      <alignment horizontal="general" vertical="bottom"/>
    </xf>
    <xf numFmtId="0" fontId="0" fillId="0" borderId="39" applyAlignment="1" pivotButton="0" quotePrefix="0" xfId="0">
      <alignment horizontal="general" vertical="bottom"/>
    </xf>
    <xf numFmtId="3" fontId="62" fillId="0" borderId="40" applyAlignment="1" pivotButton="0" quotePrefix="0" xfId="0">
      <alignment horizontal="general" vertical="bottom"/>
    </xf>
    <xf numFmtId="194" fontId="62" fillId="0" borderId="40" applyAlignment="1" pivotButton="0" quotePrefix="0" xfId="0">
      <alignment horizontal="general" vertical="bottom"/>
    </xf>
    <xf numFmtId="0" fontId="0" fillId="0" borderId="40" applyAlignment="1" pivotButton="0" quotePrefix="0" xfId="0">
      <alignment horizontal="general" vertical="bottom"/>
    </xf>
    <xf numFmtId="0" fontId="62" fillId="0" borderId="40" applyAlignment="1" pivotButton="0" quotePrefix="0" xfId="0">
      <alignment horizontal="general" vertical="bottom"/>
    </xf>
    <xf numFmtId="0" fontId="62" fillId="0" borderId="41" applyAlignment="1" pivotButton="0" quotePrefix="0" xfId="0">
      <alignment horizontal="general" vertical="bottom"/>
    </xf>
    <xf numFmtId="0" fontId="0" fillId="0" borderId="42" applyAlignment="1" pivotButton="0" quotePrefix="0" xfId="0">
      <alignment horizontal="general" vertical="bottom"/>
    </xf>
    <xf numFmtId="0" fontId="0" fillId="0" borderId="43" applyAlignment="1" pivotButton="0" quotePrefix="0" xfId="0">
      <alignment horizontal="general" vertical="bottom"/>
    </xf>
    <xf numFmtId="0" fontId="0" fillId="0" borderId="44" applyAlignment="1" pivotButton="0" quotePrefix="0" xfId="0">
      <alignment horizontal="general" vertical="bottom"/>
    </xf>
    <xf numFmtId="3" fontId="62" fillId="0" borderId="45" applyAlignment="1" pivotButton="0" quotePrefix="0" xfId="0">
      <alignment horizontal="general" vertical="bottom"/>
    </xf>
    <xf numFmtId="194" fontId="62" fillId="0" borderId="45" applyAlignment="1" pivotButton="0" quotePrefix="0" xfId="0">
      <alignment horizontal="general" vertical="bottom"/>
    </xf>
    <xf numFmtId="0" fontId="0" fillId="0" borderId="45" applyAlignment="1" pivotButton="0" quotePrefix="0" xfId="0">
      <alignment horizontal="general" vertical="bottom"/>
    </xf>
    <xf numFmtId="0" fontId="62" fillId="0" borderId="45" applyAlignment="1" pivotButton="0" quotePrefix="0" xfId="0">
      <alignment horizontal="general" vertical="bottom"/>
    </xf>
    <xf numFmtId="0" fontId="62" fillId="0" borderId="46" applyAlignment="1" pivotButton="0" quotePrefix="0" xfId="0">
      <alignment horizontal="general" vertical="bottom"/>
    </xf>
    <xf numFmtId="0" fontId="4" fillId="0" borderId="47" applyAlignment="1" pivotButton="0" quotePrefix="0" xfId="0">
      <alignment horizontal="general" vertical="center"/>
    </xf>
    <xf numFmtId="0" fontId="8" fillId="2" borderId="48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general" vertical="center"/>
    </xf>
    <xf numFmtId="0" fontId="27" fillId="6" borderId="0" applyAlignment="1" pivotButton="0" quotePrefix="0" xfId="0">
      <alignment horizontal="general" vertical="center"/>
    </xf>
    <xf numFmtId="0" fontId="12" fillId="6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4" fillId="2" borderId="49" applyAlignment="1" pivotButton="0" quotePrefix="0" xfId="0">
      <alignment horizontal="center" vertical="center"/>
    </xf>
    <xf numFmtId="195" fontId="16" fillId="14" borderId="49" applyAlignment="1" pivotButton="0" quotePrefix="0" xfId="0">
      <alignment horizontal="center" vertical="center" wrapText="1"/>
    </xf>
    <xf numFmtId="196" fontId="9" fillId="0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/>
    </xf>
    <xf numFmtId="197" fontId="9" fillId="0" borderId="0" applyAlignment="1" pivotButton="0" quotePrefix="0" xfId="0">
      <alignment horizontal="center" vertical="center"/>
    </xf>
    <xf numFmtId="197" fontId="5" fillId="0" borderId="0" applyAlignment="1" pivotButton="0" quotePrefix="0" xfId="0">
      <alignment horizontal="center" vertical="center"/>
    </xf>
    <xf numFmtId="197" fontId="9" fillId="2" borderId="0" applyAlignment="1" pivotButton="0" quotePrefix="0" xfId="0">
      <alignment horizontal="center" vertical="center"/>
    </xf>
    <xf numFmtId="188" fontId="5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97" fontId="5" fillId="2" borderId="0" applyAlignment="1" pivotButton="0" quotePrefix="0" xfId="0">
      <alignment horizontal="center" vertical="center"/>
    </xf>
    <xf numFmtId="195" fontId="16" fillId="14" borderId="49" applyAlignment="1" pivotButton="0" quotePrefix="0" xfId="0">
      <alignment horizontal="center" vertical="center"/>
    </xf>
    <xf numFmtId="196" fontId="9" fillId="0" borderId="15" applyAlignment="1" pivotButton="0" quotePrefix="0" xfId="0">
      <alignment horizontal="left" vertical="center"/>
    </xf>
    <xf numFmtId="0" fontId="63" fillId="0" borderId="15" applyAlignment="1" pivotButton="0" quotePrefix="0" xfId="0">
      <alignment horizontal="general" vertical="center"/>
    </xf>
    <xf numFmtId="0" fontId="16" fillId="0" borderId="15" applyAlignment="1" pivotButton="0" quotePrefix="0" xfId="0">
      <alignment horizontal="center" vertical="center"/>
    </xf>
    <xf numFmtId="197" fontId="9" fillId="0" borderId="15" applyAlignment="1" pivotButton="0" quotePrefix="0" xfId="0">
      <alignment horizontal="center" vertical="center"/>
    </xf>
    <xf numFmtId="197" fontId="5" fillId="2" borderId="15" applyAlignment="1" pivotButton="0" quotePrefix="0" xfId="0">
      <alignment horizontal="center" vertical="center"/>
    </xf>
    <xf numFmtId="0" fontId="11" fillId="14" borderId="12" applyAlignment="1" pivotButton="0" quotePrefix="0" xfId="0">
      <alignment horizontal="general" vertical="center"/>
    </xf>
    <xf numFmtId="188" fontId="15" fillId="14" borderId="12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/>
    </xf>
    <xf numFmtId="0" fontId="64" fillId="0" borderId="0" applyAlignment="1" pivotButton="0" quotePrefix="0" xfId="0">
      <alignment horizontal="center" vertical="center"/>
    </xf>
    <xf numFmtId="0" fontId="4" fillId="0" borderId="15" applyAlignment="1" pivotButton="0" quotePrefix="0" xfId="0">
      <alignment horizontal="general" vertical="center"/>
    </xf>
    <xf numFmtId="0" fontId="28" fillId="0" borderId="15" applyAlignment="1" pivotButton="0" quotePrefix="0" xfId="0">
      <alignment horizontal="general" vertical="center"/>
    </xf>
    <xf numFmtId="188" fontId="22" fillId="7" borderId="14" applyAlignment="1" pivotButton="0" quotePrefix="0" xfId="0">
      <alignment horizontal="center" vertical="center"/>
    </xf>
    <xf numFmtId="188" fontId="22" fillId="7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general" vertical="center"/>
    </xf>
    <xf numFmtId="0" fontId="7" fillId="5" borderId="14" applyAlignment="1" pivotButton="0" quotePrefix="0" xfId="0">
      <alignment horizontal="general" vertical="bottom"/>
    </xf>
    <xf numFmtId="0" fontId="7" fillId="5" borderId="1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center"/>
    </xf>
    <xf numFmtId="0" fontId="4" fillId="0" borderId="2" applyAlignment="1" pivotButton="0" quotePrefix="0" xfId="0">
      <alignment horizontal="general" vertical="center"/>
    </xf>
    <xf numFmtId="0" fontId="4" fillId="0" borderId="3" applyAlignment="1" pivotButton="0" quotePrefix="0" xfId="0">
      <alignment horizontal="right" vertical="center"/>
    </xf>
    <xf numFmtId="0" fontId="4" fillId="0" borderId="4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8" fillId="2" borderId="5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/>
    </xf>
    <xf numFmtId="0" fontId="9" fillId="2" borderId="5" applyAlignment="1" pivotButton="0" quotePrefix="0" xfId="0">
      <alignment horizontal="right" vertical="center"/>
    </xf>
    <xf numFmtId="164" fontId="5" fillId="0" borderId="5" applyAlignment="1" pivotButton="0" quotePrefix="0" xfId="0">
      <alignment horizontal="right" vertical="center"/>
    </xf>
    <xf numFmtId="166" fontId="8" fillId="0" borderId="5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right" vertical="bottom"/>
    </xf>
    <xf numFmtId="0" fontId="4" fillId="0" borderId="4" applyAlignment="1" pivotButton="0" quotePrefix="0" xfId="0">
      <alignment horizontal="general" vertical="bottom"/>
    </xf>
    <xf numFmtId="167" fontId="5" fillId="0" borderId="5" applyAlignment="1" pivotButton="0" quotePrefix="0" xfId="0">
      <alignment horizontal="right" vertical="bottom"/>
    </xf>
    <xf numFmtId="0" fontId="11" fillId="0" borderId="6" applyAlignment="1" pivotButton="0" quotePrefix="0" xfId="0">
      <alignment horizontal="general" vertical="bottom"/>
    </xf>
    <xf numFmtId="0" fontId="4" fillId="0" borderId="7" applyAlignment="1" pivotButton="0" quotePrefix="0" xfId="0">
      <alignment horizontal="general" vertical="bottom"/>
    </xf>
    <xf numFmtId="0" fontId="4" fillId="0" borderId="4" applyAlignment="1" pivotButton="0" quotePrefix="0" xfId="0">
      <alignment horizontal="left" vertical="center"/>
    </xf>
    <xf numFmtId="164" fontId="5" fillId="3" borderId="8" applyAlignment="1" pivotButton="0" quotePrefix="0" xfId="0">
      <alignment horizontal="center" vertical="center"/>
    </xf>
    <xf numFmtId="164" fontId="4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general" vertical="bottom"/>
    </xf>
    <xf numFmtId="0" fontId="4" fillId="3" borderId="11" applyAlignment="1" pivotButton="0" quotePrefix="0" xfId="0">
      <alignment horizontal="center" vertical="center"/>
    </xf>
    <xf numFmtId="167" fontId="5" fillId="0" borderId="0" applyAlignment="1" pivotButton="0" quotePrefix="0" xfId="0">
      <alignment horizontal="right" vertical="bottom"/>
    </xf>
    <xf numFmtId="0" fontId="12" fillId="4" borderId="10" applyAlignment="1" pivotButton="0" quotePrefix="0" xfId="0">
      <alignment horizontal="center" vertical="center"/>
    </xf>
    <xf numFmtId="0" fontId="0" fillId="0" borderId="10" pivotButton="0" quotePrefix="0" xfId="0"/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right" vertical="center" indent="1"/>
    </xf>
    <xf numFmtId="168" fontId="8" fillId="0" borderId="0" applyAlignment="1" pivotButton="0" quotePrefix="0" xfId="0">
      <alignment horizontal="right" vertical="center" indent="1"/>
    </xf>
    <xf numFmtId="0" fontId="4" fillId="0" borderId="0" applyAlignment="1" pivotButton="0" quotePrefix="0" xfId="0">
      <alignment horizontal="left" vertical="center" indent="2"/>
    </xf>
    <xf numFmtId="169" fontId="5" fillId="0" borderId="0" applyAlignment="1" pivotButton="0" quotePrefix="0" xfId="0">
      <alignment horizontal="right" vertical="center" indent="1"/>
    </xf>
    <xf numFmtId="0" fontId="4" fillId="0" borderId="12" applyAlignment="1" pivotButton="0" quotePrefix="0" xfId="0">
      <alignment horizontal="left" vertical="center" indent="1"/>
    </xf>
    <xf numFmtId="0" fontId="4" fillId="0" borderId="12" applyAlignment="1" pivotButton="0" quotePrefix="0" xfId="0">
      <alignment horizontal="general" vertical="bottom"/>
    </xf>
    <xf numFmtId="170" fontId="5" fillId="0" borderId="12" applyAlignment="1" pivotButton="0" quotePrefix="0" xfId="0">
      <alignment horizontal="right" vertical="center" inden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169" fontId="5" fillId="0" borderId="12" applyAlignment="1" pivotButton="0" quotePrefix="0" xfId="0">
      <alignment horizontal="right" vertical="center" indent="1"/>
    </xf>
    <xf numFmtId="0" fontId="11" fillId="0" borderId="13" applyAlignment="1" pivotButton="0" quotePrefix="0" xfId="0">
      <alignment horizontal="left" vertical="center" indent="1"/>
    </xf>
    <xf numFmtId="0" fontId="11" fillId="0" borderId="13" applyAlignment="1" pivotButton="0" quotePrefix="0" xfId="0">
      <alignment horizontal="general" vertical="bottom"/>
    </xf>
    <xf numFmtId="170" fontId="15" fillId="0" borderId="13" applyAlignment="1" pivotButton="0" quotePrefix="0" xfId="0">
      <alignment horizontal="right" vertical="center" indent="1"/>
    </xf>
    <xf numFmtId="171" fontId="7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right" vertical="center" indent="1"/>
    </xf>
    <xf numFmtId="0" fontId="4" fillId="0" borderId="14" applyAlignment="1" pivotButton="0" quotePrefix="0" xfId="0">
      <alignment horizontal="left" vertical="center" indent="1"/>
    </xf>
    <xf numFmtId="0" fontId="4" fillId="0" borderId="14" applyAlignment="1" pivotButton="0" quotePrefix="0" xfId="0">
      <alignment horizontal="general" vertical="bottom"/>
    </xf>
    <xf numFmtId="170" fontId="5" fillId="0" borderId="14" applyAlignment="1" pivotButton="0" quotePrefix="0" xfId="0">
      <alignment horizontal="right" vertical="center" indent="1"/>
    </xf>
    <xf numFmtId="0" fontId="16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right" vertical="bottom"/>
    </xf>
    <xf numFmtId="172" fontId="5" fillId="0" borderId="0" applyAlignment="1" pivotButton="0" quotePrefix="0" xfId="0">
      <alignment horizontal="right" vertical="center" indent="1"/>
    </xf>
    <xf numFmtId="0" fontId="16" fillId="0" borderId="15" applyAlignment="1" pivotButton="0" quotePrefix="0" xfId="0">
      <alignment horizontal="left" vertical="center" indent="1"/>
    </xf>
    <xf numFmtId="0" fontId="16" fillId="0" borderId="15" applyAlignment="1" pivotButton="0" quotePrefix="0" xfId="0">
      <alignment horizontal="general" vertical="bottom"/>
    </xf>
    <xf numFmtId="169" fontId="5" fillId="0" borderId="15" applyAlignment="1" pivotButton="0" quotePrefix="0" xfId="0">
      <alignment horizontal="right" vertical="bottom"/>
    </xf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center"/>
    </xf>
    <xf numFmtId="170" fontId="17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173" fontId="19" fillId="0" borderId="0" applyAlignment="1" pivotButton="0" quotePrefix="0" xfId="0">
      <alignment horizontal="center" vertical="center"/>
    </xf>
    <xf numFmtId="174" fontId="19" fillId="0" borderId="0" applyAlignment="1" pivotButton="0" quotePrefix="0" xfId="0">
      <alignment horizontal="center" vertical="center"/>
    </xf>
    <xf numFmtId="175" fontId="5" fillId="0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center"/>
    </xf>
    <xf numFmtId="176" fontId="5" fillId="0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177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bottom"/>
    </xf>
    <xf numFmtId="177" fontId="4" fillId="0" borderId="0" applyAlignment="1" pivotButton="0" quotePrefix="0" xfId="0">
      <alignment horizontal="right" vertical="bottom" indent="1"/>
    </xf>
    <xf numFmtId="178" fontId="5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bottom"/>
    </xf>
    <xf numFmtId="3" fontId="4" fillId="0" borderId="0" applyAlignment="1" pivotButton="0" quotePrefix="0" xfId="0">
      <alignment horizontal="right" vertical="bottom"/>
    </xf>
    <xf numFmtId="179" fontId="5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2"/>
    </xf>
    <xf numFmtId="180" fontId="5" fillId="0" borderId="0" applyAlignment="1" pivotButton="0" quotePrefix="0" xfId="0">
      <alignment horizontal="right" vertical="center"/>
    </xf>
    <xf numFmtId="170" fontId="17" fillId="0" borderId="0" applyAlignment="1" pivotButton="0" quotePrefix="0" xfId="0">
      <alignment horizontal="right" vertical="bottom" indent="1"/>
    </xf>
    <xf numFmtId="170" fontId="8" fillId="2" borderId="0" applyAlignment="1" pivotButton="0" quotePrefix="0" xfId="0">
      <alignment horizontal="right" vertical="bottom"/>
    </xf>
    <xf numFmtId="170" fontId="2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bottom" indent="1"/>
    </xf>
    <xf numFmtId="170" fontId="21" fillId="0" borderId="0" applyAlignment="1" pivotButton="0" quotePrefix="0" xfId="0">
      <alignment horizontal="right" vertical="bottom" indent="1"/>
    </xf>
    <xf numFmtId="0" fontId="12" fillId="5" borderId="0" applyAlignment="1" pivotButton="0" quotePrefix="0" xfId="0">
      <alignment horizontal="center" vertical="center"/>
    </xf>
    <xf numFmtId="0" fontId="22" fillId="5" borderId="15" applyAlignment="1" pivotButton="0" quotePrefix="0" xfId="0">
      <alignment horizontal="general" vertical="center"/>
    </xf>
    <xf numFmtId="0" fontId="22" fillId="5" borderId="15" applyAlignment="1" pivotButton="0" quotePrefix="0" xfId="0">
      <alignment horizontal="center" vertical="center"/>
    </xf>
    <xf numFmtId="0" fontId="23" fillId="5" borderId="1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 indent="1"/>
    </xf>
    <xf numFmtId="181" fontId="9" fillId="2" borderId="0" applyAlignment="1" pivotButton="0" quotePrefix="0" xfId="0">
      <alignment horizontal="right" vertical="bottom"/>
    </xf>
    <xf numFmtId="0" fontId="8" fillId="2" borderId="0" applyAlignment="1" pivotButton="0" quotePrefix="0" xfId="0">
      <alignment horizontal="general" vertical="bottom"/>
    </xf>
    <xf numFmtId="182" fontId="8" fillId="2" borderId="0" applyAlignment="1" pivotButton="0" quotePrefix="0" xfId="0">
      <alignment horizontal="general" vertical="bottom"/>
    </xf>
    <xf numFmtId="171" fontId="8" fillId="2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right" vertical="bottom"/>
    </xf>
    <xf numFmtId="170" fontId="4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 indent="1"/>
    </xf>
    <xf numFmtId="0" fontId="9" fillId="2" borderId="0" applyAlignment="1" pivotButton="0" quotePrefix="0" xfId="0">
      <alignment horizontal="general" vertical="bottom"/>
    </xf>
    <xf numFmtId="182" fontId="9" fillId="2" borderId="0" applyAlignment="1" pivotButton="0" quotePrefix="0" xfId="0">
      <alignment horizontal="general" vertical="bottom"/>
    </xf>
    <xf numFmtId="171" fontId="9" fillId="2" borderId="0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169" fontId="11" fillId="0" borderId="14" applyAlignment="1" pivotButton="0" quotePrefix="0" xfId="0">
      <alignment horizontal="right" vertical="bottom"/>
    </xf>
    <xf numFmtId="170" fontId="11" fillId="0" borderId="14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0" fontId="4" fillId="0" borderId="15" applyAlignment="1" pivotButton="0" quotePrefix="0" xfId="0">
      <alignment horizontal="general" vertical="bottom"/>
    </xf>
    <xf numFmtId="169" fontId="4" fillId="0" borderId="15" applyAlignment="1" pivotButton="0" quotePrefix="0" xfId="0">
      <alignment horizontal="right" vertical="bottom"/>
    </xf>
    <xf numFmtId="170" fontId="9" fillId="2" borderId="0" applyAlignment="1" pivotButton="0" quotePrefix="0" xfId="0">
      <alignment horizontal="right" vertical="bottom"/>
    </xf>
    <xf numFmtId="169" fontId="5" fillId="2" borderId="0" applyAlignment="1" pivotButton="0" quotePrefix="0" xfId="0">
      <alignment horizontal="right" vertical="bottom"/>
    </xf>
    <xf numFmtId="179" fontId="9" fillId="2" borderId="0" applyAlignment="1" pivotButton="0" quotePrefix="0" xfId="0">
      <alignment horizontal="right" vertical="bottom"/>
    </xf>
    <xf numFmtId="169" fontId="9" fillId="2" borderId="0" applyAlignment="1" pivotButton="0" quotePrefix="0" xfId="0">
      <alignment horizontal="right" vertical="bottom"/>
    </xf>
    <xf numFmtId="183" fontId="9" fillId="2" borderId="0" applyAlignment="1" pivotButton="0" quotePrefix="0" xfId="0">
      <alignment horizontal="right" vertical="bottom"/>
    </xf>
    <xf numFmtId="184" fontId="9" fillId="2" borderId="0" applyAlignment="1" pivotButton="0" quotePrefix="0" xfId="0">
      <alignment horizontal="right" vertical="bottom"/>
    </xf>
    <xf numFmtId="181" fontId="8" fillId="2" borderId="0" applyAlignment="1" pivotButton="0" quotePrefix="0" xfId="0">
      <alignment horizontal="right" vertical="bottom"/>
    </xf>
    <xf numFmtId="171" fontId="9" fillId="2" borderId="0" applyAlignment="1" pivotButton="0" quotePrefix="0" xfId="0">
      <alignment horizontal="right" vertical="bottom"/>
    </xf>
    <xf numFmtId="0" fontId="15" fillId="0" borderId="14" applyAlignment="1" pivotButton="0" quotePrefix="0" xfId="0">
      <alignment horizontal="general" vertical="bottom"/>
    </xf>
    <xf numFmtId="170" fontId="11" fillId="0" borderId="0" applyAlignment="1" pivotButton="0" quotePrefix="0" xfId="0">
      <alignment horizontal="right" vertical="bottom"/>
    </xf>
    <xf numFmtId="164" fontId="8" fillId="2" borderId="0" applyAlignment="1" pivotButton="0" quotePrefix="0" xfId="0">
      <alignment horizontal="right" vertical="bottom"/>
    </xf>
    <xf numFmtId="164" fontId="9" fillId="2" borderId="0" applyAlignment="1" pivotButton="0" quotePrefix="0" xfId="0">
      <alignment horizontal="right" vertical="bottom"/>
    </xf>
    <xf numFmtId="170" fontId="16" fillId="2" borderId="0" applyAlignment="1" pivotButton="0" quotePrefix="0" xfId="0">
      <alignment horizontal="right" vertical="bottom"/>
    </xf>
    <xf numFmtId="169" fontId="8" fillId="2" borderId="14" applyAlignment="1" pivotButton="0" quotePrefix="0" xfId="0">
      <alignment horizontal="right" vertical="bottom"/>
    </xf>
    <xf numFmtId="169" fontId="15" fillId="0" borderId="14" applyAlignment="1" pivotButton="0" quotePrefix="0" xfId="0">
      <alignment horizontal="right" vertical="bottom"/>
    </xf>
    <xf numFmtId="169" fontId="11" fillId="0" borderId="0" applyAlignment="1" pivotButton="0" quotePrefix="0" xfId="0">
      <alignment horizontal="right" vertical="bottom"/>
    </xf>
    <xf numFmtId="184" fontId="9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general" vertical="bottom"/>
    </xf>
    <xf numFmtId="184" fontId="20" fillId="0" borderId="0" applyAlignment="1" pivotButton="0" quotePrefix="0" xfId="0">
      <alignment horizontal="right" vertical="bottom"/>
    </xf>
    <xf numFmtId="180" fontId="4" fillId="0" borderId="0" applyAlignment="1" pivotButton="0" quotePrefix="0" xfId="0">
      <alignment horizontal="right" vertical="bottom"/>
    </xf>
    <xf numFmtId="185" fontId="5" fillId="2" borderId="1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177" fontId="9" fillId="2" borderId="16" applyAlignment="1" pivotButton="0" quotePrefix="0" xfId="0">
      <alignment horizontal="right" vertical="center"/>
    </xf>
    <xf numFmtId="4" fontId="26" fillId="0" borderId="0" applyAlignment="1" pivotButton="0" quotePrefix="0" xfId="0">
      <alignment horizontal="right" vertical="bottom"/>
    </xf>
    <xf numFmtId="0" fontId="9" fillId="2" borderId="17" applyAlignment="1" pivotButton="0" quotePrefix="0" xfId="0">
      <alignment horizontal="center" vertical="center"/>
    </xf>
    <xf numFmtId="177" fontId="9" fillId="2" borderId="17" applyAlignment="1" pivotButton="0" quotePrefix="0" xfId="0">
      <alignment horizontal="right" vertical="center"/>
    </xf>
    <xf numFmtId="0" fontId="27" fillId="6" borderId="0" applyAlignment="1" pivotButton="0" quotePrefix="0" xfId="0">
      <alignment horizontal="general" vertical="bottom"/>
    </xf>
    <xf numFmtId="0" fontId="28" fillId="6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bottom"/>
    </xf>
    <xf numFmtId="11" fontId="22" fillId="6" borderId="0" applyAlignment="1" pivotButton="0" quotePrefix="0" xfId="0">
      <alignment horizontal="center" vertical="bottom"/>
    </xf>
    <xf numFmtId="0" fontId="12" fillId="6" borderId="0" applyAlignment="1" pivotButton="0" quotePrefix="0" xfId="0">
      <alignment horizontal="center" vertical="top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center" vertical="bottom"/>
    </xf>
    <xf numFmtId="11" fontId="22" fillId="6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general" vertical="center"/>
    </xf>
    <xf numFmtId="179" fontId="21" fillId="0" borderId="0" applyAlignment="1" pivotButton="0" quotePrefix="0" xfId="0">
      <alignment horizontal="right" vertical="center"/>
    </xf>
    <xf numFmtId="179" fontId="21" fillId="0" borderId="0" applyAlignment="1" pivotButton="0" quotePrefix="0" xfId="0">
      <alignment horizontal="center" vertical="center"/>
    </xf>
    <xf numFmtId="186" fontId="16" fillId="0" borderId="0" applyAlignment="1" pivotButton="0" quotePrefix="0" xfId="0">
      <alignment horizontal="right" vertical="center"/>
    </xf>
    <xf numFmtId="177" fontId="5" fillId="0" borderId="0" applyAlignment="1" pivotButton="0" quotePrefix="0" xfId="0">
      <alignment horizontal="right" vertical="center" indent="1"/>
    </xf>
    <xf numFmtId="180" fontId="5" fillId="0" borderId="0" applyAlignment="1" pivotButton="0" quotePrefix="0" xfId="0">
      <alignment horizontal="right" vertical="center" indent="1"/>
    </xf>
    <xf numFmtId="176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left" vertical="center"/>
    </xf>
    <xf numFmtId="186" fontId="5" fillId="0" borderId="0" applyAlignment="1" pivotButton="0" quotePrefix="0" xfId="0">
      <alignment horizontal="center" vertical="center"/>
    </xf>
    <xf numFmtId="18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79" fontId="5" fillId="0" borderId="0" applyAlignment="1" pivotButton="0" quotePrefix="0" xfId="0">
      <alignment horizontal="center" vertical="center"/>
    </xf>
    <xf numFmtId="187" fontId="5" fillId="0" borderId="0" applyAlignment="1" pivotButton="0" quotePrefix="0" xfId="0">
      <alignment horizontal="center" vertical="center"/>
    </xf>
    <xf numFmtId="176" fontId="21" fillId="0" borderId="0" applyAlignment="1" pivotButton="0" quotePrefix="0" xfId="0">
      <alignment horizontal="center" vertical="center"/>
    </xf>
    <xf numFmtId="179" fontId="1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79" fontId="21" fillId="0" borderId="0" applyAlignment="1" pivotButton="0" quotePrefix="0" xfId="0">
      <alignment horizontal="right" vertical="center" indent="2"/>
    </xf>
    <xf numFmtId="186" fontId="21" fillId="0" borderId="0" applyAlignment="1" pivotButton="0" quotePrefix="0" xfId="0">
      <alignment horizontal="right" vertical="center" indent="1"/>
    </xf>
    <xf numFmtId="180" fontId="4" fillId="0" borderId="0" applyAlignment="1" pivotButton="0" quotePrefix="0" xfId="0">
      <alignment horizontal="right" vertical="center" indent="1"/>
    </xf>
    <xf numFmtId="186" fontId="21" fillId="0" borderId="0" applyAlignment="1" pivotButton="0" quotePrefix="0" xfId="0">
      <alignment horizontal="center" vertical="center"/>
    </xf>
    <xf numFmtId="187" fontId="21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0" fontId="11" fillId="3" borderId="12" applyAlignment="1" pivotButton="0" quotePrefix="0" xfId="0">
      <alignment horizontal="general" vertical="center"/>
    </xf>
    <xf numFmtId="0" fontId="11" fillId="3" borderId="12" applyAlignment="1" pivotButton="0" quotePrefix="0" xfId="0">
      <alignment horizontal="center" vertical="center"/>
    </xf>
    <xf numFmtId="0" fontId="11" fillId="3" borderId="12" applyAlignment="1" pivotButton="0" quotePrefix="0" xfId="0">
      <alignment horizontal="right" vertical="center"/>
    </xf>
    <xf numFmtId="177" fontId="15" fillId="3" borderId="12" applyAlignment="1" pivotButton="0" quotePrefix="0" xfId="0">
      <alignment horizontal="right" vertical="center" indent="1"/>
    </xf>
    <xf numFmtId="177" fontId="11" fillId="3" borderId="12" applyAlignment="1" pivotButton="0" quotePrefix="0" xfId="0">
      <alignment horizontal="right" vertical="center" indent="1"/>
    </xf>
    <xf numFmtId="180" fontId="11" fillId="3" borderId="12" applyAlignment="1" pivotButton="0" quotePrefix="0" xfId="0">
      <alignment horizontal="right" vertical="center" indent="1"/>
    </xf>
    <xf numFmtId="176" fontId="15" fillId="3" borderId="12" applyAlignment="1" pivotButton="0" quotePrefix="0" xfId="0">
      <alignment horizontal="right" vertical="center" indent="1"/>
    </xf>
    <xf numFmtId="187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7" fontId="4" fillId="0" borderId="0" applyAlignment="1" pivotButton="0" quotePrefix="0" xfId="0">
      <alignment horizontal="right" vertical="center" indent="1"/>
    </xf>
    <xf numFmtId="0" fontId="9" fillId="0" borderId="0" applyAlignment="1" pivotButton="0" quotePrefix="0" xfId="0">
      <alignment horizontal="center" vertical="center"/>
    </xf>
    <xf numFmtId="186" fontId="21" fillId="0" borderId="0" applyAlignment="1" pivotButton="0" quotePrefix="0" xfId="0">
      <alignment horizontal="right" vertical="center"/>
    </xf>
    <xf numFmtId="176" fontId="4" fillId="0" borderId="0" applyAlignment="1" pivotButton="0" quotePrefix="0" xfId="0">
      <alignment horizontal="general" vertical="center"/>
    </xf>
    <xf numFmtId="0" fontId="4" fillId="0" borderId="14" applyAlignment="1" pivotButton="0" quotePrefix="0" xfId="0">
      <alignment horizontal="general" vertical="center"/>
    </xf>
    <xf numFmtId="0" fontId="4" fillId="0" borderId="14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/>
    </xf>
    <xf numFmtId="0" fontId="22" fillId="7" borderId="14" applyAlignment="1" pivotButton="0" quotePrefix="0" xfId="0">
      <alignment horizontal="general" vertical="center"/>
    </xf>
    <xf numFmtId="177" fontId="22" fillId="7" borderId="14" applyAlignment="1" pivotButton="0" quotePrefix="0" xfId="0">
      <alignment horizontal="right" vertical="center" indent="1"/>
    </xf>
    <xf numFmtId="176" fontId="22" fillId="7" borderId="14" applyAlignment="1" pivotButton="0" quotePrefix="0" xfId="0">
      <alignment horizontal="right" vertical="center" indent="1"/>
    </xf>
    <xf numFmtId="180" fontId="22" fillId="7" borderId="14" applyAlignment="1" pivotButton="0" quotePrefix="0" xfId="0">
      <alignment horizontal="right" vertical="center" indent="1"/>
    </xf>
    <xf numFmtId="176" fontId="11" fillId="0" borderId="0" applyAlignment="1" pivotButton="0" quotePrefix="0" xfId="0">
      <alignment horizontal="general" vertical="center"/>
    </xf>
    <xf numFmtId="0" fontId="22" fillId="7" borderId="0" applyAlignment="1" pivotButton="0" quotePrefix="0" xfId="0">
      <alignment horizontal="general" vertical="center"/>
    </xf>
    <xf numFmtId="177" fontId="22" fillId="7" borderId="0" applyAlignment="1" pivotButton="0" quotePrefix="0" xfId="0">
      <alignment horizontal="right" vertical="center" indent="1"/>
    </xf>
    <xf numFmtId="176" fontId="22" fillId="7" borderId="0" applyAlignment="1" pivotButton="0" quotePrefix="0" xfId="0">
      <alignment horizontal="right" vertical="center" indent="1"/>
    </xf>
    <xf numFmtId="180" fontId="22" fillId="7" borderId="0" applyAlignment="1" pivotButton="0" quotePrefix="0" xfId="0">
      <alignment horizontal="right" vertical="center" indent="1"/>
    </xf>
    <xf numFmtId="0" fontId="22" fillId="7" borderId="15" applyAlignment="1" pivotButton="0" quotePrefix="0" xfId="0">
      <alignment horizontal="general" vertical="center"/>
    </xf>
    <xf numFmtId="177" fontId="22" fillId="7" borderId="15" applyAlignment="1" pivotButton="0" quotePrefix="0" xfId="0">
      <alignment horizontal="right" vertical="center" indent="1"/>
    </xf>
    <xf numFmtId="176" fontId="22" fillId="7" borderId="15" applyAlignment="1" pivotButton="0" quotePrefix="0" xfId="0">
      <alignment horizontal="right" vertical="center" indent="1"/>
    </xf>
    <xf numFmtId="180" fontId="22" fillId="7" borderId="15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general" vertical="center"/>
    </xf>
    <xf numFmtId="0" fontId="7" fillId="5" borderId="0" applyAlignment="1" pivotButton="0" quotePrefix="0" xfId="0">
      <alignment horizontal="general" vertical="bottom"/>
    </xf>
    <xf numFmtId="188" fontId="24" fillId="5" borderId="0" applyAlignment="1" pivotButton="0" quotePrefix="0" xfId="0">
      <alignment horizontal="center" vertical="center"/>
    </xf>
    <xf numFmtId="176" fontId="24" fillId="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8" borderId="18" applyAlignment="1" pivotButton="0" quotePrefix="0" xfId="0">
      <alignment horizontal="left" vertical="bottom"/>
    </xf>
    <xf numFmtId="0" fontId="33" fillId="8" borderId="18" applyAlignment="1" pivotButton="0" quotePrefix="0" xfId="0">
      <alignment horizontal="center" vertical="bottom"/>
    </xf>
    <xf numFmtId="0" fontId="34" fillId="0" borderId="18" applyAlignment="1" pivotButton="0" quotePrefix="0" xfId="0">
      <alignment horizontal="general" vertical="bottom"/>
    </xf>
    <xf numFmtId="175" fontId="35" fillId="0" borderId="18" applyAlignment="1" pivotButton="0" quotePrefix="0" xfId="0">
      <alignment horizontal="center" vertical="bottom"/>
    </xf>
    <xf numFmtId="175" fontId="34" fillId="0" borderId="18" applyAlignment="1" pivotButton="0" quotePrefix="0" xfId="0">
      <alignment horizontal="center" vertical="bottom"/>
    </xf>
    <xf numFmtId="0" fontId="32" fillId="0" borderId="18" applyAlignment="1" pivotButton="0" quotePrefix="0" xfId="0">
      <alignment horizontal="center" vertical="bottom"/>
    </xf>
    <xf numFmtId="0" fontId="36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65" fillId="0" borderId="0" pivotButton="0" quotePrefix="0" xfId="0"/>
    <xf numFmtId="0" fontId="66" fillId="0" borderId="0" pivotButton="0" quotePrefix="0" xfId="0"/>
    <xf numFmtId="0" fontId="35" fillId="0" borderId="18" applyAlignment="1" pivotButton="0" quotePrefix="0" xfId="0">
      <alignment horizontal="general" vertical="bottom"/>
    </xf>
    <xf numFmtId="184" fontId="35" fillId="0" borderId="18" applyAlignment="1" pivotButton="0" quotePrefix="0" xfId="0">
      <alignment horizontal="general" vertical="bottom"/>
    </xf>
    <xf numFmtId="189" fontId="35" fillId="0" borderId="18" applyAlignment="1" pivotButton="0" quotePrefix="0" xfId="0">
      <alignment horizontal="center" vertical="bottom"/>
    </xf>
    <xf numFmtId="0" fontId="67" fillId="0" borderId="0" pivotButton="0" quotePrefix="0" xfId="0"/>
    <xf numFmtId="184" fontId="67" fillId="0" borderId="0" pivotButton="0" quotePrefix="0" xfId="0"/>
    <xf numFmtId="189" fontId="67" fillId="0" borderId="0" pivotButton="0" quotePrefix="0" xfId="0"/>
    <xf numFmtId="184" fontId="34" fillId="0" borderId="18" applyAlignment="1" pivotButton="0" quotePrefix="0" xfId="0">
      <alignment horizontal="general" vertical="bottom"/>
    </xf>
    <xf numFmtId="189" fontId="34" fillId="0" borderId="18" applyAlignment="1" pivotButton="0" quotePrefix="0" xfId="0">
      <alignment horizontal="center" vertical="bottom"/>
    </xf>
    <xf numFmtId="0" fontId="37" fillId="6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right" vertical="center"/>
    </xf>
    <xf numFmtId="189" fontId="41" fillId="0" borderId="0" applyAlignment="1" pivotButton="0" quotePrefix="0" xfId="0">
      <alignment horizontal="right" vertical="center"/>
    </xf>
    <xf numFmtId="0" fontId="38" fillId="5" borderId="0" applyAlignment="1" pivotButton="0" quotePrefix="0" xfId="0">
      <alignment horizontal="general" vertical="center"/>
    </xf>
    <xf numFmtId="0" fontId="38" fillId="5" borderId="0" applyAlignment="1" pivotButton="0" quotePrefix="0" xfId="0">
      <alignment horizontal="right" vertical="center"/>
    </xf>
    <xf numFmtId="189" fontId="38" fillId="5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right" vertical="center"/>
    </xf>
    <xf numFmtId="189" fontId="38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general" vertical="center"/>
    </xf>
    <xf numFmtId="0" fontId="38" fillId="0" borderId="0" applyAlignment="1" pivotButton="0" quotePrefix="0" xfId="0">
      <alignment horizontal="general" vertical="center"/>
    </xf>
    <xf numFmtId="0" fontId="43" fillId="0" borderId="0" applyAlignment="1" pivotButton="0" quotePrefix="0" xfId="0">
      <alignment horizontal="right" vertical="center"/>
    </xf>
    <xf numFmtId="0" fontId="43" fillId="0" borderId="0" applyAlignment="1" pivotButton="0" quotePrefix="0" xfId="0">
      <alignment horizontal="general" vertical="center"/>
    </xf>
    <xf numFmtId="190" fontId="44" fillId="0" borderId="0" applyAlignment="1" pivotButton="0" quotePrefix="0" xfId="0">
      <alignment horizontal="right" vertical="center"/>
    </xf>
    <xf numFmtId="189" fontId="45" fillId="0" borderId="0" applyAlignment="1" pivotButton="0" quotePrefix="0" xfId="0">
      <alignment horizontal="right" vertical="center"/>
    </xf>
    <xf numFmtId="191" fontId="44" fillId="0" borderId="0" applyAlignment="1" pivotButton="0" quotePrefix="0" xfId="0">
      <alignment horizontal="general" vertical="center"/>
    </xf>
    <xf numFmtId="189" fontId="46" fillId="0" borderId="0" applyAlignment="1" pivotButton="0" quotePrefix="0" xfId="0">
      <alignment horizontal="right" vertical="center"/>
    </xf>
    <xf numFmtId="190" fontId="43" fillId="0" borderId="0" applyAlignment="1" pivotButton="0" quotePrefix="0" xfId="0">
      <alignment horizontal="right" vertical="center"/>
    </xf>
    <xf numFmtId="192" fontId="47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general" vertical="center"/>
    </xf>
    <xf numFmtId="190" fontId="41" fillId="0" borderId="0" applyAlignment="1" pivotButton="0" quotePrefix="0" xfId="0">
      <alignment horizontal="right" vertical="center"/>
    </xf>
    <xf numFmtId="189" fontId="49" fillId="0" borderId="0" applyAlignment="1" pivotButton="0" quotePrefix="0" xfId="0">
      <alignment horizontal="right" vertical="center"/>
    </xf>
    <xf numFmtId="189" fontId="43" fillId="0" borderId="0" applyAlignment="1" pivotButton="0" quotePrefix="0" xfId="0">
      <alignment horizontal="general" vertical="center"/>
    </xf>
    <xf numFmtId="0" fontId="41" fillId="3" borderId="14" applyAlignment="1" pivotButton="0" quotePrefix="0" xfId="0">
      <alignment horizontal="general" vertical="center"/>
    </xf>
    <xf numFmtId="190" fontId="50" fillId="3" borderId="14" applyAlignment="1" pivotButton="0" quotePrefix="0" xfId="0">
      <alignment horizontal="right" vertical="center"/>
    </xf>
    <xf numFmtId="189" fontId="49" fillId="3" borderId="14" applyAlignment="1" pivotButton="0" quotePrefix="0" xfId="0">
      <alignment horizontal="right" vertical="center"/>
    </xf>
    <xf numFmtId="190" fontId="43" fillId="0" borderId="0" applyAlignment="1" pivotButton="0" quotePrefix="0" xfId="0">
      <alignment horizontal="general" vertical="center"/>
    </xf>
    <xf numFmtId="190" fontId="41" fillId="0" borderId="0" applyAlignment="1" pivotButton="0" quotePrefix="0" xfId="0">
      <alignment horizontal="general" vertical="center"/>
    </xf>
    <xf numFmtId="0" fontId="37" fillId="0" borderId="0" applyAlignment="1" pivotButton="0" quotePrefix="0" xfId="0">
      <alignment horizontal="general" vertical="center"/>
    </xf>
    <xf numFmtId="190" fontId="38" fillId="0" borderId="0" applyAlignment="1" pivotButton="0" quotePrefix="0" xfId="0">
      <alignment horizontal="right" vertical="center"/>
    </xf>
    <xf numFmtId="189" fontId="51" fillId="0" borderId="0" applyAlignment="1" pivotButton="0" quotePrefix="0" xfId="0">
      <alignment horizontal="general" vertical="center"/>
    </xf>
    <xf numFmtId="189" fontId="43" fillId="0" borderId="0" applyAlignment="1" pivotButton="0" quotePrefix="0" xfId="0">
      <alignment horizontal="left" vertical="center"/>
    </xf>
    <xf numFmtId="0" fontId="38" fillId="7" borderId="12" applyAlignment="1" pivotButton="0" quotePrefix="0" xfId="0">
      <alignment horizontal="general" vertical="center"/>
    </xf>
    <xf numFmtId="190" fontId="38" fillId="7" borderId="12" applyAlignment="1" pivotButton="0" quotePrefix="0" xfId="0">
      <alignment horizontal="general" vertical="center"/>
    </xf>
    <xf numFmtId="189" fontId="51" fillId="7" borderId="12" applyAlignment="1" pivotButton="0" quotePrefix="0" xfId="0">
      <alignment horizontal="right" vertical="center"/>
    </xf>
    <xf numFmtId="189" fontId="46" fillId="0" borderId="0" applyAlignment="1" pivotButton="0" quotePrefix="0" xfId="0">
      <alignment horizontal="general" vertical="center"/>
    </xf>
    <xf numFmtId="3" fontId="43" fillId="0" borderId="0" applyAlignment="1" pivotButton="0" quotePrefix="0" xfId="0">
      <alignment horizontal="general" vertical="center"/>
    </xf>
    <xf numFmtId="0" fontId="46" fillId="0" borderId="0" applyAlignment="1" pivotButton="0" quotePrefix="0" xfId="0">
      <alignment horizontal="general" vertical="center"/>
    </xf>
    <xf numFmtId="9" fontId="46" fillId="0" borderId="0" applyAlignment="1" pivotButton="0" quotePrefix="0" xfId="0">
      <alignment horizontal="general" vertical="center"/>
    </xf>
    <xf numFmtId="0" fontId="38" fillId="6" borderId="0" applyAlignment="1" pivotButton="0" quotePrefix="0" xfId="0">
      <alignment horizontal="general" vertical="center"/>
    </xf>
    <xf numFmtId="189" fontId="38" fillId="6" borderId="0" applyAlignment="1" pivotButton="0" quotePrefix="0" xfId="0">
      <alignment horizontal="general" vertical="center"/>
    </xf>
    <xf numFmtId="190" fontId="47" fillId="0" borderId="0" applyAlignment="1" pivotButton="0" quotePrefix="0" xfId="0">
      <alignment horizontal="right" vertical="center"/>
    </xf>
    <xf numFmtId="0" fontId="52" fillId="0" borderId="0" applyAlignment="1" pivotButton="0" quotePrefix="0" xfId="0">
      <alignment horizontal="general" vertical="bottom"/>
    </xf>
    <xf numFmtId="192" fontId="53" fillId="0" borderId="0" applyAlignment="1" pivotButton="0" quotePrefix="0" xfId="0">
      <alignment horizontal="right" vertical="center"/>
    </xf>
    <xf numFmtId="193" fontId="53" fillId="0" borderId="0" applyAlignment="1" pivotButton="0" quotePrefix="0" xfId="0">
      <alignment horizontal="right" vertical="center"/>
    </xf>
    <xf numFmtId="192" fontId="44" fillId="2" borderId="17" applyAlignment="1" pivotButton="0" quotePrefix="0" xfId="0">
      <alignment horizontal="right" vertical="center"/>
    </xf>
    <xf numFmtId="3" fontId="44" fillId="0" borderId="0" applyAlignment="1" pivotButton="0" quotePrefix="0" xfId="0">
      <alignment horizontal="general" vertical="center"/>
    </xf>
    <xf numFmtId="164" fontId="47" fillId="0" borderId="0" applyAlignment="1" pivotButton="0" quotePrefix="0" xfId="0">
      <alignment horizontal="right" vertical="center"/>
    </xf>
    <xf numFmtId="192" fontId="47" fillId="2" borderId="17" applyAlignment="1" pivotButton="0" quotePrefix="0" xfId="0">
      <alignment horizontal="right" vertical="center"/>
    </xf>
    <xf numFmtId="0" fontId="54" fillId="6" borderId="0" applyAlignment="1" pivotButton="0" quotePrefix="0" xfId="0">
      <alignment horizontal="general" vertical="center"/>
    </xf>
    <xf numFmtId="189" fontId="54" fillId="6" borderId="0" applyAlignment="1" pivotButton="0" quotePrefix="0" xfId="0">
      <alignment horizontal="general" vertical="center"/>
    </xf>
    <xf numFmtId="0" fontId="55" fillId="6" borderId="0" applyAlignment="1" pivotButton="0" quotePrefix="0" xfId="0">
      <alignment horizontal="general" vertical="center"/>
    </xf>
    <xf numFmtId="0" fontId="56" fillId="0" borderId="0" applyAlignment="1" pivotButton="0" quotePrefix="0" xfId="0">
      <alignment horizontal="general" vertical="center"/>
    </xf>
    <xf numFmtId="3" fontId="56" fillId="0" borderId="0" applyAlignment="1" pivotButton="0" quotePrefix="0" xfId="0">
      <alignment horizontal="general" vertical="center"/>
    </xf>
    <xf numFmtId="192" fontId="53" fillId="2" borderId="19" applyAlignment="1" pivotButton="0" quotePrefix="0" xfId="0">
      <alignment horizontal="right" vertical="center"/>
    </xf>
    <xf numFmtId="3" fontId="44" fillId="0" borderId="20" applyAlignment="1" pivotButton="0" quotePrefix="0" xfId="0">
      <alignment horizontal="general" vertical="center"/>
    </xf>
    <xf numFmtId="0" fontId="53" fillId="0" borderId="0" applyAlignment="1" pivotButton="0" quotePrefix="0" xfId="0">
      <alignment horizontal="general" vertical="center"/>
    </xf>
    <xf numFmtId="0" fontId="44" fillId="0" borderId="0" applyAlignment="1" pivotButton="0" quotePrefix="0" xfId="0">
      <alignment horizontal="general" vertical="center"/>
    </xf>
    <xf numFmtId="192" fontId="53" fillId="2" borderId="21" applyAlignment="1" pivotButton="0" quotePrefix="0" xfId="0">
      <alignment horizontal="right" vertical="center"/>
    </xf>
    <xf numFmtId="192" fontId="53" fillId="2" borderId="22" applyAlignment="1" pivotButton="0" quotePrefix="0" xfId="0">
      <alignment horizontal="right" vertical="center"/>
    </xf>
    <xf numFmtId="192" fontId="44" fillId="2" borderId="22" applyAlignment="1" pivotButton="0" quotePrefix="0" xfId="0">
      <alignment horizontal="right" vertical="center"/>
    </xf>
    <xf numFmtId="0" fontId="4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7" fillId="0" borderId="23" applyAlignment="1" pivotButton="0" quotePrefix="0" xfId="0">
      <alignment horizontal="general" vertical="bottom"/>
    </xf>
    <xf numFmtId="0" fontId="0" fillId="0" borderId="23" pivotButton="0" quotePrefix="0" xfId="0"/>
    <xf numFmtId="0" fontId="0" fillId="10" borderId="24" applyAlignment="1" pivotButton="0" quotePrefix="0" xfId="0">
      <alignment horizontal="center" vertical="bottom"/>
    </xf>
    <xf numFmtId="0" fontId="58" fillId="11" borderId="25" applyAlignment="1" pivotButton="0" quotePrefix="0" xfId="0">
      <alignment horizontal="center" vertical="top"/>
    </xf>
    <xf numFmtId="0" fontId="0" fillId="0" borderId="51" pivotButton="0" quotePrefix="0" xfId="0"/>
    <xf numFmtId="0" fontId="0" fillId="12" borderId="26" applyAlignment="1" pivotButton="0" quotePrefix="0" xfId="0">
      <alignment horizontal="general" vertical="bottom"/>
    </xf>
    <xf numFmtId="0" fontId="58" fillId="11" borderId="27" applyAlignment="1" pivotButton="0" quotePrefix="0" xfId="0">
      <alignment horizontal="center" vertical="top"/>
    </xf>
    <xf numFmtId="0" fontId="0" fillId="0" borderId="53" pivotButton="0" quotePrefix="0" xfId="0"/>
    <xf numFmtId="0" fontId="59" fillId="0" borderId="0" applyAlignment="1" pivotButton="0" quotePrefix="0" xfId="0">
      <alignment horizontal="right" vertical="bottom" indent="1"/>
    </xf>
    <xf numFmtId="0" fontId="60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top"/>
    </xf>
    <xf numFmtId="0" fontId="0" fillId="12" borderId="28" applyAlignment="1" pivotButton="0" quotePrefix="0" xfId="0">
      <alignment horizontal="general" vertical="bottom"/>
    </xf>
    <xf numFmtId="0" fontId="0" fillId="0" borderId="15" pivotButton="0" quotePrefix="0" xfId="0"/>
    <xf numFmtId="0" fontId="0" fillId="0" borderId="28" pivotButton="0" quotePrefix="0" xfId="0"/>
    <xf numFmtId="0" fontId="61" fillId="13" borderId="25" applyAlignment="1" pivotButton="0" quotePrefix="0" xfId="0">
      <alignment horizontal="center" vertical="center"/>
    </xf>
    <xf numFmtId="0" fontId="0" fillId="0" borderId="12" pivotButton="0" quotePrefix="0" xfId="0"/>
    <xf numFmtId="0" fontId="61" fillId="13" borderId="29" applyAlignment="1" pivotButton="0" quotePrefix="0" xfId="0">
      <alignment horizontal="center" vertical="center"/>
    </xf>
    <xf numFmtId="0" fontId="61" fillId="13" borderId="30" applyAlignment="1" pivotButton="0" quotePrefix="0" xfId="0">
      <alignment horizontal="center" vertical="center"/>
    </xf>
    <xf numFmtId="0" fontId="61" fillId="13" borderId="31" applyAlignment="1" pivotButton="0" quotePrefix="0" xfId="0">
      <alignment horizontal="center" vertical="center"/>
    </xf>
    <xf numFmtId="0" fontId="62" fillId="0" borderId="0" applyAlignment="1" pivotButton="0" quotePrefix="0" xfId="0">
      <alignment horizontal="right" vertical="bottom" indent="1"/>
    </xf>
    <xf numFmtId="0" fontId="59" fillId="0" borderId="32" applyAlignment="1" pivotButton="0" quotePrefix="0" xfId="0">
      <alignment horizontal="general" vertical="bottom"/>
    </xf>
    <xf numFmtId="0" fontId="0" fillId="0" borderId="33" applyAlignment="1" pivotButton="0" quotePrefix="0" xfId="0">
      <alignment horizontal="general" vertical="bottom"/>
    </xf>
    <xf numFmtId="0" fontId="0" fillId="0" borderId="34" applyAlignment="1" pivotButton="0" quotePrefix="0" xfId="0">
      <alignment horizontal="general" vertical="bottom"/>
    </xf>
    <xf numFmtId="3" fontId="62" fillId="0" borderId="35" applyAlignment="1" pivotButton="0" quotePrefix="0" xfId="0">
      <alignment horizontal="general" vertical="bottom"/>
    </xf>
    <xf numFmtId="194" fontId="62" fillId="0" borderId="35" applyAlignment="1" pivotButton="0" quotePrefix="0" xfId="0">
      <alignment horizontal="general" vertical="bottom"/>
    </xf>
    <xf numFmtId="0" fontId="0" fillId="0" borderId="35" applyAlignment="1" pivotButton="0" quotePrefix="0" xfId="0">
      <alignment horizontal="general" vertical="bottom"/>
    </xf>
    <xf numFmtId="0" fontId="62" fillId="0" borderId="35" applyAlignment="1" pivotButton="0" quotePrefix="0" xfId="0">
      <alignment horizontal="general" vertical="bottom"/>
    </xf>
    <xf numFmtId="0" fontId="62" fillId="0" borderId="36" applyAlignment="1" pivotButton="0" quotePrefix="0" xfId="0">
      <alignment horizontal="general" vertical="bottom"/>
    </xf>
    <xf numFmtId="0" fontId="0" fillId="0" borderId="37" applyAlignment="1" pivotButton="0" quotePrefix="0" xfId="0">
      <alignment horizontal="general" vertical="bottom"/>
    </xf>
    <xf numFmtId="0" fontId="0" fillId="0" borderId="38" applyAlignment="1" pivotButton="0" quotePrefix="0" xfId="0">
      <alignment horizontal="general" vertical="bottom"/>
    </xf>
    <xf numFmtId="0" fontId="0" fillId="0" borderId="39" applyAlignment="1" pivotButton="0" quotePrefix="0" xfId="0">
      <alignment horizontal="general" vertical="bottom"/>
    </xf>
    <xf numFmtId="3" fontId="62" fillId="0" borderId="40" applyAlignment="1" pivotButton="0" quotePrefix="0" xfId="0">
      <alignment horizontal="general" vertical="bottom"/>
    </xf>
    <xf numFmtId="194" fontId="62" fillId="0" borderId="40" applyAlignment="1" pivotButton="0" quotePrefix="0" xfId="0">
      <alignment horizontal="general" vertical="bottom"/>
    </xf>
    <xf numFmtId="0" fontId="0" fillId="0" borderId="40" applyAlignment="1" pivotButton="0" quotePrefix="0" xfId="0">
      <alignment horizontal="general" vertical="bottom"/>
    </xf>
    <xf numFmtId="0" fontId="62" fillId="0" borderId="40" applyAlignment="1" pivotButton="0" quotePrefix="0" xfId="0">
      <alignment horizontal="general" vertical="bottom"/>
    </xf>
    <xf numFmtId="0" fontId="62" fillId="0" borderId="41" applyAlignment="1" pivotButton="0" quotePrefix="0" xfId="0">
      <alignment horizontal="general" vertical="bottom"/>
    </xf>
    <xf numFmtId="0" fontId="0" fillId="0" borderId="42" applyAlignment="1" pivotButton="0" quotePrefix="0" xfId="0">
      <alignment horizontal="general" vertical="bottom"/>
    </xf>
    <xf numFmtId="0" fontId="0" fillId="0" borderId="43" applyAlignment="1" pivotButton="0" quotePrefix="0" xfId="0">
      <alignment horizontal="general" vertical="bottom"/>
    </xf>
    <xf numFmtId="0" fontId="0" fillId="0" borderId="44" applyAlignment="1" pivotButton="0" quotePrefix="0" xfId="0">
      <alignment horizontal="general" vertical="bottom"/>
    </xf>
    <xf numFmtId="3" fontId="62" fillId="0" borderId="45" applyAlignment="1" pivotButton="0" quotePrefix="0" xfId="0">
      <alignment horizontal="general" vertical="bottom"/>
    </xf>
    <xf numFmtId="194" fontId="62" fillId="0" borderId="45" applyAlignment="1" pivotButton="0" quotePrefix="0" xfId="0">
      <alignment horizontal="general" vertical="bottom"/>
    </xf>
    <xf numFmtId="0" fontId="0" fillId="0" borderId="45" applyAlignment="1" pivotButton="0" quotePrefix="0" xfId="0">
      <alignment horizontal="general" vertical="bottom"/>
    </xf>
    <xf numFmtId="0" fontId="62" fillId="0" borderId="45" applyAlignment="1" pivotButton="0" quotePrefix="0" xfId="0">
      <alignment horizontal="general" vertical="bottom"/>
    </xf>
    <xf numFmtId="0" fontId="62" fillId="0" borderId="46" applyAlignment="1" pivotButton="0" quotePrefix="0" xfId="0">
      <alignment horizontal="general" vertical="bottom"/>
    </xf>
    <xf numFmtId="0" fontId="4" fillId="0" borderId="47" applyAlignment="1" pivotButton="0" quotePrefix="0" xfId="0">
      <alignment horizontal="general" vertical="center"/>
    </xf>
    <xf numFmtId="0" fontId="8" fillId="2" borderId="48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general" vertical="center"/>
    </xf>
    <xf numFmtId="0" fontId="27" fillId="6" borderId="0" applyAlignment="1" pivotButton="0" quotePrefix="0" xfId="0">
      <alignment horizontal="general" vertical="center"/>
    </xf>
    <xf numFmtId="0" fontId="12" fillId="6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4" fillId="2" borderId="49" applyAlignment="1" pivotButton="0" quotePrefix="0" xfId="0">
      <alignment horizontal="center" vertical="center"/>
    </xf>
    <xf numFmtId="195" fontId="16" fillId="14" borderId="49" applyAlignment="1" pivotButton="0" quotePrefix="0" xfId="0">
      <alignment horizontal="center" vertical="center" wrapText="1"/>
    </xf>
    <xf numFmtId="196" fontId="9" fillId="0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/>
    </xf>
    <xf numFmtId="197" fontId="9" fillId="0" borderId="0" applyAlignment="1" pivotButton="0" quotePrefix="0" xfId="0">
      <alignment horizontal="center" vertical="center"/>
    </xf>
    <xf numFmtId="197" fontId="5" fillId="0" borderId="0" applyAlignment="1" pivotButton="0" quotePrefix="0" xfId="0">
      <alignment horizontal="center" vertical="center"/>
    </xf>
    <xf numFmtId="197" fontId="9" fillId="2" borderId="0" applyAlignment="1" pivotButton="0" quotePrefix="0" xfId="0">
      <alignment horizontal="center" vertical="center"/>
    </xf>
    <xf numFmtId="188" fontId="5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97" fontId="5" fillId="2" borderId="0" applyAlignment="1" pivotButton="0" quotePrefix="0" xfId="0">
      <alignment horizontal="center" vertical="center"/>
    </xf>
    <xf numFmtId="195" fontId="16" fillId="14" borderId="49" applyAlignment="1" pivotButton="0" quotePrefix="0" xfId="0">
      <alignment horizontal="center" vertical="center"/>
    </xf>
    <xf numFmtId="196" fontId="9" fillId="0" borderId="15" applyAlignment="1" pivotButton="0" quotePrefix="0" xfId="0">
      <alignment horizontal="left" vertical="center"/>
    </xf>
    <xf numFmtId="0" fontId="63" fillId="0" borderId="15" applyAlignment="1" pivotButton="0" quotePrefix="0" xfId="0">
      <alignment horizontal="general" vertical="center"/>
    </xf>
    <xf numFmtId="0" fontId="16" fillId="0" borderId="15" applyAlignment="1" pivotButton="0" quotePrefix="0" xfId="0">
      <alignment horizontal="center" vertical="center"/>
    </xf>
    <xf numFmtId="197" fontId="9" fillId="0" borderId="15" applyAlignment="1" pivotButton="0" quotePrefix="0" xfId="0">
      <alignment horizontal="center" vertical="center"/>
    </xf>
    <xf numFmtId="197" fontId="5" fillId="2" borderId="15" applyAlignment="1" pivotButton="0" quotePrefix="0" xfId="0">
      <alignment horizontal="center" vertical="center"/>
    </xf>
    <xf numFmtId="0" fontId="11" fillId="14" borderId="12" applyAlignment="1" pivotButton="0" quotePrefix="0" xfId="0">
      <alignment horizontal="general" vertical="center"/>
    </xf>
    <xf numFmtId="188" fontId="15" fillId="14" borderId="12" applyAlignment="1" pivotButton="0" quotePrefix="0" xfId="0">
      <alignment horizontal="center" vertical="center"/>
    </xf>
    <xf numFmtId="0" fontId="28" fillId="0" borderId="0" applyAlignment="1" pivotButton="0" quotePrefix="0" xfId="0">
      <alignment horizontal="general" vertical="center"/>
    </xf>
    <xf numFmtId="0" fontId="64" fillId="0" borderId="0" applyAlignment="1" pivotButton="0" quotePrefix="0" xfId="0">
      <alignment horizontal="center" vertical="center"/>
    </xf>
    <xf numFmtId="0" fontId="4" fillId="0" borderId="15" applyAlignment="1" pivotButton="0" quotePrefix="0" xfId="0">
      <alignment horizontal="general" vertical="center"/>
    </xf>
    <xf numFmtId="0" fontId="28" fillId="0" borderId="15" applyAlignment="1" pivotButton="0" quotePrefix="0" xfId="0">
      <alignment horizontal="general" vertical="center"/>
    </xf>
    <xf numFmtId="188" fontId="22" fillId="7" borderId="14" applyAlignment="1" pivotButton="0" quotePrefix="0" xfId="0">
      <alignment horizontal="center" vertical="center"/>
    </xf>
    <xf numFmtId="188" fontId="22" fillId="7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general" vertical="center"/>
    </xf>
    <xf numFmtId="0" fontId="7" fillId="5" borderId="14" applyAlignment="1" pivotButton="0" quotePrefix="0" xfId="0">
      <alignment horizontal="general" vertical="bottom"/>
    </xf>
    <xf numFmtId="0" fontId="7" fillId="5" borderId="1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7171"/>
      <rgbColor rgb="FF8DB4E2"/>
      <rgbColor rgb="FF993366"/>
      <rgbColor rgb="FFFFFF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9F9"/>
      <rgbColor rgb="FFE5E3E3"/>
      <rgbColor rgb="FFFFFF99"/>
      <rgbColor rgb="FF95B5E8"/>
      <rgbColor rgb="FFFF99CC"/>
      <rgbColor rgb="FFCC99FF"/>
      <rgbColor rgb="FFFDDFC7"/>
      <rgbColor rgb="FF37659D"/>
      <rgbColor rgb="FF33CCCC"/>
      <rgbColor rgb="FF99CC00"/>
      <rgbColor rgb="FFFFCC00"/>
      <rgbColor rgb="FFFF9900"/>
      <rgbColor rgb="FFFF6600"/>
      <rgbColor rgb="FF595959"/>
      <rgbColor rgb="FFB2B2B2"/>
      <rgbColor rgb="FF1F3864"/>
      <rgbColor rgb="FF339966"/>
      <rgbColor rgb="FF003300"/>
      <rgbColor rgb="FF333300"/>
      <rgbColor rgb="FF993300"/>
      <rgbColor rgb="FF993366"/>
      <rgbColor rgb="FF46566E"/>
      <rgbColor rgb="FF0E21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6566E"/>
            </a:solidFill>
            <a:ln xmlns:a="http://schemas.openxmlformats.org/drawingml/2006/main">
              <a:prstDash val="solid"/>
            </a:ln>
          </spPr>
          <cat>
            <numRef>
              <f>'financial-summary'!$B$5:$G$5</f>
            </numRef>
          </cat>
          <val>
            <numRef>
              <f>'financial-summary'!$B$6:$G$6</f>
            </numRef>
          </val>
        </ser>
        <dLbls>
          <numFmt formatCode="$#,##0.0_);($#,##0.0);&quot;--&quot;"/>
          <txPr>
            <a:bodyPr xmlns:a="http://schemas.openxmlformats.org/drawingml/2006/main"/>
            <a:p xmlns:a="http://schemas.openxmlformats.org/drawingml/2006/main">
              <a:pPr>
                <a:defRPr sz="900">
                  <a:solidFill>
                    <a:srgbClr val="000000"/>
                  </a:solidFill>
                  <a:latin typeface="Palatino Linotype"/>
                </a:defRPr>
              </a:pPr>
              <a:r>
                <a:t>None</a:t>
              </a:r>
              <a:endParaRPr sz="900">
                <a:solidFill>
                  <a:srgbClr val="000000"/>
                </a:solidFill>
                <a:latin typeface="Palatino Linotype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000000"/>
                </a:solidFill>
                <a:latin typeface="Palatino Linotype"/>
              </a:defRPr>
            </a:pPr>
            <a:r>
              <a:t>None</a:t>
            </a:r>
            <a:endParaRPr sz="900">
              <a:solidFill>
                <a:srgbClr val="000000"/>
              </a:solidFill>
              <a:latin typeface="Palatino Linotype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6566E"/>
            </a:solidFill>
            <a:ln xmlns:a="http://schemas.openxmlformats.org/drawingml/2006/main">
              <a:prstDash val="solid"/>
            </a:ln>
          </spPr>
          <cat>
            <numRef>
              <f>'financial-summary'!$B$5:$G$5</f>
            </numRef>
          </cat>
          <val>
            <numRef>
              <f>'financial-summary'!$B$7:$G$7</f>
            </numRef>
          </val>
        </ser>
        <dLbls>
          <numFmt formatCode="$#,##0.0_);($#,##0.0);&quot;--&quot;"/>
          <txPr>
            <a:bodyPr xmlns:a="http://schemas.openxmlformats.org/drawingml/2006/main"/>
            <a:p xmlns:a="http://schemas.openxmlformats.org/drawingml/2006/main">
              <a:pPr>
                <a:defRPr sz="900">
                  <a:solidFill>
                    <a:srgbClr val="000000"/>
                  </a:solidFill>
                  <a:latin typeface="Palatino Linotype"/>
                </a:defRPr>
              </a:pPr>
              <a:r>
                <a:t>None</a:t>
              </a:r>
              <a:endParaRPr sz="900">
                <a:solidFill>
                  <a:srgbClr val="000000"/>
                </a:solidFill>
                <a:latin typeface="Palatino Linotype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000000"/>
                </a:solidFill>
                <a:latin typeface="Palatino Linotype"/>
              </a:defRPr>
            </a:pPr>
            <a:r>
              <a:t>None</a:t>
            </a:r>
            <a:endParaRPr sz="900">
              <a:solidFill>
                <a:srgbClr val="000000"/>
              </a:solidFill>
              <a:latin typeface="Palatino Linotype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6566E"/>
            </a:solidFill>
            <a:ln xmlns:a="http://schemas.openxmlformats.org/drawingml/2006/main">
              <a:prstDash val="solid"/>
            </a:ln>
          </spPr>
          <cat>
            <numRef>
              <f>'financial-summary'!$B$5:$G$5</f>
            </numRef>
          </cat>
          <val>
            <numRef>
              <f>'financial-summary'!$B$8:$G$8</f>
            </numRef>
          </val>
        </ser>
        <dLbls>
          <numFmt formatCode="$#,##0.0_);($#,##0.0);&quot;--&quot;"/>
          <txPr>
            <a:bodyPr xmlns:a="http://schemas.openxmlformats.org/drawingml/2006/main"/>
            <a:p xmlns:a="http://schemas.openxmlformats.org/drawingml/2006/main">
              <a:pPr>
                <a:defRPr sz="900">
                  <a:solidFill>
                    <a:srgbClr val="000000"/>
                  </a:solidFill>
                  <a:latin typeface="Palatino Linotype"/>
                </a:defRPr>
              </a:pPr>
              <a:r>
                <a:t>None</a:t>
              </a:r>
              <a:endParaRPr sz="900">
                <a:solidFill>
                  <a:srgbClr val="000000"/>
                </a:solidFill>
                <a:latin typeface="Palatino Linotype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000000"/>
                </a:solidFill>
                <a:latin typeface="Palatino Linotype"/>
              </a:defRPr>
            </a:pPr>
            <a:r>
              <a:t>None</a:t>
            </a:r>
            <a:endParaRPr sz="900">
              <a:solidFill>
                <a:srgbClr val="000000"/>
              </a:solidFill>
              <a:latin typeface="Palatino Linotype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6566E"/>
            </a:solidFill>
            <a:ln xmlns:a="http://schemas.openxmlformats.org/drawingml/2006/main">
              <a:prstDash val="solid"/>
            </a:ln>
          </spPr>
          <cat>
            <numRef>
              <f>'financial-summary'!$B$5:$G$5</f>
            </numRef>
          </cat>
          <val>
            <numRef>
              <f>'financial-summary'!$B$9:$G$9</f>
            </numRef>
          </val>
        </ser>
        <dLbls>
          <numFmt formatCode="$#,##0.0_);($#,##0.0);&quot;--&quot;"/>
          <txPr>
            <a:bodyPr xmlns:a="http://schemas.openxmlformats.org/drawingml/2006/main"/>
            <a:p xmlns:a="http://schemas.openxmlformats.org/drawingml/2006/main">
              <a:pPr>
                <a:defRPr sz="900">
                  <a:solidFill>
                    <a:srgbClr val="000000"/>
                  </a:solidFill>
                  <a:latin typeface="Palatino Linotype"/>
                </a:defRPr>
              </a:pPr>
              <a:r>
                <a:t>None</a:t>
              </a:r>
              <a:endParaRPr sz="900">
                <a:solidFill>
                  <a:srgbClr val="000000"/>
                </a:solidFill>
                <a:latin typeface="Palatino Linotype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000000"/>
                </a:solidFill>
                <a:latin typeface="Palatino Linotype"/>
              </a:defRPr>
            </a:pPr>
            <a:r>
              <a:t>None</a:t>
            </a:r>
            <a:endParaRPr sz="900">
              <a:solidFill>
                <a:srgbClr val="000000"/>
              </a:solidFill>
              <a:latin typeface="Palatino Linotype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"/>
          <y val="0.05"/>
          <w val="0.58"/>
          <h val="0.9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E213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6566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DB9C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4844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67171"/>
              </a:solidFill>
              <a:ln xmlns:a="http://schemas.openxmlformats.org/drawingml/2006/main">
                <a:prstDash val="solid"/>
              </a:ln>
            </spPr>
          </dPt>
          <dLbls>
            <numFmt formatCode="#,##0.0%_);(#,##0.0%);&quot;--&quot;"/>
            <txPr>
              <a:bodyPr xmlns:a="http://schemas.openxmlformats.org/drawingml/2006/main"/>
              <a:p xmlns:a="http://schemas.openxmlformats.org/drawingml/2006/main">
                <a:pPr>
                  <a:defRPr sz="900">
                    <a:solidFill>
                      <a:srgbClr val="FFFFFF"/>
                    </a:solidFill>
                    <a:latin typeface="Palatino Linotype"/>
                  </a:defRPr>
                </a:pPr>
                <a:r>
                  <a:t/>
                </a:r>
                <a:endParaRPr sz="900">
                  <a:solidFill>
                    <a:srgbClr val="FFFFFF"/>
                  </a:solidFill>
                  <a:latin typeface="Palatino Linotype"/>
                </a:endParaRPr>
              </a:p>
            </txPr>
            <dLblPos val="inEnd"/>
            <showLegendKey val="0"/>
            <showVal val="1"/>
            <showCatName val="0"/>
            <showSerName val="0"/>
            <showPercent val="0"/>
          </dLbls>
          <cat>
            <numRef>
              <f>'ltm-metrics'!$E$8:$E$12</f>
            </numRef>
          </cat>
          <val>
            <numRef>
              <f>'ltm-metrics'!$G$8:$G$12</f>
            </numRef>
          </val>
        </ser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61"/>
          <y val="0.02"/>
          <w val="0.38"/>
          <h val="0.96"/>
        </manualLayout>
      </layout>
      <overlay val="0"/>
      <txPr>
        <a:bodyPr xmlns:a="http://schemas.openxmlformats.org/drawingml/2006/main"/>
        <a:p xmlns:a="http://schemas.openxmlformats.org/drawingml/2006/main">
          <a:pPr>
            <a:defRPr sz="800">
              <a:solidFill>
                <a:srgbClr val="000000"/>
              </a:solidFill>
              <a:latin typeface="Palatino Linotype"/>
            </a:defRPr>
          </a:pPr>
          <a:r>
            <a:t/>
          </a:r>
          <a:endParaRPr sz="800">
            <a:solidFill>
              <a:srgbClr val="000000"/>
            </a:solidFill>
            <a:latin typeface="Palatino Linotype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Tate Wilson</author>
    <author>INFOR</author>
  </authors>
  <commentList>
    <comment ref="F7" authorId="0" shapeId="0">
      <text>
        <t>Tate Wilson:
=SPG("$"&amp;F5&amp;$F$4,"SP_PRICE_CLOSE",WORKDAY($F$6+1,-1),"Options: NA=NA")
Source: https://www.bankofcanada.ca/valet/observations/FXUSDCAD/json?start_date=2026-07-08 — retrieved 2026-07-16</t>
      </text>
    </comment>
    <comment ref="F16" authorId="0" shapeId="0">
      <text>
        <t>Tate Wilson:
=SPG($F$3,"SP_LASTSALEPRICE",$F$6,"Options:NA=NA,Curr="&amp;$F$5)
Source: https://www.google.com/finance/quote/PRL:TSE — retrieved 2026-07-16</t>
      </text>
    </comment>
    <comment ref="B52" authorId="1" shapeId="0">
      <text>
        <t>Propel Q1 2026 Interim Financial Statements - Page 21, Note 14: Share capital. Unlimited blank cheque preferred shares authorized; none issued and outstanding as at March 31, 2026.</t>
      </text>
    </comment>
    <comment ref="B53" authorId="1" shapeId="0">
      <text>
        <t>Propel Q1 2026 Interim Financial Statements - Page 1, Consolidated Statements of Financial Position. No non-controlling interest line; all equity attributable to shareholders of the Company.</t>
      </text>
    </comment>
    <comment ref="B57" authorId="1" shapeId="0">
      <text>
        <t>Propel Q1 2026 Interim Financial Statements - Page 22, Note 15: Stock-based compensation. 2,864,391 options outstanding at March 31, 2026 at weighted average exercise price of USD $12.11. Propel does not disclose a per-exercise-price tranche table in its filings, so the aggregate WAEP is used (single row). Original strike USD $12.11 converted to CAD by multiplying by F7 (CAD per USD).</t>
      </text>
    </comment>
    <comment ref="B58" authorId="1" shapeId="0">
      <text>
        <t>Propel Q1 2026 Interim Financial Statements - Page 23, Note 15: Stock-based compensation. 258,450 RSUs outstanding (granted Q1 2026 at WAP USD $14.07); accounted for as equity-settled share-based payments, vest over 3 years and are settled upon vesting. $0 strike.</t>
      </text>
    </comment>
    <comment ref="B59" authorId="1" shapeId="0">
      <text>
        <t>Propel Q1 2026 Interim Financial Statements - Page 23, Note 15: Stock-based compensation. 35,100 DSUs outstanding (granted Q1 2026 at WAP USD $14.07); equity-settled, settled after non-employee directors cease to be directors. $0 strike.</t>
      </text>
    </comment>
    <comment ref="B108" authorId="1" shapeId="0">
      <text>
        <t>Propel Q1 2026 Interim Financial Statements - Page 19, Note 12: Credit facilities. Drawn $6,100,000 as at March 31, 2026 + Subsequent event 2026-04-23: facility fully repaid and terminated per Note 19: Subsequent events (page 27) and Q1 2026 MD&amp;A; balance adjusted to $0.</t>
      </text>
    </comment>
    <comment ref="B109" authorId="1" shapeId="0">
      <text>
        <t>Propel Q1 2026 Interim Financial Statements - Page 19, Note 12: Credit facilities. Drawn $305,400,000 as at March 31, 2026; maximum borrowing base $333,425,791 (max facility $400M, SOFR + ~620 bps).</t>
      </text>
    </comment>
    <comment ref="B110" authorId="1" shapeId="0">
      <text>
        <t>Propel Q1 2026 Interim Financial Statements - Page 19, Note 12: Credit facilities. Drawn $13,954,466 as at March 31, 2026 + Subsequent event 2026-04-28: facility amended and upsized to C$40 million capacity, rate reduced ~200 bps, maturity May 30, 2028, per Note 19: Subsequent events (page 27); drawn balance unchanged.</t>
      </text>
    </comment>
    <comment ref="B111" authorId="1" shapeId="0">
      <text>
        <t>Propel Q1 2026 Interim Financial Statements - Page 19, Note 12: Credit facilities. Facility transaction costs of $(1,105,473) netted against total ending credit facilities of $324,348,993 (ties to balance sheet carrying value).</t>
      </text>
    </comment>
    <comment ref="B126" authorId="1" shapeId="0">
      <text>
        <t>Propel Q1 2026 Interim Financial Statements - Page 18, Note 10: Right-of-use assets and lease liabilities. Discounted lease liability carrying amount of $9,243,399 as at March 31, 2026 (single IFRS 16 balance; no current/non-current split disclosed).</t>
      </text>
    </comment>
    <comment ref="B147" authorId="1" shapeId="0">
      <text>
        <t>Propel Q1 2026 Interim Financial Statements - Page 1, Consolidated Statements of Financial Position. Cash of $29,003,623 as at March 31, 2026.</t>
      </text>
    </comment>
    <comment ref="B148" authorId="1" shapeId="0">
      <text>
        <t>Propel Q1 2026 Interim Financial Statements - Page 1, Consolidated Statements of Financial Position. Restricted cash of $36,387,979 as at March 31, 2026 (lender reserves and CSO/Bank Program collateral; redeemable when release stipulations met - Note 4).</t>
      </text>
    </comment>
    <comment ref="B149" authorId="1" shapeId="0">
      <text>
        <t>Propel Q1 2026 Interim Financial Statements - Page 1, Consolidated Statements of Financial Position + Subsequent event 2026-06-03: dividend of C$0.24 per common share declared May 4, 2026 (record date May 15, 2026), paid June 3, 2026; C$0.24 x 39,360,899 shares = C$9,446,616, converted to USD at F7, per Propel press release https://www.newswire.ca/news-releases/propel-reports-first-quarter-results-and-announces-dividend-increase-870176472.html (not in the filing's subsequent-events note).</t>
      </text>
    </comment>
    <comment ref="B150" authorId="1" shapeId="0">
      <text>
        <t>Propel Q1 2026 Interim Financial Statements - Page 19, Note 12: Credit facilities + Subsequent event 2026-04-23: full repayment of the $6,100,000 drawn MoneyKey Facility per Note 19: Subsequent events (page 27). Funding source not disclosed; assumed repaid from cash on hand, so cash is reduced to keep net debt consistent with the zeroed Section IV row - flagged for analyst review.</t>
      </text>
    </comment>
    <comment ref="B168" authorId="1" shapeId="0">
      <text>
        <t>Propel Q1 2026 Interim Financial Statements - Page 21, Note 14: Share capital. 39,360,899 common shares issued and outstanding as at March 31, 2026 (most recent date disclosed in the capital stock note; Q1 2026 MD&amp;A share capital section confirms same count). Q1 NCIB purchases of 12,000 shares already reflected.</t>
      </text>
    </comment>
  </commentList>
</comments>
</file>

<file path=xl/comments/comment2.xml><?xml version="1.0" encoding="utf-8"?>
<comments xmlns="http://schemas.openxmlformats.org/spreadsheetml/2006/main">
  <authors>
    <author>INFOR</author>
  </authors>
  <commentList>
    <comment ref="B6" authorId="0" shapeId="0">
      <text>
        <t>Source: FY2022 Annual Financial Statements (PRL-annual-financial-statements-FY2022.pdf), Consolidated Statements of Operations and Comprehensive Income</t>
      </text>
    </comment>
    <comment ref="C6" authorId="0" shapeId="0">
      <text>
        <t>Source: FY2022 Annual Financial Statements (PRL-annual-financial-statements-FY2022.pdf), Consolidated Statements of Operations and Comprehensive Income</t>
      </text>
    </comment>
    <comment ref="D6" authorId="0" shapeId="0">
      <text>
        <t>Source: FY2023 Annual Financial Statements (PRL-annual-financial-statements-FY2023.pdf), Consolidated Statements of Operations</t>
      </text>
    </comment>
    <comment ref="E6" authorId="0" shapeId="0">
      <text>
        <t>Source: FY2025 Annual Financial Statements (PRL-annual-financial-statements-FY2025.pdf), Consolidated Statements of Operations</t>
      </text>
    </comment>
    <comment ref="F6" authorId="0" shapeId="0">
      <text>
        <t>Source: FY2025 Annual Financial Statements (PRL-annual-financial-statements-FY2025.pdf), Consolidated Statements of Operations</t>
      </text>
    </comment>
    <comment ref="B7" authorId="0" shapeId="0">
      <text>
        <t>Source: Propel press release "Propel reports record results for Q4 and fiscal year 2022" (Business Wire, Mar 22, 2023), Reconciliation of Non-IFRS Financial Measures</t>
      </text>
    </comment>
    <comment ref="C7" authorId="0" shapeId="0">
      <text>
        <t>Source: Propel press release "Propel reports record results for Q4 and fiscal year 2022" (Business Wire, Mar 22, 2023), Reconciliation of Non-IFRS Financial Measures</t>
      </text>
    </comment>
    <comment ref="D7" authorId="0" shapeId="0">
      <text>
        <t>Source: Propel press release "Propel Reports Record Results for Q4 and Fiscal Year 2023" (Newswire, Mar 12, 2024), Reconciliation of Non-IFRS Financial Measures</t>
      </text>
    </comment>
    <comment ref="E7" authorId="0" shapeId="0">
      <text>
        <t>Source: FY2025 MD&amp;A (PRL-MDA-FY2025.pdf), Non-IFRS Financial Measures tables (Q4/FY 2025 vs 2024)</t>
      </text>
    </comment>
    <comment ref="F7" authorId="0" shapeId="0">
      <text>
        <t>Source: FY2025 MD&amp;A (PRL-MDA-FY2025.pdf), Non-IFRS Financial Measures tables (Q4/FY 2025 vs 2024)</t>
      </text>
    </comment>
    <comment ref="B8" authorId="0" shapeId="0">
      <text>
        <t>Source: FY2022 Annual Financial Statements (PRL-annual-financial-statements-FY2022.pdf), Consolidated Statements of Operations and Comprehensive Income</t>
      </text>
    </comment>
    <comment ref="C8" authorId="0" shapeId="0">
      <text>
        <t>Source: FY2022 Annual Financial Statements (PRL-annual-financial-statements-FY2022.pdf), Consolidated Statements of Operations and Comprehensive Income</t>
      </text>
    </comment>
    <comment ref="D8" authorId="0" shapeId="0">
      <text>
        <t>Source: FY2023 Annual Financial Statements (PRL-annual-financial-statements-FY2023.pdf), Consolidated Statements of Operations</t>
      </text>
    </comment>
    <comment ref="E8" authorId="0" shapeId="0">
      <text>
        <t>Source: FY2025 Annual Financial Statements (PRL-annual-financial-statements-FY2025.pdf), Consolidated Statements of Operations</t>
      </text>
    </comment>
    <comment ref="F8" authorId="0" shapeId="0">
      <text>
        <t>Source: FY2025 Annual Financial Statements (PRL-annual-financial-statements-FY2025.pdf), Consolidated Statements of Operations</t>
      </text>
    </comment>
    <comment ref="B9" authorId="0" shapeId="0">
      <text>
        <t>Source: Propel press release "Propel reports record results for Q4 and fiscal year 2022" (Business Wire, Mar 22, 2023), Reconciliation of Non-IFRS Financial Measures</t>
      </text>
    </comment>
    <comment ref="C9" authorId="0" shapeId="0">
      <text>
        <t>Source: Propel press release "Propel reports record results for Q4 and fiscal year 2022" (Business Wire, Mar 22, 2023), Reconciliation of Non-IFRS Financial Measures</t>
      </text>
    </comment>
    <comment ref="D9" authorId="0" shapeId="0">
      <text>
        <t>Source: Propel press release "Propel Reports Record Results for Q4 and Fiscal Year 2023" (Newswire, Mar 12, 2024), Reconciliation of Non-IFRS Financial Measures</t>
      </text>
    </comment>
    <comment ref="E9" authorId="0" shapeId="0">
      <text>
        <t>Source: FY2025 MD&amp;A (PRL-MDA-FY2025.pdf), Non-IFRS Financial Measures tables (Q4/FY 2025 vs 2024)</t>
      </text>
    </comment>
    <comment ref="F9" authorId="0" shapeId="0">
      <text>
        <t>Source: FY2025 MD&amp;A (PRL-MDA-FY2025.pdf), Non-IFRS Financial Measures tables (Q4/FY 2025 vs 2024)</t>
      </text>
    </comment>
    <comment ref="G9" authorId="0" shapeId="0">
      <text>
        <t>Source: Q1 2026 MD&amp;A (PRL-MDA-Q1-2026.pdf), Non-IFRS Financial Measures — Ending Combined Loan and Advance Balances as at March 31, 2026</t>
      </text>
    </comment>
  </commentList>
</comments>
</file>

<file path=xl/comments/comment3.xml><?xml version="1.0" encoding="utf-8"?>
<comments xmlns="http://schemas.openxmlformats.org/spreadsheetml/2006/main">
  <authors>
    <author>INFOR</author>
  </authors>
  <commentList>
    <comment ref="B8" authorId="0" shapeId="0">
      <text>
        <t>Source: LTM = FY2025 + Q1 2026 - Q1 2025: FY2025 MD&amp;A (Year Ended December 31, 2025), Revenue discussion - revenue by program table (Year ended December 31, 2025 vs 2024); Q1 2026 MD&amp;A (First Quarter Ended March 31, 2026), Revenue discussion - revenue by program table (Three months ended March 31, 2026 vs 2025)</t>
      </text>
    </comment>
    <comment ref="B9" authorId="0" shapeId="0">
      <text>
        <t>Source: LTM = FY2025 + Q1 2026 - Q1 2025: FY2025 MD&amp;A (Year Ended December 31, 2025), Revenue discussion - revenue by program table (Year ended December 31, 2025 vs 2024); Q1 2026 MD&amp;A (First Quarter Ended March 31, 2026), Revenue discussion - revenue by program table (Three months ended March 31, 2026 vs 2025)</t>
      </text>
    </comment>
    <comment ref="B10" authorId="0" shapeId="0">
      <text>
        <t>Source: LTM = FY2025 + Q1 2026 - Q1 2025: FY2025 MD&amp;A (Year Ended December 31, 2025), Revenue discussion - revenue by program table (Year ended December 31, 2025 vs 2024); Q1 2026 MD&amp;A (First Quarter Ended March 31, 2026), Revenue discussion - revenue by program table (Three months ended March 31, 2026 vs 2025)</t>
      </text>
    </comment>
    <comment ref="B11" authorId="0" shapeId="0">
      <text>
        <t>Source: LTM = FY2025 + Q1 2026 - Q1 2025: FY2025 MD&amp;A (Year Ended December 31, 2025), Revenue discussion - revenue by program table (Year ended December 31, 2025 vs 2024); Q1 2026 MD&amp;A (First Quarter Ended March 31, 2026), Revenue discussion - revenue by program table (Three months ended March 31, 2026 vs 2025)</t>
      </text>
    </comment>
    <comment ref="B12" authorId="0" shapeId="0">
      <text>
        <t>Source: LTM = FY2025 + Q1 2026 - Q1 2025: FY2025 MD&amp;A (Year Ended December 31, 2025), Revenue discussion - revenue by program table (Year ended December 31, 2025 vs 2024); Q1 2026 MD&amp;A (First Quarter Ended March 31, 2026), Revenue discussion - revenue by program table (Three months ended March 31, 2026 vs 2025)</t>
      </text>
    </comment>
    <comment ref="B13" authorId="0" shapeId="0">
      <text>
        <t>Source: LTM = FY2025 + Q1 2026 - Q1 2025: FY2025 MD&amp;A (Year Ended December 31, 2025), Revenue discussion - revenue by program table (Year ended December 31, 2025 vs 2024); Q1 2026 MD&amp;A (First Quarter Ended March 31, 2026), Revenue discussion - revenue by program table (Three months ended March 31, 2026 vs 2025)</t>
      </text>
    </comment>
    <comment ref="B14" authorId="0" shapeId="0">
      <text>
        <t>Source: LTM = FY2025 + Q1 2026 - Q1 2025: FY2025 MD&amp;A (Year Ended December 31, 2025), Revenue discussion - revenue by program table (Year ended December 31, 2025 vs 2024); Q1 2026 MD&amp;A (First Quarter Ended March 31, 2026), Revenue discussion - revenue by program table (Three months ended March 31, 2026 vs 2025)</t>
      </text>
    </comment>
    <comment ref="B19" authorId="0" shapeId="0">
      <text>
        <t>Source: FY2025 MD&amp;A (Year Ended December 31, 2025), Selected Financial Information / Consolidated Statements of Operations</t>
      </text>
    </comment>
    <comment ref="B20" authorId="0" shapeId="0">
      <text>
        <t>Source: Q1 2026 MD&amp;A (First Quarter Ended March 31, 2026), Consolidated Statements of Operations summary</t>
      </text>
    </comment>
    <comment ref="B21" authorId="0" shapeId="0">
      <text>
        <t>Source: Q1 2026 MD&amp;A (First Quarter Ended March 31, 2026), comparative prior-year period (three months ended March 31, 2025)</t>
      </text>
    </comment>
    <comment ref="B26" authorId="0" shapeId="0">
      <text>
        <t>Source: FY2025 MD&amp;A (Year Ended December 31, 2025), Adjusted EBITDA reconciliation</t>
      </text>
    </comment>
    <comment ref="B27" authorId="0" shapeId="0">
      <text>
        <t>Source: Q1 2026 MD&amp;A (First Quarter Ended March 31, 2026), Adjusted EBITDA reconciliation</t>
      </text>
    </comment>
    <comment ref="B28" authorId="0" shapeId="0">
      <text>
        <t>Source: Q1 2026 MD&amp;A (First Quarter Ended March 31, 2026), Adjusted EBITDA reconciliation, comparative prior-year period</t>
      </text>
    </comment>
    <comment ref="B33" authorId="0" shapeId="0">
      <text>
        <t>Source: FY2025 MD&amp;A (Year Ended December 31, 2025), Selected Financial Information / Consolidated Statements of Operations</t>
      </text>
    </comment>
    <comment ref="B34" authorId="0" shapeId="0">
      <text>
        <t>Source: Q1 2026 MD&amp;A (First Quarter Ended March 31, 2026), Consolidated Statements of Operations summary</t>
      </text>
    </comment>
    <comment ref="B35" authorId="0" shapeId="0">
      <text>
        <t>Source: Q1 2026 MD&amp;A (First Quarter Ended March 31, 2026), comparative prior-year period (three months ended March 31, 2025)</t>
      </text>
    </comment>
  </commentList>
</comments>
</file>

<file path=xl/comments/comment4.xml><?xml version="1.0" encoding="utf-8"?>
<comments xmlns="http://schemas.openxmlformats.org/spreadsheetml/2006/main">
  <authors>
    <author>INFOR</author>
  </authors>
  <commentList>
    <comment ref="F35" authorId="0" shapeId="0">
      <text>
        <t>Total basic shares outstanding (full units) - from the companion cap table.</t>
      </text>
    </comment>
    <comment ref="H68" authorId="0" shapeId="0">
      <text>
        <t>Excluded by the ownership skill (analyst/agent override).</t>
      </text>
    </comment>
    <comment ref="H69" authorId="0" shapeId="0">
      <text>
        <t>Excluded - duplicate of SEDI insider 'Kinross, Clive'; the SEDI figure (Select Insiders block) is kept.</t>
      </text>
    </comment>
    <comment ref="H70" authorId="0" shapeId="0">
      <text>
        <t>Excluded - duplicate of SEDI insider 'Buchman, Noah'; the SEDI figure (Select Insiders block) is kept.</t>
      </text>
    </comment>
    <comment ref="H71" authorId="0" shapeId="0">
      <text>
        <t>Excluded by the ownership skill (analyst/agent override).</t>
      </text>
    </comment>
    <comment ref="H72" authorId="0" shapeId="0">
      <text>
        <t>Excluded - duplicate of SEDI insider 'Goler, Jonathan Ari'; the SEDI figure (Select Insiders block) is kept.</t>
      </text>
    </comment>
    <comment ref="H73" authorId="0" shapeId="0">
      <text>
        <t>Excluded - duplicate of SEDI insider 'Saidakovsky, Sheldon'; the SEDI figure (Select Insiders block) is kept.</t>
      </text>
    </comment>
    <comment ref="H75" authorId="0" shapeId="0">
      <text>
        <t>Excluded - duplicate of SEDI insider 'Vaghela, Jay'; the SEDI figure (Select Insiders block) is kept.</t>
      </text>
    </comment>
    <comment ref="H79" authorId="0" shapeId="0">
      <text>
        <t>Excluded - duplicate of SEDI insider 'Stein, Michael'; the SEDI figure (Select Insiders block) is kept.</t>
      </text>
    </comment>
    <comment ref="H85" authorId="0" shapeId="0">
      <text>
        <t>Excluded - duplicate of SEDI insider 'Anderson, Peter W.'; the SEDI figure (Select Insiders block) is kept.</t>
      </text>
    </comment>
    <comment ref="H87" authorId="0" shapeId="0">
      <text>
        <t>Excluded - duplicate of SEDI insider 'Ahluwalia, Sarika'; the SEDI figure (Select Insiders block) is kept.</t>
      </text>
    </comment>
    <comment ref="H88" authorId="0" shapeId="0">
      <text>
        <t>Excluded - duplicate of SEDI insider 'Sherk, Bradley'; the SEDI figure (Select Insiders block) is kept.</t>
      </text>
    </comment>
    <comment ref="H90" authorId="0" shapeId="0">
      <text>
        <t>Excluded - duplicate of SEDI insider 'Krauklis, Jonathan'; the SEDI figure (Select Insiders block) is kept.</t>
      </text>
    </comment>
    <comment ref="H97" authorId="0" shapeId="0">
      <text>
        <t>Excluded by the ownership skill (analyst/agent override).</t>
      </text>
    </comment>
    <comment ref="H98" authorId="0" shapeId="0">
      <text>
        <t>Excluded - duplicate of SEDI insider 'Martin, Karen Lynne'; the SEDI figure (Select Insiders block) is kept.</t>
      </text>
    </comment>
    <comment ref="H102" authorId="0" shapeId="0">
      <text>
        <t>Excluded - duplicate of SEDI insider 'Puri, Poonam'; the SEDI figure (Select Insiders block) is kept.</t>
      </text>
    </comment>
    <comment ref="H117" authorId="0" shapeId="0">
      <text>
        <t>Excluded - duplicate of SEDI insider 'Edelstein, Gary'; the SEDI figure (Select Insiders block) is kept.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4142232" cy="2295144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10</row>
      <rowOff>0</rowOff>
    </from>
    <ext cx="4142232" cy="2295144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4142232" cy="2295144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26</row>
      <rowOff>0</rowOff>
    </from>
    <ext cx="4142232" cy="2295144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4123943" cy="1618488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INFORFG">
  <a:themeElements>
    <a:clrScheme name="INFOR (New)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E213F"/>
      </a:accent1>
      <a:accent2>
        <a:srgbClr val="46566E"/>
      </a:accent2>
      <a:accent3>
        <a:srgbClr val="ADB9CA"/>
      </a:accent3>
      <a:accent4>
        <a:srgbClr val="A4844B"/>
      </a:accent4>
      <a:accent5>
        <a:srgbClr val="767171"/>
      </a:accent5>
      <a:accent6>
        <a:srgbClr val="E5E3E3"/>
      </a:accent6>
      <a:hlink>
        <a:srgbClr val="800000"/>
      </a:hlink>
      <a:folHlink>
        <a:srgbClr val="333300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849399/000114036124048857/ny20039778x1_ex99-01.htm" TargetMode="External" Id="rId1"/><Relationship Type="http://schemas.openxmlformats.org/officeDocument/2006/relationships/hyperlink" Target="https://www.sec.gov/Archives/edgar/data/1807846/000121390024095174/ea022008801ex99-1_money.htm" TargetMode="External" Id="rId2"/><Relationship Type="http://schemas.openxmlformats.org/officeDocument/2006/relationships/hyperlink" Target="https://www.newswire.ca/news-releases/propel-to-accelerate-global-expansion-with-the-acquisition-of-quidmarket-for-us-71-million-and-announces-concurrent-c-100-million-bought-deal-offering-of-subscription-receipts-812756779.html" TargetMode="External" Id="rId3"/><Relationship Type="http://schemas.openxmlformats.org/officeDocument/2006/relationships/hyperlink" Target="https://www.newswire.ca/news-releases/propel-to-accelerate-global-expansion-with-the-acquisition-of-quidmarket-for-us-71-million-and-announces-concurrent-c-100-million-bought-deal-offering-of-subscription-receipts-812756779.html" TargetMode="External" Id="rId4"/><Relationship Type="http://schemas.openxmlformats.org/officeDocument/2006/relationships/hyperlink" Target="https://www.businesswire.com/news/home/20221116006003/en/Elevate-to-be-Acquired-by-Park-Cities-Asset-Management" TargetMode="External" Id="rId5"/><Relationship Type="http://schemas.openxmlformats.org/officeDocument/2006/relationships/hyperlink" Target="https://www.sec.gov/Archives/edgar/data/1651094/000165109422000055/a991-09x2022earningsrelease.htm" TargetMode="External" Id="rId6"/><Relationship Type="http://schemas.openxmlformats.org/officeDocument/2006/relationships/hyperlink" Target="https://www.globenewswire.com/news-release/2021/04/12/2208574/0/en/goeasy-Ltd-Announces-Acquisition-of-LendCare-for-320-Million-and-Concurrent-130-Million-Bought-Deal-Equity-Offering-of-Subscription-Receipts.html" TargetMode="External" Id="rId7"/><Relationship Type="http://schemas.openxmlformats.org/officeDocument/2006/relationships/hyperlink" Target="https://www.globenewswire.com/news-release/2021/04/12/2208574/0/en/goeasy-Ltd-Announces-Acquisition-of-LendCare-for-320-Million-and-Concurrent-130-Million-Bought-Deal-Equity-Offering-of-Subscription-Receipts.html" TargetMode="External" Id="rId8"/><Relationship Type="http://schemas.openxmlformats.org/officeDocument/2006/relationships/hyperlink" Target="https://www.prnewswire.com/news-releases/opportunity-financial-oppfi-a-leading-fintech-platform-powering-credit-access-for-the-everyday-consumer-enters-into-definitive-business-combination-agreement-with-fg-new-america-acquisition-corp-301225844.html" TargetMode="External" Id="rId9"/><Relationship Type="http://schemas.openxmlformats.org/officeDocument/2006/relationships/hyperlink" Target="https://www.prnewswire.com/news-releases/opportunity-financial-oppfi-a-leading-fintech-platform-powering-credit-access-for-the-everyday-consumer-enters-into-definitive-business-combination-agreement-with-fg-new-america-acquisition-corp-301225844.html" TargetMode="External" Id="rId10"/><Relationship Type="http://schemas.openxmlformats.org/officeDocument/2006/relationships/hyperlink" Target="https://www.prnewswire.com/news-releases/enova-to-acquire-ondeck-to-create-a-leading-fintech-company-serving-consumers-and-small-businesses-301101550.html" TargetMode="External" Id="rId11"/><Relationship Type="http://schemas.openxmlformats.org/officeDocument/2006/relationships/hyperlink" Target="https://www.sec.gov/Archives/edgar/data/1420811/000142081120000122/ondkearningsrelease202.htm" TargetMode="External" Id="rId12"/><Relationship Type="http://schemas.openxmlformats.org/officeDocument/2006/relationships/hyperlink" Target="https://www.firstnational.ca/investor-relations/news-releases/news-article/2025/07/27/first-national-financial-corporation-agrees-to-be-acquired-by-birch-hill-equity-partners-and-brookfield--with-existing-shareholders-stephen-smith-and-moray-tawse" TargetMode="External" Id="rId13"/><Relationship Type="http://schemas.openxmlformats.org/officeDocument/2006/relationships/hyperlink" Target="https://www.newswire.ca/news-releases/first-national-financial-corporation-reports-fourth-quarter-annual-2024-financial-results-817929427.html" TargetMode="External" Id="rId14"/><Relationship Type="http://schemas.openxmlformats.org/officeDocument/2006/relationships/hyperlink" Target="https://www.theglobeandmail.com/business/article-national-bank-unveils-offer-to-buy-canadian-western-bank-in-deal/" TargetMode="External" Id="rId15"/><Relationship Type="http://schemas.openxmlformats.org/officeDocument/2006/relationships/hyperlink" Target="https://www.newswire.ca/news-releases/cwb-reports-second-quarter-2024-performance-867648804.html" TargetMode="External" Id="rId16"/><Relationship Type="http://schemas.openxmlformats.org/officeDocument/2006/relationships/hyperlink" Target="https://www.newswire.ca/news-releases/rbc-to-strengthen-premium-canadian-business-with-agreement-to-acquire-hsbc-canada-893378623.html" TargetMode="External" Id="rId17"/><Relationship Type="http://schemas.openxmlformats.org/officeDocument/2006/relationships/hyperlink" Target="https://www.newswire.ca/news-releases/rbc-to-strengthen-premium-canadian-business-with-agreement-to-acquire-hsbc-canada-893378623.html" TargetMode="External" Id="rId18"/><Relationship Type="http://schemas.openxmlformats.org/officeDocument/2006/relationships/hyperlink" Target="https://www.businesswire.com/news/home/20221121005258/en/Home-Capital-Signs-Definitive-Agreement-to-Be-Acquired-by-Smith-Financial-Corporation" TargetMode="External" Id="rId19"/><Relationship Type="http://schemas.openxmlformats.org/officeDocument/2006/relationships/hyperlink" Target="https://www.businesswire.com/news/home/20220217005398/en/Home-Capital-Reports-Fourth-Quarter-and-Full-Year-2021-Results" TargetMode="External" Id="rId20"/><Relationship Type="http://schemas.openxmlformats.org/officeDocument/2006/relationships/hyperlink" Target="https://www.businesswire.com/news/home/20221108005386/en/Home-Capital-Reports-Third-Quarter-2022-Results" TargetMode="External" Id="rId21"/><Relationship Type="http://schemas.openxmlformats.org/officeDocument/2006/relationships/hyperlink" Target="https://eqb.investorroom.com/2022-11-01-Equitable-Bank-completes-acquisition-of-Concentra-Bank" TargetMode="External" Id="rId22"/><Relationship Type="http://schemas.openxmlformats.org/officeDocument/2006/relationships/hyperlink" Target="https://eqb.investorroom.com/2022-11-01-Equitable-Bank-completes-acquisition-of-Concentra-Bank" TargetMode="External" Id="rId23"/><Relationship Type="http://schemas.openxmlformats.org/officeDocument/2006/relationships/hyperlink" Target="https://www.prnewswire.com/news-releases/cms-energy-announces-the-strategic-sale-of-enerbank-usa-to-regions-bank-for-960-million-301307888.html" TargetMode="External" Id="rId24"/><Relationship Type="http://schemas.openxmlformats.org/officeDocument/2006/relationships/hyperlink" Target="https://s202.q4cdn.com/476346942/files/doc_presentation/2021/06/Regions-Bank-to-Acquire-EnerBank-USA.pdf" TargetMode="External" Id="rId2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19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.69" customWidth="1" style="355" min="1" max="1"/>
    <col width="14.67" customWidth="1" style="355" min="2" max="2"/>
    <col width="14.67" customWidth="1" style="355" min="6" max="6"/>
    <col width="2.69" customWidth="1" style="355" min="7" max="7"/>
    <col width="8.84" customWidth="1" style="355" min="8" max="9"/>
    <col width="8.84" customWidth="1" style="355" min="17" max="18"/>
  </cols>
  <sheetData>
    <row r="1" ht="13.5" customHeight="1" s="356">
      <c r="A1" s="357" t="inlineStr">
        <is>
          <t xml:space="preserve"> </t>
        </is>
      </c>
      <c r="B1" s="358" t="n"/>
      <c r="C1" s="359" t="n"/>
      <c r="G1" s="357" t="inlineStr">
        <is>
          <t xml:space="preserve"> </t>
        </is>
      </c>
      <c r="H1" s="360" t="n"/>
    </row>
    <row r="2" ht="18" customHeight="1" s="356">
      <c r="B2" s="361" t="inlineStr">
        <is>
          <t>Name:</t>
        </is>
      </c>
      <c r="C2" s="362" t="n"/>
      <c r="D2" s="362" t="n"/>
      <c r="E2" s="362" t="n"/>
      <c r="F2" s="363">
        <f t="array" ref="F2:F2">_xll.snl.clients.office.excel.functions.spg($F$3,"SP_COMPANY_NAME")</f>
        <v/>
      </c>
      <c r="Q2" s="357" t="n"/>
    </row>
    <row r="3" ht="18" customHeight="1" s="356">
      <c r="B3" s="364" t="inlineStr">
        <is>
          <t>Ticker:</t>
        </is>
      </c>
      <c r="C3" s="365" t="n"/>
      <c r="D3" s="365" t="n"/>
      <c r="E3" s="365" t="n"/>
      <c r="F3" s="366" t="inlineStr">
        <is>
          <t>TSX:PRL</t>
        </is>
      </c>
      <c r="Q3" s="357" t="n"/>
    </row>
    <row r="4" ht="18" customHeight="1" s="356">
      <c r="B4" s="364" t="inlineStr">
        <is>
          <t>Input Currency:</t>
        </is>
      </c>
      <c r="C4" s="365" t="n"/>
      <c r="D4" s="365" t="n"/>
      <c r="E4" s="365" t="n"/>
      <c r="F4" s="367">
        <f t="array" ref="F4:F4">_xll.snl.clients.office.excel.functions.spg($F$3,"IQ_CURRENCY_FINANCIALS","FY0",$F$6,"Options: NA=NA")</f>
        <v/>
      </c>
      <c r="Q4" s="357" t="n"/>
    </row>
    <row r="5" ht="18" customHeight="1" s="356">
      <c r="B5" s="364" t="inlineStr">
        <is>
          <t>Output Currency:</t>
        </is>
      </c>
      <c r="C5" s="365" t="n"/>
      <c r="D5" s="365" t="n"/>
      <c r="E5" s="365" t="n"/>
      <c r="F5" s="368" t="inlineStr">
        <is>
          <t>CAD</t>
        </is>
      </c>
      <c r="Q5" s="357" t="n"/>
    </row>
    <row r="6" ht="18" customHeight="1" s="356">
      <c r="B6" s="364" t="inlineStr">
        <is>
          <t>Date:</t>
        </is>
      </c>
      <c r="C6" s="365" t="n"/>
      <c r="D6" s="365" t="n"/>
      <c r="E6" s="365" t="n"/>
      <c r="F6" s="369">
        <f>TODAY()-1</f>
        <v/>
      </c>
      <c r="Q6" s="357" t="n"/>
    </row>
    <row r="7" ht="18" customHeight="1" s="356">
      <c r="B7" s="364" t="inlineStr">
        <is>
          <t>FX Rate:</t>
        </is>
      </c>
      <c r="C7" s="365" t="n"/>
      <c r="D7" s="365" t="n"/>
      <c r="E7" s="365" t="n"/>
      <c r="F7" s="370" t="n">
        <v>1.4067</v>
      </c>
      <c r="I7" s="371" t="n"/>
      <c r="J7" s="372" t="n"/>
      <c r="Q7" s="357" t="n"/>
    </row>
    <row r="8" ht="3" customHeight="1" s="356">
      <c r="B8" s="373" t="n"/>
      <c r="F8" s="374" t="n"/>
      <c r="I8" s="371" t="n"/>
      <c r="J8" s="372" t="n"/>
      <c r="Q8" s="357" t="n"/>
    </row>
    <row r="9" ht="18" customHeight="1" s="356">
      <c r="B9" s="375" t="inlineStr">
        <is>
          <t>Toggles</t>
        </is>
      </c>
      <c r="C9" s="376" t="n"/>
      <c r="D9" s="376" t="n"/>
      <c r="E9" s="376" t="n"/>
      <c r="F9" s="374" t="n"/>
      <c r="I9" s="371" t="n"/>
      <c r="J9" s="372" t="n"/>
      <c r="Q9" s="357" t="n"/>
    </row>
    <row r="10" ht="18" customHeight="1" s="356">
      <c r="B10" s="377" t="inlineStr">
        <is>
          <t>Dilutives Method:</t>
        </is>
      </c>
      <c r="F10" s="378" t="inlineStr">
        <is>
          <t>Treasury Stock</t>
        </is>
      </c>
      <c r="I10" s="371" t="n"/>
      <c r="J10" s="372" t="n"/>
      <c r="Q10" s="357" t="n"/>
    </row>
    <row r="11" ht="18" customHeight="1" s="356">
      <c r="B11" s="379" t="inlineStr">
        <is>
          <t>Lease Toggle:</t>
        </is>
      </c>
      <c r="C11" s="380" t="n"/>
      <c r="D11" s="380" t="n"/>
      <c r="E11" s="380" t="n"/>
      <c r="F11" s="381" t="inlineStr">
        <is>
          <t>ON</t>
        </is>
      </c>
      <c r="I11" s="371" t="n"/>
      <c r="J11" s="372" t="n"/>
      <c r="Q11" s="357" t="n"/>
    </row>
    <row r="12" ht="18" customHeight="1" s="356">
      <c r="B12" s="365" t="n"/>
      <c r="F12" s="382" t="n"/>
      <c r="I12" s="371" t="n"/>
      <c r="J12" s="372" t="n"/>
      <c r="Q12" s="357" t="n"/>
    </row>
    <row r="13" ht="18" customHeight="1" s="356">
      <c r="B13" s="383">
        <f>F2&amp;" Cap Table"</f>
        <v/>
      </c>
      <c r="C13" s="384" t="n"/>
      <c r="D13" s="384" t="n"/>
      <c r="E13" s="384" t="n"/>
      <c r="F13" s="384" t="n"/>
      <c r="Q13" s="357" t="n"/>
    </row>
    <row r="14" ht="3" customHeight="1" s="356">
      <c r="B14" s="385" t="n"/>
      <c r="C14" s="385" t="n"/>
      <c r="D14" s="385" t="n"/>
      <c r="E14" s="385" t="n"/>
      <c r="F14" s="386" t="n"/>
      <c r="Q14" s="357" t="n"/>
    </row>
    <row r="15" ht="18" customHeight="1" s="356">
      <c r="B15" s="387" t="inlineStr">
        <is>
          <t>Company Ticker:</t>
        </is>
      </c>
      <c r="F15" s="388">
        <f>F3</f>
        <v/>
      </c>
      <c r="Q15" s="357" t="n"/>
    </row>
    <row r="16" ht="18" customHeight="1" s="356">
      <c r="B16" s="387">
        <f>CONCATENATE("Share Price (",TEXT(F6,"dd-mmm-yy"),")")</f>
        <v/>
      </c>
      <c r="F16" s="389" t="n">
        <v>25.44</v>
      </c>
      <c r="Q16" s="357" t="n"/>
    </row>
    <row r="17" ht="18" customHeight="1" s="356">
      <c r="B17" s="390" t="inlineStr">
        <is>
          <t>Basic Shares Outstanding</t>
        </is>
      </c>
      <c r="F17" s="391">
        <f>F186</f>
        <v/>
      </c>
    </row>
    <row r="18" ht="18" customHeight="1" s="356">
      <c r="B18" s="392" t="inlineStr">
        <is>
          <t>Basic Market Cap</t>
        </is>
      </c>
      <c r="C18" s="393" t="n"/>
      <c r="D18" s="393" t="n"/>
      <c r="E18" s="393" t="n"/>
      <c r="F18" s="394">
        <f>F16*F17</f>
        <v/>
      </c>
      <c r="I18" s="395" t="n"/>
      <c r="J18" s="395" t="n"/>
      <c r="K18" s="395" t="n"/>
      <c r="L18" s="395" t="n"/>
      <c r="M18" s="395" t="n"/>
      <c r="N18" s="395" t="n"/>
      <c r="O18" s="395" t="n"/>
      <c r="P18" s="395" t="n"/>
      <c r="Q18" s="396" t="n"/>
    </row>
    <row r="19" ht="18" customHeight="1" s="356">
      <c r="B19" s="390">
        <f>IF(F10="Treasury Stock","Net","")&amp;" ITM Dilutive Securities"</f>
        <v/>
      </c>
      <c r="F19" s="391">
        <f>IF(F10="Treasury Stock",F86,F84)</f>
        <v/>
      </c>
    </row>
    <row r="20" ht="18" customHeight="1" s="356">
      <c r="B20" s="390" t="inlineStr">
        <is>
          <t>ITM Convertible Debentures</t>
        </is>
      </c>
      <c r="F20" s="391">
        <f>F104</f>
        <v/>
      </c>
    </row>
    <row r="21" ht="18" customHeight="1" s="356">
      <c r="B21" s="392" t="inlineStr">
        <is>
          <t>Fully-Diluted Shares Outstanding</t>
        </is>
      </c>
      <c r="C21" s="393" t="n"/>
      <c r="D21" s="393" t="n"/>
      <c r="E21" s="393" t="n"/>
      <c r="F21" s="397">
        <f>F17+F19+F20</f>
        <v/>
      </c>
      <c r="I21" s="395" t="n"/>
      <c r="J21" s="395" t="n"/>
      <c r="K21" s="395" t="n"/>
      <c r="L21" s="395" t="n"/>
      <c r="M21" s="395" t="n"/>
      <c r="N21" s="395" t="n"/>
      <c r="O21" s="395" t="n"/>
      <c r="P21" s="395" t="n"/>
      <c r="Q21" s="396" t="n"/>
    </row>
    <row r="22" ht="18" customHeight="1" s="356">
      <c r="B22" s="398" t="inlineStr">
        <is>
          <t>Fully-Diluted Market Cap</t>
        </is>
      </c>
      <c r="C22" s="399" t="n"/>
      <c r="D22" s="399" t="n"/>
      <c r="E22" s="399" t="n"/>
      <c r="F22" s="400">
        <f>F16*F21</f>
        <v/>
      </c>
      <c r="H22" s="401" t="n"/>
      <c r="I22" s="395" t="n"/>
      <c r="J22" s="395" t="n"/>
      <c r="K22" s="395" t="n"/>
      <c r="L22" s="395" t="n"/>
      <c r="M22" s="395" t="n"/>
      <c r="N22" s="395" t="n"/>
      <c r="O22" s="395" t="n"/>
      <c r="P22" s="395" t="n"/>
      <c r="Q22" s="396" t="n"/>
    </row>
    <row r="23" ht="3" customHeight="1" s="356">
      <c r="B23" s="387" t="n"/>
      <c r="F23" s="388" t="n"/>
      <c r="I23" s="395" t="n"/>
      <c r="J23" s="395" t="n"/>
      <c r="K23" s="395" t="n"/>
      <c r="L23" s="395" t="n"/>
      <c r="M23" s="395" t="n"/>
      <c r="N23" s="395" t="n"/>
      <c r="O23" s="395" t="n"/>
      <c r="P23" s="395" t="n"/>
      <c r="Q23" s="396" t="n"/>
    </row>
    <row r="24" ht="18" customHeight="1" s="356">
      <c r="B24" s="390" t="inlineStr">
        <is>
          <t>Add: Debt</t>
        </is>
      </c>
      <c r="F24" s="402">
        <f>F122*F7</f>
        <v/>
      </c>
      <c r="I24" s="395" t="n"/>
      <c r="J24" s="395" t="n"/>
      <c r="K24" s="395" t="n"/>
      <c r="L24" s="395" t="n"/>
      <c r="M24" s="395" t="n"/>
      <c r="N24" s="395" t="n"/>
      <c r="O24" s="395" t="n"/>
      <c r="P24" s="395" t="n"/>
      <c r="Q24" s="396" t="n"/>
    </row>
    <row r="25" ht="18" customHeight="1" s="356">
      <c r="B25" s="390" t="inlineStr">
        <is>
          <t>Add: Leases</t>
        </is>
      </c>
      <c r="F25" s="402">
        <f>IF($F$11="ON",$F$143,0)*F7</f>
        <v/>
      </c>
      <c r="I25" s="395" t="n"/>
      <c r="J25" s="395" t="n"/>
      <c r="K25" s="395" t="n"/>
      <c r="L25" s="395" t="n"/>
      <c r="M25" s="395" t="n"/>
      <c r="N25" s="395" t="n"/>
      <c r="O25" s="395" t="n"/>
      <c r="P25" s="395" t="n"/>
      <c r="Q25" s="396" t="n"/>
    </row>
    <row r="26" ht="18" customHeight="1" s="356">
      <c r="B26" s="390" t="inlineStr">
        <is>
          <t>Less: Cash</t>
        </is>
      </c>
      <c r="F26" s="402">
        <f>-F164*F7</f>
        <v/>
      </c>
      <c r="I26" s="395" t="n"/>
      <c r="J26" s="395" t="n"/>
      <c r="K26" s="395" t="n"/>
      <c r="L26" s="395" t="n"/>
      <c r="M26" s="395" t="n"/>
      <c r="N26" s="395" t="n"/>
      <c r="O26" s="395" t="n"/>
      <c r="P26" s="395" t="n"/>
      <c r="Q26" s="396" t="n"/>
    </row>
    <row r="27" ht="18" customHeight="1" s="356">
      <c r="B27" s="390" t="inlineStr">
        <is>
          <t>Less: Cash from ITM Proceeds</t>
        </is>
      </c>
      <c r="F27" s="402">
        <f>IF(F10="Treasury Stock",0,-F82)*F7</f>
        <v/>
      </c>
      <c r="I27" s="395" t="n"/>
      <c r="J27" s="395" t="n"/>
      <c r="K27" s="395" t="n"/>
      <c r="L27" s="395" t="n"/>
      <c r="M27" s="395" t="n"/>
      <c r="N27" s="395" t="n"/>
      <c r="O27" s="395" t="n"/>
      <c r="P27" s="395" t="n"/>
      <c r="Q27" s="396" t="n"/>
    </row>
    <row r="28" ht="18" customHeight="1" s="356">
      <c r="B28" s="403" t="inlineStr">
        <is>
          <t>Net Debt</t>
        </is>
      </c>
      <c r="C28" s="404" t="n"/>
      <c r="D28" s="404" t="n"/>
      <c r="E28" s="404" t="n"/>
      <c r="F28" s="405">
        <f>F24+F25+F26+F27</f>
        <v/>
      </c>
      <c r="I28" s="395" t="n"/>
      <c r="J28" s="395" t="n"/>
      <c r="K28" s="395" t="n"/>
      <c r="L28" s="395" t="n"/>
      <c r="M28" s="395" t="n"/>
      <c r="N28" s="395" t="n"/>
      <c r="O28" s="395" t="n"/>
      <c r="P28" s="395" t="n"/>
      <c r="Q28" s="396" t="n"/>
    </row>
    <row r="29" ht="18" customHeight="1" s="356">
      <c r="B29" s="406" t="inlineStr">
        <is>
          <t>Preferred Shares</t>
        </is>
      </c>
      <c r="C29" s="407" t="n"/>
      <c r="D29" s="407" t="n"/>
      <c r="E29" s="408" t="n"/>
      <c r="F29" s="409">
        <f>+$F$52*F7</f>
        <v/>
      </c>
      <c r="G29" s="357" t="n"/>
      <c r="H29" s="360" t="n"/>
      <c r="I29" s="357" t="n"/>
      <c r="J29" s="357" t="n"/>
      <c r="K29" s="357" t="n"/>
      <c r="L29" s="357" t="n"/>
      <c r="M29" s="357" t="n"/>
      <c r="N29" s="357" t="n"/>
      <c r="O29" s="357" t="n"/>
      <c r="P29" s="357" t="n"/>
      <c r="Q29" s="357" t="n"/>
    </row>
    <row r="30" ht="18" customHeight="1" s="356">
      <c r="B30" s="410" t="inlineStr">
        <is>
          <t>Non-Controlling Interest</t>
        </is>
      </c>
      <c r="C30" s="411" t="n"/>
      <c r="D30" s="411" t="n"/>
      <c r="E30" s="412" t="n"/>
      <c r="F30" s="409">
        <f>+$F$53*F7</f>
        <v/>
      </c>
      <c r="G30" s="357" t="n"/>
      <c r="H30" s="360" t="n"/>
      <c r="I30" s="357" t="n"/>
      <c r="J30" s="357" t="n"/>
      <c r="K30" s="357" t="n"/>
      <c r="L30" s="357" t="n"/>
      <c r="M30" s="357" t="n"/>
      <c r="N30" s="357" t="n"/>
      <c r="O30" s="357" t="n"/>
      <c r="P30" s="357" t="n"/>
      <c r="Q30" s="357" t="n"/>
    </row>
    <row r="31" ht="18" customHeight="1" s="356">
      <c r="B31" s="398" t="inlineStr">
        <is>
          <t>Enterprise Value</t>
        </is>
      </c>
      <c r="C31" s="399" t="n"/>
      <c r="D31" s="399" t="n"/>
      <c r="E31" s="399" t="n"/>
      <c r="F31" s="400">
        <f>F22+F28+F29+F30</f>
        <v/>
      </c>
      <c r="I31" s="395" t="n"/>
      <c r="J31" s="395" t="n"/>
      <c r="K31" s="395" t="n"/>
      <c r="L31" s="395" t="n"/>
      <c r="M31" s="395" t="n"/>
      <c r="N31" s="395" t="n"/>
      <c r="O31" s="395" t="n"/>
      <c r="P31" s="395" t="n"/>
      <c r="Q31" s="396" t="n"/>
    </row>
    <row r="32" ht="18" customHeight="1" s="356">
      <c r="B32" s="413" t="n"/>
      <c r="C32" s="414" t="n"/>
      <c r="D32" s="415" t="n"/>
      <c r="E32" s="415" t="n"/>
      <c r="F32" s="415" t="n"/>
    </row>
    <row r="33" ht="18" customHeight="1" s="356">
      <c r="B33" s="416" t="inlineStr">
        <is>
          <t>Financial Metrics</t>
        </is>
      </c>
      <c r="C33" s="385" t="n"/>
      <c r="D33" s="417" t="inlineStr">
        <is>
          <t>LTM</t>
        </is>
      </c>
      <c r="E33" s="418" t="inlineStr">
        <is>
          <t>CY2026</t>
        </is>
      </c>
      <c r="F33" s="418" t="inlineStr">
        <is>
          <t>CY2027</t>
        </is>
      </c>
      <c r="Q33" s="357" t="n"/>
    </row>
    <row r="34" ht="18" customHeight="1" s="356">
      <c r="B34" s="387" t="inlineStr">
        <is>
          <t>Revenue</t>
        </is>
      </c>
      <c r="C34" s="385" t="n"/>
      <c r="D34" s="419">
        <f>IFERROR(IF(D47="NULL","na ",D47),"n/a ")</f>
        <v/>
      </c>
      <c r="E34" s="420">
        <f>IFERROR(IF(E47="NULL","na ",E47),"n/a ")</f>
        <v/>
      </c>
      <c r="F34" s="420">
        <f>IFERROR(IF(F47="NULL","na ",F47),"n/a ")</f>
        <v/>
      </c>
      <c r="Q34" s="357" t="n"/>
    </row>
    <row r="35" ht="18" customHeight="1" s="356">
      <c r="B35" s="387" t="inlineStr">
        <is>
          <t>Adj. EBITDA</t>
        </is>
      </c>
      <c r="C35" s="385" t="n"/>
      <c r="D35" s="419">
        <f>IFERROR(IF(D48="NULL","na ",D48),"n/a ")</f>
        <v/>
      </c>
      <c r="E35" s="420">
        <f>IFERROR(IF(E48="NULL","na ",E48),"n/a ")</f>
        <v/>
      </c>
      <c r="F35" s="420">
        <f>IFERROR(IF(F48="NULL","na ",F48),"n/a ")</f>
        <v/>
      </c>
      <c r="Q35" s="357" t="n"/>
    </row>
    <row r="36" ht="18" customHeight="1" s="356">
      <c r="B36" s="387" t="inlineStr">
        <is>
          <t>Adj. EBITDA Margin</t>
        </is>
      </c>
      <c r="C36" s="385" t="n"/>
      <c r="D36" s="421">
        <f>IFERROR(IF(D35&lt;0,"nmf ",D35/D34),"n/a ")</f>
        <v/>
      </c>
      <c r="E36" s="421">
        <f>IFERROR(IF(E35&lt;0,"nmf ",E35/E34),"n/a ")</f>
        <v/>
      </c>
      <c r="F36" s="421">
        <f>IFERROR(IF(F35&lt;0,"nmf ",F35/F34),"n/a ")</f>
        <v/>
      </c>
      <c r="Q36" s="357" t="n"/>
    </row>
    <row r="37" ht="3" customHeight="1" s="356">
      <c r="B37" s="387" t="n"/>
      <c r="C37" s="385" t="n"/>
      <c r="D37" s="422" t="n"/>
      <c r="E37" s="422" t="n"/>
      <c r="F37" s="422" t="n"/>
      <c r="Q37" s="357" t="n"/>
    </row>
    <row r="38" ht="18" customHeight="1" s="356">
      <c r="B38" s="416" t="inlineStr">
        <is>
          <t>Valuation Metrics</t>
        </is>
      </c>
      <c r="D38" s="423" t="n"/>
      <c r="E38" s="423" t="n"/>
      <c r="Q38" s="357" t="n"/>
    </row>
    <row r="39" ht="18" customHeight="1" s="356">
      <c r="B39" s="387" t="inlineStr">
        <is>
          <t>EV / Revenue</t>
        </is>
      </c>
      <c r="D39" s="424">
        <f>+$F$31/D$34</f>
        <v/>
      </c>
      <c r="E39" s="424">
        <f>+$F$31/E$34</f>
        <v/>
      </c>
      <c r="F39" s="424">
        <f>+$F$31/F$34</f>
        <v/>
      </c>
      <c r="H39" s="425" t="n"/>
    </row>
    <row r="40" ht="18" customHeight="1" s="356">
      <c r="B40" s="387" t="inlineStr">
        <is>
          <t>EV / Adj. EBITDA</t>
        </is>
      </c>
      <c r="D40" s="424">
        <f>+$F$31/D$35</f>
        <v/>
      </c>
      <c r="E40" s="424">
        <f>+$F$31/E$35</f>
        <v/>
      </c>
      <c r="F40" s="424">
        <f>+$F$31/F$35</f>
        <v/>
      </c>
      <c r="Q40" s="357" t="n"/>
    </row>
    <row r="41" ht="3" customHeight="1" s="356">
      <c r="B41" s="387" t="n"/>
      <c r="D41" s="426" t="n"/>
      <c r="E41" s="426" t="n"/>
      <c r="F41" s="426" t="n"/>
      <c r="Q41" s="357" t="n"/>
    </row>
    <row r="42" ht="18" customHeight="1" s="356">
      <c r="B42" s="416" t="inlineStr">
        <is>
          <t>Street Metrics</t>
        </is>
      </c>
      <c r="D42" s="426" t="n"/>
      <c r="E42" s="426" t="n"/>
      <c r="F42" s="426" t="n"/>
      <c r="Q42" s="357" t="n"/>
    </row>
    <row r="43" ht="18" customHeight="1" s="356">
      <c r="B43" s="387" t="inlineStr">
        <is>
          <t>Analyst Coverage (# of Analysts)</t>
        </is>
      </c>
      <c r="D43" s="426" t="n"/>
      <c r="E43" s="426" t="n"/>
      <c r="F43" s="427">
        <f t="array" ref="F43:F43">_xll.snl.clients.office.excel.functions.spg($F$3,"SP_NUM_BROKER_REC",$F$6,"Options:NA=NA")</f>
        <v/>
      </c>
      <c r="H43" s="428" t="n"/>
      <c r="I43" s="429" t="n"/>
      <c r="J43" s="429" t="n"/>
      <c r="K43" s="429" t="n"/>
      <c r="L43" s="429" t="n"/>
      <c r="M43" s="429" t="n"/>
    </row>
    <row r="44" ht="18" customHeight="1" s="356">
      <c r="B44" s="387" t="inlineStr">
        <is>
          <t>Average Target Price</t>
        </is>
      </c>
      <c r="D44" s="426" t="n"/>
      <c r="E44" s="426" t="n"/>
      <c r="F44" s="430">
        <f t="array" ref="F44:F44">_xll.snl.clients.office.excel.functions.spg($F$3,"SP_PRICE_TARGET",$F$6,"Options: NA=NA,Curr="&amp;$F$4)</f>
        <v/>
      </c>
      <c r="Q44" s="357" t="n"/>
    </row>
    <row r="45" ht="18" customHeight="1" s="356">
      <c r="B45" s="431" t="inlineStr">
        <is>
          <t>% Upside vs. Current</t>
        </is>
      </c>
      <c r="D45" s="426" t="n"/>
      <c r="E45" s="426" t="n"/>
      <c r="F45" s="432">
        <f>IFERROR(F44/F16-1,"n/a ")</f>
        <v/>
      </c>
      <c r="Q45" s="357" t="n"/>
    </row>
    <row r="46" ht="18" customHeight="1" s="356">
      <c r="B46" s="387" t="n"/>
      <c r="C46" s="385" t="n"/>
      <c r="D46" s="433" t="n"/>
      <c r="E46" s="433" t="n"/>
      <c r="F46" s="433" t="n"/>
      <c r="Q46" s="357" t="n"/>
    </row>
    <row r="47" ht="18" customHeight="1" s="356">
      <c r="B47" s="387" t="inlineStr">
        <is>
          <t>Revenue</t>
        </is>
      </c>
      <c r="C47" s="385" t="n"/>
      <c r="D47" s="434">
        <f>'ltm-metrics'!B22*F7</f>
        <v/>
      </c>
      <c r="E47" s="435">
        <f t="array" ref="E47:E47">_xll.snl.clients.office.excel.functions.spg($F$3,"SP_REV_EST",E$33,$F$6,"Options:Mag=Millions,NA=NA,Curr="&amp;$F$5)</f>
        <v/>
      </c>
      <c r="F47" s="435">
        <f t="array" ref="F47:F47">_xll.snl.clients.office.excel.functions.spg($F$3,"SP_REV_EST",F$33,$F$6,"Options:Mag=Millions,NA=NA,Curr="&amp;$F$5)</f>
        <v/>
      </c>
      <c r="Q47" s="357" t="n"/>
    </row>
    <row r="48" ht="18" customHeight="1" s="356">
      <c r="B48" s="387" t="inlineStr">
        <is>
          <t>Adj. EBITDA</t>
        </is>
      </c>
      <c r="C48" s="385" t="n"/>
      <c r="D48" s="434">
        <f>'ltm-metrics'!B29*F7</f>
        <v/>
      </c>
      <c r="E48" s="435">
        <f t="array" ref="E48:E48">_xll.snl.clients.office.excel.functions.spg($F$3,"SP_EBITDA_EST",E$33,$F$6,"Options:Mag=Millions,NA=NA,Curr="&amp;$F$5)</f>
        <v/>
      </c>
      <c r="F48" s="435">
        <f t="array" ref="F48:F48">_xll.snl.clients.office.excel.functions.spg($F$3,"SP_EBITDA_EST",F$33,$F$6,"Options:Mag=Millions,NA=NA,Curr="&amp;$F$5)</f>
        <v/>
      </c>
      <c r="Q48" s="357" t="n"/>
    </row>
    <row r="49" ht="18" customHeight="1" s="356">
      <c r="B49" s="436" t="n"/>
      <c r="C49" s="385" t="n"/>
      <c r="D49" s="437" t="n"/>
      <c r="E49" s="437" t="n"/>
      <c r="F49" s="437" t="n"/>
      <c r="Q49" s="357" t="n"/>
    </row>
    <row r="50" ht="15" customHeight="1" s="356">
      <c r="B50" s="438" t="inlineStr">
        <is>
          <t>I. Non-Controlling Interest &amp; Preferred Shares</t>
        </is>
      </c>
      <c r="Q50" s="357" t="n"/>
    </row>
    <row r="51" ht="15" customHeight="1" s="356">
      <c r="B51" s="439" t="inlineStr">
        <is>
          <t>Type</t>
        </is>
      </c>
      <c r="C51" s="440" t="n"/>
      <c r="D51" s="440" t="n"/>
      <c r="E51" s="440" t="inlineStr">
        <is>
          <t>Date</t>
        </is>
      </c>
      <c r="F51" s="441" t="inlineStr">
        <is>
          <t>Amount</t>
        </is>
      </c>
      <c r="Q51" s="357" t="n"/>
    </row>
    <row r="52" ht="15" customHeight="1" s="356">
      <c r="B52" s="442" t="inlineStr">
        <is>
          <t>Preferred Shares</t>
        </is>
      </c>
      <c r="D52" s="443" t="n"/>
      <c r="E52" s="444" t="n"/>
      <c r="F52" s="434" t="n">
        <v>0</v>
      </c>
      <c r="Q52" s="357" t="n"/>
    </row>
    <row r="53" ht="15" customHeight="1" s="356">
      <c r="B53" s="442" t="inlineStr">
        <is>
          <t>Non-Controlling Interest</t>
        </is>
      </c>
      <c r="D53" s="443" t="n"/>
      <c r="E53" s="444" t="n"/>
      <c r="F53" s="434" t="n">
        <v>0</v>
      </c>
      <c r="Q53" s="357" t="n"/>
    </row>
    <row r="54" ht="15" customHeight="1" s="356">
      <c r="B54" s="436" t="n"/>
      <c r="D54" s="443" t="n"/>
      <c r="E54" s="443" t="n"/>
      <c r="F54" s="426" t="n"/>
      <c r="Q54" s="357" t="n"/>
    </row>
    <row r="55" ht="15" customHeight="1" s="356">
      <c r="B55" s="438" t="inlineStr">
        <is>
          <t>II. ITM OPTIONS, WARRANTS, RSUs, DSUs</t>
        </is>
      </c>
      <c r="Q55" s="357" t="n"/>
    </row>
    <row r="56" ht="15" customHeight="1" s="356">
      <c r="B56" s="439" t="inlineStr">
        <is>
          <t>Type</t>
        </is>
      </c>
      <c r="C56" s="440" t="inlineStr">
        <is>
          <t>Amount</t>
        </is>
      </c>
      <c r="D56" s="440" t="inlineStr">
        <is>
          <t>Strike</t>
        </is>
      </c>
      <c r="E56" s="440" t="inlineStr">
        <is>
          <t>ITM</t>
        </is>
      </c>
      <c r="F56" s="441" t="inlineStr">
        <is>
          <t>Proceeds</t>
        </is>
      </c>
      <c r="Q56" s="357" t="n"/>
    </row>
    <row r="57" ht="15" customHeight="1" s="356">
      <c r="B57" s="445" t="inlineStr">
        <is>
          <t>Options</t>
        </is>
      </c>
      <c r="C57" s="446" t="n">
        <v>2.864391</v>
      </c>
      <c r="D57" s="447">
        <f>12.11*F$7</f>
        <v/>
      </c>
      <c r="E57" s="448">
        <f>IF(D57&lt;F$16,C57,0)</f>
        <v/>
      </c>
      <c r="F57" s="449">
        <f>E57*D57</f>
        <v/>
      </c>
      <c r="Q57" s="357" t="n"/>
    </row>
    <row r="58" ht="15" customHeight="1" s="356">
      <c r="B58" s="445" t="inlineStr">
        <is>
          <t>RSUs</t>
        </is>
      </c>
      <c r="C58" s="446" t="n">
        <v>0.25845</v>
      </c>
      <c r="D58" s="447" t="n">
        <v>0</v>
      </c>
      <c r="E58" s="448">
        <f>IF(D58&lt;F$16,C58,0)</f>
        <v/>
      </c>
      <c r="F58" s="449">
        <f>E58*D58</f>
        <v/>
      </c>
      <c r="H58" s="450" t="n"/>
    </row>
    <row r="59" ht="15" customHeight="1" s="356">
      <c r="B59" s="445" t="inlineStr">
        <is>
          <t>DSUs</t>
        </is>
      </c>
      <c r="C59" s="446" t="n">
        <v>0.0351</v>
      </c>
      <c r="D59" s="447" t="n">
        <v>0</v>
      </c>
      <c r="E59" s="448">
        <f>IF(D59&lt;F$16,C59,0)</f>
        <v/>
      </c>
      <c r="F59" s="449">
        <f>E59*D59</f>
        <v/>
      </c>
      <c r="H59" s="450" t="n"/>
    </row>
    <row r="60" ht="15" customHeight="1" s="356">
      <c r="B60" s="451" t="n"/>
      <c r="C60" s="452" t="n"/>
      <c r="D60" s="453" t="n"/>
      <c r="E60" s="448">
        <f>IF(D60&lt;F$16,C60,0)</f>
        <v/>
      </c>
      <c r="F60" s="449">
        <f>E60*D60</f>
        <v/>
      </c>
      <c r="Q60" s="357" t="n"/>
    </row>
    <row r="61" ht="15" customHeight="1" s="356">
      <c r="B61" s="451" t="n"/>
      <c r="C61" s="452" t="n"/>
      <c r="D61" s="453" t="n"/>
      <c r="E61" s="448">
        <f>IF(D61&lt;F$16,C61,0)</f>
        <v/>
      </c>
      <c r="F61" s="449">
        <f>E61*D61</f>
        <v/>
      </c>
      <c r="Q61" s="357" t="n"/>
    </row>
    <row r="62" ht="15" customHeight="1" s="356">
      <c r="B62" s="451" t="n"/>
      <c r="C62" s="452" t="n"/>
      <c r="D62" s="453" t="n"/>
      <c r="E62" s="448">
        <f>IF(D62&lt;F$16,C62,0)</f>
        <v/>
      </c>
      <c r="F62" s="449">
        <f>E62*D62</f>
        <v/>
      </c>
      <c r="Q62" s="357" t="n"/>
    </row>
    <row r="63" ht="15" customHeight="1" s="356">
      <c r="B63" s="451" t="n"/>
      <c r="C63" s="452" t="n"/>
      <c r="D63" s="453" t="n"/>
      <c r="E63" s="448">
        <f>IF(D63&lt;F$16,C63,0)</f>
        <v/>
      </c>
      <c r="F63" s="449">
        <f>E63*D63</f>
        <v/>
      </c>
      <c r="Q63" s="357" t="n"/>
    </row>
    <row r="64" ht="15" customHeight="1" s="356">
      <c r="B64" s="451" t="n"/>
      <c r="C64" s="452" t="n"/>
      <c r="D64" s="453" t="n"/>
      <c r="E64" s="448">
        <f>IF(D64&lt;F$16,C64,0)</f>
        <v/>
      </c>
      <c r="F64" s="449">
        <f>E64*D64</f>
        <v/>
      </c>
      <c r="Q64" s="357" t="n"/>
    </row>
    <row r="65" ht="15" customHeight="1" s="356">
      <c r="B65" s="451" t="n"/>
      <c r="C65" s="452" t="n"/>
      <c r="D65" s="453" t="n"/>
      <c r="E65" s="448">
        <f>IF(D65&lt;F$16,C65,0)</f>
        <v/>
      </c>
      <c r="F65" s="449">
        <f>E65*D65</f>
        <v/>
      </c>
      <c r="Q65" s="357" t="n"/>
    </row>
    <row r="66" ht="15" customHeight="1" s="356">
      <c r="B66" s="451" t="n"/>
      <c r="C66" s="452" t="n"/>
      <c r="D66" s="453" t="n"/>
      <c r="E66" s="448">
        <f>IF(D66&lt;F$16,C66,0)</f>
        <v/>
      </c>
      <c r="F66" s="449">
        <f>E66*D66</f>
        <v/>
      </c>
      <c r="Q66" s="357" t="n"/>
    </row>
    <row r="67" ht="15" customHeight="1" s="356">
      <c r="B67" s="451" t="n"/>
      <c r="C67" s="452" t="n"/>
      <c r="D67" s="453" t="n"/>
      <c r="E67" s="448">
        <f>IF(D67&lt;F$16,C67,0)</f>
        <v/>
      </c>
      <c r="F67" s="449">
        <f>E67*D67</f>
        <v/>
      </c>
      <c r="Q67" s="357" t="n"/>
    </row>
    <row r="68" ht="15" customHeight="1" s="356">
      <c r="B68" s="451" t="n"/>
      <c r="C68" s="452" t="n"/>
      <c r="D68" s="453" t="n"/>
      <c r="E68" s="448">
        <f>IF(D68&lt;F$16,C68,0)</f>
        <v/>
      </c>
      <c r="F68" s="449">
        <f>E68*D68</f>
        <v/>
      </c>
      <c r="Q68" s="357" t="n"/>
    </row>
    <row r="69" ht="15" customHeight="1" s="356">
      <c r="B69" s="451" t="n"/>
      <c r="C69" s="452" t="n"/>
      <c r="D69" s="453" t="n"/>
      <c r="E69" s="448">
        <f>IF(D69&lt;F$16,C69,0)</f>
        <v/>
      </c>
      <c r="F69" s="449">
        <f>E69*D69</f>
        <v/>
      </c>
      <c r="Q69" s="357" t="n"/>
    </row>
    <row r="70" ht="15" customHeight="1" s="356">
      <c r="B70" s="451" t="n"/>
      <c r="C70" s="452" t="n"/>
      <c r="D70" s="453" t="n"/>
      <c r="E70" s="448">
        <f>IF(D70&lt;F$16,C70,0)</f>
        <v/>
      </c>
      <c r="F70" s="449">
        <f>E70*D70</f>
        <v/>
      </c>
      <c r="Q70" s="357" t="n"/>
    </row>
    <row r="71" ht="15" customHeight="1" s="356">
      <c r="B71" s="451" t="n"/>
      <c r="C71" s="452" t="n"/>
      <c r="D71" s="453" t="n"/>
      <c r="E71" s="448">
        <f>IF(D71&lt;F$16,C71,0)</f>
        <v/>
      </c>
      <c r="F71" s="449">
        <f>E71*D71</f>
        <v/>
      </c>
      <c r="Q71" s="357" t="n"/>
    </row>
    <row r="72" ht="15" customHeight="1" s="356">
      <c r="B72" s="451" t="n"/>
      <c r="C72" s="452" t="n"/>
      <c r="D72" s="453" t="n"/>
      <c r="E72" s="448">
        <f>IF(D72&lt;F$16,C72,0)</f>
        <v/>
      </c>
      <c r="F72" s="449">
        <f>E72*D72</f>
        <v/>
      </c>
      <c r="Q72" s="357" t="n"/>
    </row>
    <row r="73" ht="15" customHeight="1" s="356">
      <c r="B73" s="451" t="n"/>
      <c r="C73" s="452" t="n"/>
      <c r="D73" s="453" t="n"/>
      <c r="E73" s="448">
        <f>IF(D73&lt;F$16,C73,0)</f>
        <v/>
      </c>
      <c r="F73" s="449">
        <f>E73*D73</f>
        <v/>
      </c>
      <c r="Q73" s="357" t="n"/>
    </row>
    <row r="74" ht="15" customHeight="1" s="356">
      <c r="B74" s="451" t="n"/>
      <c r="C74" s="452" t="n"/>
      <c r="D74" s="453" t="n"/>
      <c r="E74" s="448">
        <f>IF(D74&lt;F$16,C74,0)</f>
        <v/>
      </c>
      <c r="F74" s="449">
        <f>E74*D74</f>
        <v/>
      </c>
      <c r="Q74" s="357" t="n"/>
    </row>
    <row r="75" ht="15" customHeight="1" s="356">
      <c r="B75" s="451" t="n"/>
      <c r="C75" s="452" t="n"/>
      <c r="D75" s="453" t="n"/>
      <c r="E75" s="448">
        <f>IF(D75&lt;F$16,C75,0)</f>
        <v/>
      </c>
      <c r="F75" s="449">
        <f>E75*D75</f>
        <v/>
      </c>
    </row>
    <row r="76" ht="15" customHeight="1" s="356">
      <c r="B76" s="451" t="n"/>
      <c r="C76" s="452" t="n"/>
      <c r="D76" s="453" t="n"/>
      <c r="E76" s="448">
        <f>IF(D76&lt;F$16,C76,0)</f>
        <v/>
      </c>
      <c r="F76" s="449">
        <f>E76*D76</f>
        <v/>
      </c>
    </row>
    <row r="77" ht="15" customHeight="1" s="356">
      <c r="B77" s="451" t="n"/>
      <c r="C77" s="452" t="n"/>
      <c r="D77" s="453" t="n"/>
      <c r="E77" s="448">
        <f>IF(D77&lt;F$16,C77,0)</f>
        <v/>
      </c>
      <c r="F77" s="449">
        <f>E77*D77</f>
        <v/>
      </c>
    </row>
    <row r="78" ht="15" customHeight="1" s="356">
      <c r="B78" s="451" t="n"/>
      <c r="C78" s="452" t="n"/>
      <c r="D78" s="453" t="n"/>
      <c r="E78" s="448">
        <f>IF(D78&lt;F$16,C78,0)</f>
        <v/>
      </c>
      <c r="F78" s="449">
        <f>E78*D78</f>
        <v/>
      </c>
    </row>
    <row r="79" ht="15" customHeight="1" s="356">
      <c r="B79" s="451" t="n"/>
      <c r="C79" s="452" t="n"/>
      <c r="D79" s="453" t="n"/>
      <c r="E79" s="448">
        <f>IF(D79&lt;F$16,C79,0)</f>
        <v/>
      </c>
      <c r="F79" s="449">
        <f>E79*D79</f>
        <v/>
      </c>
    </row>
    <row r="80" ht="15" customHeight="1" s="356">
      <c r="B80" s="451" t="n"/>
      <c r="C80" s="452" t="n"/>
      <c r="D80" s="453" t="n"/>
      <c r="E80" s="448">
        <f>IF(D80&lt;F$16,C80,0)</f>
        <v/>
      </c>
      <c r="F80" s="449">
        <f>E80*D80</f>
        <v/>
      </c>
    </row>
    <row r="81" ht="15" customHeight="1" s="356">
      <c r="B81" s="451" t="n"/>
      <c r="C81" s="452" t="n"/>
      <c r="D81" s="453" t="n"/>
      <c r="E81" s="448">
        <f>IF(D81&lt;F$16,C81,0)</f>
        <v/>
      </c>
      <c r="F81" s="449">
        <f>E81*D81</f>
        <v/>
      </c>
    </row>
    <row r="82" ht="15" customHeight="1" s="356">
      <c r="B82" s="454" t="inlineStr">
        <is>
          <t>Total</t>
        </is>
      </c>
      <c r="C82" s="454" t="n"/>
      <c r="D82" s="454" t="n"/>
      <c r="E82" s="455">
        <f>SUM(E57:E81)</f>
        <v/>
      </c>
      <c r="F82" s="456">
        <f>SUM(F57:F81)</f>
        <v/>
      </c>
      <c r="H82" s="457" t="n"/>
      <c r="Q82" s="458" t="n"/>
    </row>
    <row r="84" ht="15" customHeight="1" s="356">
      <c r="B84" s="357" t="inlineStr">
        <is>
          <t>Total ITM Options, Warrants, etc.</t>
        </is>
      </c>
      <c r="F84" s="448">
        <f>E82</f>
        <v/>
      </c>
    </row>
    <row r="85" ht="15" customHeight="1" s="356">
      <c r="B85" s="459" t="inlineStr">
        <is>
          <t>Less: Total Repurchased and Cancelled</t>
        </is>
      </c>
      <c r="C85" s="459" t="n"/>
      <c r="D85" s="459" t="n"/>
      <c r="E85" s="459" t="n"/>
      <c r="F85" s="460">
        <f>-F82/F16</f>
        <v/>
      </c>
    </row>
    <row r="86" ht="15" customHeight="1" s="356">
      <c r="B86" s="454" t="inlineStr">
        <is>
          <t>Net ITM Options, Warrants, etc.</t>
        </is>
      </c>
      <c r="C86" s="454" t="n"/>
      <c r="D86" s="454" t="n"/>
      <c r="E86" s="454" t="n"/>
      <c r="F86" s="455">
        <f>SUM(F84:F85)</f>
        <v/>
      </c>
      <c r="H86" s="457" t="n"/>
      <c r="Q86" s="458" t="n"/>
    </row>
    <row r="88" ht="15" customHeight="1" s="356">
      <c r="B88" s="438" t="inlineStr">
        <is>
          <t>III. ITM CONVERTIBLE DEBENTURES OR CONVERTIBLE PREFERRED SHARES</t>
        </is>
      </c>
    </row>
    <row r="89" ht="15" customHeight="1" s="356">
      <c r="B89" s="439" t="inlineStr">
        <is>
          <t>Type</t>
        </is>
      </c>
      <c r="C89" s="440" t="inlineStr">
        <is>
          <t>Amount</t>
        </is>
      </c>
      <c r="D89" s="440" t="inlineStr">
        <is>
          <t>Shares / $1,000</t>
        </is>
      </c>
      <c r="E89" s="440" t="inlineStr">
        <is>
          <t>Strike</t>
        </is>
      </c>
      <c r="F89" s="441" t="inlineStr">
        <is>
          <t>ITM</t>
        </is>
      </c>
    </row>
    <row r="90" ht="15" customHeight="1" s="356">
      <c r="B90" s="451" t="n"/>
      <c r="C90" s="461" t="n"/>
      <c r="D90" s="462" t="n"/>
      <c r="E90" s="463" t="n"/>
      <c r="F90" s="448">
        <f>IF(E90&lt;F$16,(C90/1000)*D90,0)</f>
        <v/>
      </c>
    </row>
    <row r="91" ht="15" customHeight="1" s="356">
      <c r="B91" s="451" t="n"/>
      <c r="C91" s="461" t="n"/>
      <c r="D91" s="464" t="n"/>
      <c r="E91" s="463" t="n"/>
      <c r="F91" s="448">
        <f>IF(E91&lt;F$16,(C91/1000)*D91,0)</f>
        <v/>
      </c>
    </row>
    <row r="92" ht="15" customHeight="1" s="356">
      <c r="B92" s="451" t="n"/>
      <c r="C92" s="461" t="n"/>
      <c r="D92" s="464" t="n"/>
      <c r="E92" s="463" t="n"/>
      <c r="F92" s="448">
        <f>IF(E92&lt;F$16,(C92/1000)*D92,0)</f>
        <v/>
      </c>
    </row>
    <row r="93" ht="15" customHeight="1" s="356">
      <c r="B93" s="451" t="n"/>
      <c r="C93" s="461" t="n"/>
      <c r="D93" s="464" t="n"/>
      <c r="E93" s="463" t="n"/>
      <c r="F93" s="448">
        <f>IF(E93&lt;F$16,(C93/1000)*D93,0)</f>
        <v/>
      </c>
    </row>
    <row r="94" ht="15" customHeight="1" s="356">
      <c r="B94" s="451" t="n"/>
      <c r="C94" s="461" t="n"/>
      <c r="D94" s="464" t="n"/>
      <c r="E94" s="463" t="n"/>
      <c r="F94" s="448">
        <f>IF(E94&lt;F$16,(C94/1000)*D94,0)</f>
        <v/>
      </c>
    </row>
    <row r="95" ht="15" customHeight="1" s="356">
      <c r="B95" s="451" t="n"/>
      <c r="C95" s="461" t="n"/>
      <c r="D95" s="464" t="n"/>
      <c r="E95" s="463" t="n"/>
      <c r="F95" s="448">
        <f>IF(E95&lt;F$16,(C95/1000)*D95,0)</f>
        <v/>
      </c>
    </row>
    <row r="96" ht="15" customHeight="1" s="356">
      <c r="B96" s="451" t="n"/>
      <c r="C96" s="461" t="n"/>
      <c r="D96" s="464" t="n"/>
      <c r="E96" s="463" t="n"/>
      <c r="F96" s="448">
        <f>IF(E96&lt;F$16,(C96/1000)*D96,0)</f>
        <v/>
      </c>
    </row>
    <row r="97" ht="15" customHeight="1" s="356">
      <c r="B97" s="451" t="n"/>
      <c r="C97" s="461" t="n"/>
      <c r="D97" s="464" t="n"/>
      <c r="E97" s="463" t="n"/>
      <c r="F97" s="448">
        <f>IF(E97&lt;F$16,(C97/1000)*D97,0)</f>
        <v/>
      </c>
    </row>
    <row r="98" ht="15" customHeight="1" s="356">
      <c r="B98" s="451" t="n"/>
      <c r="C98" s="461" t="n"/>
      <c r="D98" s="464" t="n"/>
      <c r="E98" s="463" t="n"/>
      <c r="F98" s="448">
        <f>IF(E98&lt;F$16,(C98/1000)*D98,0)</f>
        <v/>
      </c>
    </row>
    <row r="99" ht="15" customHeight="1" s="356">
      <c r="B99" s="451" t="n"/>
      <c r="C99" s="461" t="n"/>
      <c r="D99" s="464" t="n"/>
      <c r="E99" s="463" t="n"/>
      <c r="F99" s="448">
        <f>IF(E99&lt;F$16,(C99/1000)*D99,0)</f>
        <v/>
      </c>
    </row>
    <row r="100" ht="15" customHeight="1" s="356">
      <c r="B100" s="451" t="n"/>
      <c r="C100" s="461" t="n"/>
      <c r="D100" s="464" t="n"/>
      <c r="E100" s="463" t="n"/>
      <c r="F100" s="448">
        <f>IF(E100&lt;F$16,(C100/1000)*D100,0)</f>
        <v/>
      </c>
    </row>
    <row r="101" ht="15" customHeight="1" s="356">
      <c r="B101" s="451" t="n"/>
      <c r="C101" s="461" t="n"/>
      <c r="D101" s="464" t="n"/>
      <c r="E101" s="463" t="n"/>
      <c r="F101" s="448">
        <f>IF(E101&lt;F$16,(C101/1000)*D101,0)</f>
        <v/>
      </c>
    </row>
    <row r="102" ht="15" customHeight="1" s="356">
      <c r="B102" s="451" t="n"/>
      <c r="C102" s="461" t="n"/>
      <c r="D102" s="464" t="n"/>
      <c r="E102" s="463" t="n"/>
      <c r="F102" s="448">
        <f>IF(E102&lt;F$16,(C102/1000)*D102,0)</f>
        <v/>
      </c>
    </row>
    <row r="103" ht="15" customHeight="1" s="356">
      <c r="B103" s="451" t="n"/>
      <c r="C103" s="461" t="n"/>
      <c r="D103" s="464" t="n"/>
      <c r="E103" s="463" t="n"/>
      <c r="F103" s="448">
        <f>IF(E103&lt;F$16,(C103/1000)*D103,0)</f>
        <v/>
      </c>
    </row>
    <row r="104" ht="15" customHeight="1" s="356">
      <c r="B104" s="454" t="inlineStr">
        <is>
          <t>Total ITM Convertible Debentures &amp; Preferreds</t>
        </is>
      </c>
      <c r="C104" s="454" t="n"/>
      <c r="D104" s="454" t="n"/>
      <c r="E104" s="454" t="n"/>
      <c r="F104" s="455">
        <f>SUM(F90:F103)</f>
        <v/>
      </c>
      <c r="H104" s="457" t="n"/>
      <c r="Q104" s="458" t="n"/>
    </row>
    <row r="106" ht="15" customHeight="1" s="356">
      <c r="B106" s="438" t="inlineStr">
        <is>
          <t>IV. DEBT</t>
        </is>
      </c>
    </row>
    <row r="107" ht="15" customHeight="1" s="356">
      <c r="B107" s="439" t="inlineStr">
        <is>
          <t>Type</t>
        </is>
      </c>
      <c r="C107" s="440" t="n"/>
      <c r="D107" s="440" t="n"/>
      <c r="E107" s="440" t="inlineStr">
        <is>
          <t>Date</t>
        </is>
      </c>
      <c r="F107" s="441" t="inlineStr">
        <is>
          <t>Amount</t>
        </is>
      </c>
    </row>
    <row r="108" ht="15" customHeight="1" s="356">
      <c r="B108" s="445" t="inlineStr">
        <is>
          <t>MoneyKey Facility (revolving)</t>
        </is>
      </c>
      <c r="C108" s="465" t="n"/>
      <c r="D108" s="466" t="n"/>
      <c r="E108" s="467" t="n">
        <v>46112</v>
      </c>
      <c r="F108" s="434" t="n">
        <v>0</v>
      </c>
    </row>
    <row r="109" ht="15" customHeight="1" s="356">
      <c r="B109" s="445" t="inlineStr">
        <is>
          <t>CreditFresh Facility (revolving)</t>
        </is>
      </c>
      <c r="C109" s="465" t="n"/>
      <c r="D109" s="466" t="n"/>
      <c r="E109" s="467" t="n">
        <v>46112</v>
      </c>
      <c r="F109" s="434" t="n">
        <v>305.4</v>
      </c>
    </row>
    <row r="110" ht="15" customHeight="1" s="356">
      <c r="B110" s="445" t="inlineStr">
        <is>
          <t>Fora Credit Facility (revolving)</t>
        </is>
      </c>
      <c r="C110" s="465" t="n"/>
      <c r="D110" s="466" t="n"/>
      <c r="E110" s="467" t="n">
        <v>46112</v>
      </c>
      <c r="F110" s="434" t="n">
        <v>13.954466</v>
      </c>
    </row>
    <row r="111" ht="15" customHeight="1" s="356">
      <c r="B111" s="445" t="inlineStr">
        <is>
          <t>Unamortized facility transaction costs</t>
        </is>
      </c>
      <c r="C111" s="465" t="n"/>
      <c r="D111" s="466" t="n"/>
      <c r="E111" s="467" t="n">
        <v>46112</v>
      </c>
      <c r="F111" s="434" t="n">
        <v>-1.105473</v>
      </c>
    </row>
    <row r="112" ht="15" customHeight="1" s="356">
      <c r="B112" s="451" t="n"/>
      <c r="C112" s="465" t="n"/>
      <c r="D112" s="466" t="n"/>
      <c r="E112" s="444" t="n"/>
      <c r="F112" s="461" t="n"/>
    </row>
    <row r="113" ht="15" customHeight="1" s="356">
      <c r="B113" s="451" t="n"/>
      <c r="C113" s="465" t="n"/>
      <c r="D113" s="466" t="n"/>
      <c r="E113" s="444" t="n"/>
      <c r="F113" s="461" t="n"/>
    </row>
    <row r="114" ht="15" customHeight="1" s="356">
      <c r="B114" s="451" t="n"/>
      <c r="C114" s="465" t="n"/>
      <c r="D114" s="466" t="n"/>
      <c r="E114" s="444" t="n"/>
      <c r="F114" s="461" t="n"/>
    </row>
    <row r="115" ht="15" customHeight="1" s="356">
      <c r="B115" s="451" t="n"/>
      <c r="C115" s="465" t="n"/>
      <c r="D115" s="466" t="n"/>
      <c r="E115" s="444" t="n"/>
      <c r="F115" s="461" t="n"/>
    </row>
    <row r="116" ht="15" customHeight="1" s="356">
      <c r="B116" s="451" t="n"/>
      <c r="C116" s="465" t="n"/>
      <c r="D116" s="466" t="n"/>
      <c r="E116" s="444" t="n"/>
      <c r="F116" s="461" t="n"/>
    </row>
    <row r="117" ht="15" customHeight="1" s="356">
      <c r="B117" s="451" t="n"/>
      <c r="C117" s="465" t="n"/>
      <c r="D117" s="466" t="n"/>
      <c r="E117" s="444" t="n"/>
      <c r="F117" s="461" t="n"/>
    </row>
    <row r="118" ht="15" customHeight="1" s="356">
      <c r="B118" s="451" t="n"/>
      <c r="C118" s="465" t="n"/>
      <c r="D118" s="466" t="n"/>
      <c r="E118" s="444" t="n"/>
      <c r="F118" s="461" t="n"/>
    </row>
    <row r="119" ht="15" customHeight="1" s="356">
      <c r="B119" s="451" t="n"/>
      <c r="C119" s="465" t="n"/>
      <c r="D119" s="466" t="n"/>
      <c r="E119" s="444" t="n"/>
      <c r="F119" s="461" t="n"/>
    </row>
    <row r="120" ht="15" customHeight="1" s="356">
      <c r="B120" s="451" t="n"/>
      <c r="C120" s="465" t="n"/>
      <c r="D120" s="466" t="n"/>
      <c r="E120" s="444" t="n"/>
      <c r="F120" s="461" t="n"/>
    </row>
    <row r="121" ht="15" customHeight="1" s="356">
      <c r="B121" s="451" t="n"/>
      <c r="C121" s="465" t="n"/>
      <c r="D121" s="466" t="n"/>
      <c r="E121" s="468" t="n"/>
      <c r="F121" s="461" t="n"/>
    </row>
    <row r="122" ht="15" customHeight="1" s="356">
      <c r="B122" s="469" t="inlineStr">
        <is>
          <t>Total Debt</t>
        </is>
      </c>
      <c r="C122" s="454" t="n"/>
      <c r="D122" s="454" t="n"/>
      <c r="E122" s="454" t="n"/>
      <c r="F122" s="456">
        <f>SUM(F108:F121)</f>
        <v/>
      </c>
      <c r="H122" s="457" t="n"/>
      <c r="Q122" s="458" t="n"/>
    </row>
    <row r="123" ht="15" customHeight="1" s="356">
      <c r="F123" s="470" t="n"/>
      <c r="H123" s="457" t="n"/>
      <c r="Q123" s="458" t="n"/>
    </row>
    <row r="124" ht="15" customHeight="1" s="356">
      <c r="B124" s="438" t="inlineStr">
        <is>
          <t>V. LEASES</t>
        </is>
      </c>
      <c r="H124" s="457" t="n"/>
      <c r="Q124" s="458" t="n"/>
    </row>
    <row r="125" ht="15" customHeight="1" s="356">
      <c r="B125" s="439" t="inlineStr">
        <is>
          <t>Type</t>
        </is>
      </c>
      <c r="C125" s="440" t="n"/>
      <c r="D125" s="440" t="n"/>
      <c r="E125" s="440" t="inlineStr">
        <is>
          <t>Date</t>
        </is>
      </c>
      <c r="F125" s="441" t="inlineStr">
        <is>
          <t>Amount</t>
        </is>
      </c>
      <c r="H125" s="457" t="n"/>
      <c r="Q125" s="458" t="n"/>
    </row>
    <row r="126" ht="15" customHeight="1" s="356">
      <c r="B126" s="445" t="inlineStr">
        <is>
          <t>Lease Liabilities (IFRS 16)</t>
        </is>
      </c>
      <c r="C126" s="465" t="n"/>
      <c r="D126" s="466" t="n"/>
      <c r="E126" s="467" t="n">
        <v>46112</v>
      </c>
      <c r="F126" s="434" t="n">
        <v>9.243399</v>
      </c>
      <c r="H126" s="360" t="n"/>
      <c r="Q126" s="458" t="n"/>
    </row>
    <row r="127" ht="15" customHeight="1" s="356">
      <c r="B127" s="451" t="n"/>
      <c r="C127" s="465" t="n"/>
      <c r="D127" s="466" t="n"/>
      <c r="E127" s="444" t="n"/>
      <c r="F127" s="461" t="n"/>
      <c r="H127" s="360" t="n"/>
      <c r="Q127" s="458" t="n"/>
    </row>
    <row r="128" ht="15" customHeight="1" s="356">
      <c r="B128" s="451" t="n"/>
      <c r="C128" s="465" t="n"/>
      <c r="D128" s="466" t="n"/>
      <c r="E128" s="444" t="n"/>
      <c r="F128" s="461" t="n"/>
      <c r="H128" s="360" t="n"/>
      <c r="Q128" s="458" t="n"/>
    </row>
    <row r="129" ht="15" customHeight="1" s="356">
      <c r="B129" s="451" t="n"/>
      <c r="C129" s="465" t="n"/>
      <c r="D129" s="466" t="n"/>
      <c r="E129" s="444" t="n"/>
      <c r="F129" s="461" t="n"/>
      <c r="H129" s="360" t="n"/>
      <c r="Q129" s="458" t="n"/>
    </row>
    <row r="130" ht="15" customHeight="1" s="356">
      <c r="B130" s="451" t="n"/>
      <c r="C130" s="465" t="n"/>
      <c r="D130" s="466" t="n"/>
      <c r="E130" s="444" t="n"/>
      <c r="F130" s="461" t="n"/>
      <c r="H130" s="360" t="n"/>
      <c r="Q130" s="458" t="n"/>
    </row>
    <row r="131" ht="15" customHeight="1" s="356">
      <c r="B131" s="451" t="n"/>
      <c r="C131" s="465" t="n"/>
      <c r="D131" s="466" t="n"/>
      <c r="E131" s="444" t="n"/>
      <c r="F131" s="461" t="n"/>
      <c r="H131" s="360" t="n"/>
      <c r="Q131" s="458" t="n"/>
    </row>
    <row r="132" ht="15" customHeight="1" s="356">
      <c r="B132" s="451" t="n"/>
      <c r="C132" s="465" t="n"/>
      <c r="D132" s="466" t="n"/>
      <c r="E132" s="444" t="n"/>
      <c r="F132" s="461" t="n"/>
      <c r="H132" s="360" t="n"/>
      <c r="Q132" s="458" t="n"/>
    </row>
    <row r="133" ht="15" customHeight="1" s="356">
      <c r="B133" s="451" t="n"/>
      <c r="C133" s="465" t="n"/>
      <c r="D133" s="466" t="n"/>
      <c r="E133" s="444" t="n"/>
      <c r="F133" s="461" t="n"/>
      <c r="H133" s="360" t="n"/>
      <c r="Q133" s="458" t="n"/>
    </row>
    <row r="134" ht="15" customHeight="1" s="356">
      <c r="B134" s="451" t="n"/>
      <c r="C134" s="465" t="n"/>
      <c r="D134" s="466" t="n"/>
      <c r="E134" s="444" t="n"/>
      <c r="F134" s="461" t="n"/>
      <c r="H134" s="360" t="n"/>
      <c r="Q134" s="458" t="n"/>
    </row>
    <row r="135" ht="15" customHeight="1" s="356">
      <c r="B135" s="451" t="n"/>
      <c r="C135" s="465" t="n"/>
      <c r="D135" s="466" t="n"/>
      <c r="E135" s="444" t="n"/>
      <c r="F135" s="461" t="n"/>
      <c r="H135" s="360" t="n"/>
      <c r="Q135" s="458" t="n"/>
    </row>
    <row r="136" ht="15" customHeight="1" s="356">
      <c r="B136" s="451" t="n"/>
      <c r="C136" s="465" t="n"/>
      <c r="D136" s="466" t="n"/>
      <c r="E136" s="444" t="n"/>
      <c r="F136" s="461" t="n"/>
      <c r="H136" s="360" t="n"/>
      <c r="Q136" s="458" t="n"/>
    </row>
    <row r="137" ht="15" customHeight="1" s="356">
      <c r="B137" s="451" t="n"/>
      <c r="C137" s="465" t="n"/>
      <c r="D137" s="466" t="n"/>
      <c r="E137" s="444" t="n"/>
      <c r="F137" s="461" t="n"/>
      <c r="H137" s="360" t="n"/>
      <c r="Q137" s="458" t="n"/>
    </row>
    <row r="138" ht="15" customHeight="1" s="356">
      <c r="B138" s="451" t="n"/>
      <c r="C138" s="465" t="n"/>
      <c r="D138" s="466" t="n"/>
      <c r="E138" s="444" t="n"/>
      <c r="F138" s="461" t="n"/>
      <c r="H138" s="457" t="n"/>
      <c r="Q138" s="458" t="n"/>
    </row>
    <row r="139" ht="15" customHeight="1" s="356">
      <c r="B139" s="451" t="n"/>
      <c r="C139" s="465" t="n"/>
      <c r="D139" s="466" t="n"/>
      <c r="E139" s="444" t="n"/>
      <c r="F139" s="461" t="n"/>
      <c r="H139" s="457" t="n"/>
      <c r="Q139" s="458" t="n"/>
    </row>
    <row r="140" ht="15" customHeight="1" s="356">
      <c r="B140" s="451" t="n"/>
      <c r="C140" s="465" t="n"/>
      <c r="D140" s="466" t="n"/>
      <c r="E140" s="444" t="n"/>
      <c r="F140" s="461" t="n"/>
      <c r="H140" s="457" t="n"/>
      <c r="Q140" s="458" t="n"/>
    </row>
    <row r="141" ht="15" customHeight="1" s="356">
      <c r="B141" s="451" t="n"/>
      <c r="C141" s="465" t="n"/>
      <c r="D141" s="466" t="n"/>
      <c r="E141" s="444" t="n"/>
      <c r="F141" s="461" t="n"/>
      <c r="H141" s="457" t="n"/>
      <c r="Q141" s="458" t="n"/>
    </row>
    <row r="142" ht="15" customHeight="1" s="356">
      <c r="B142" s="451" t="n"/>
      <c r="C142" s="465" t="n"/>
      <c r="D142" s="466" t="n"/>
      <c r="E142" s="468" t="n"/>
      <c r="F142" s="461" t="n"/>
      <c r="H142" s="457" t="n"/>
      <c r="Q142" s="458" t="n"/>
    </row>
    <row r="143" ht="15" customHeight="1" s="356">
      <c r="B143" s="454" t="inlineStr">
        <is>
          <t>Total Debt</t>
        </is>
      </c>
      <c r="C143" s="454" t="n"/>
      <c r="D143" s="454" t="n"/>
      <c r="E143" s="454" t="n"/>
      <c r="F143" s="456">
        <f>SUM(F126:F142)</f>
        <v/>
      </c>
      <c r="H143" s="457" t="n"/>
      <c r="Q143" s="458" t="n"/>
    </row>
    <row r="145" ht="15" customHeight="1" s="356">
      <c r="B145" s="438" t="inlineStr">
        <is>
          <t>VI. CASH</t>
        </is>
      </c>
    </row>
    <row r="146" ht="15" customHeight="1" s="356">
      <c r="B146" s="439" t="inlineStr">
        <is>
          <t>Type</t>
        </is>
      </c>
      <c r="C146" s="440" t="n"/>
      <c r="D146" s="440" t="n"/>
      <c r="E146" s="440" t="inlineStr">
        <is>
          <t>Date</t>
        </is>
      </c>
      <c r="F146" s="441" t="inlineStr">
        <is>
          <t>Amount</t>
        </is>
      </c>
    </row>
    <row r="147" ht="15" customHeight="1" s="356">
      <c r="B147" s="445" t="inlineStr">
        <is>
          <t>Cash</t>
        </is>
      </c>
      <c r="C147" s="465" t="n"/>
      <c r="D147" s="466" t="n"/>
      <c r="E147" s="467" t="n">
        <v>46112</v>
      </c>
      <c r="F147" s="434" t="n">
        <v>29.003623</v>
      </c>
    </row>
    <row r="148" ht="15" customHeight="1" s="356">
      <c r="B148" s="445" t="inlineStr">
        <is>
          <t>Restricted Cash</t>
        </is>
      </c>
      <c r="C148" s="465" t="n"/>
      <c r="D148" s="466" t="n"/>
      <c r="E148" s="471" t="n">
        <v>46112</v>
      </c>
      <c r="F148" s="434" t="n">
        <v>36.387979</v>
      </c>
    </row>
    <row r="149" ht="15" customHeight="1" s="356">
      <c r="B149" s="445" t="inlineStr">
        <is>
          <t>Sub-Event: Q2 2026 dividend paid Jun 3, 2026</t>
        </is>
      </c>
      <c r="C149" s="465" t="n"/>
      <c r="D149" s="466" t="n"/>
      <c r="E149" s="471" t="n">
        <v>46176</v>
      </c>
      <c r="F149" s="434">
        <f>-9.446616/F7</f>
        <v/>
      </c>
    </row>
    <row r="150" ht="15" customHeight="1" s="356">
      <c r="B150" s="445" t="inlineStr">
        <is>
          <t>Sub-Event: MoneyKey Facility repayment (Apr 23, 2026)</t>
        </is>
      </c>
      <c r="C150" s="465" t="n"/>
      <c r="D150" s="466" t="n"/>
      <c r="E150" s="471" t="n">
        <v>46135</v>
      </c>
      <c r="F150" s="434" t="n">
        <v>-6.1</v>
      </c>
    </row>
    <row r="151" ht="15" customHeight="1" s="356">
      <c r="B151" s="451" t="n"/>
      <c r="C151" s="465" t="n"/>
      <c r="D151" s="466" t="n"/>
      <c r="E151" s="472" t="n"/>
      <c r="F151" s="461" t="n"/>
    </row>
    <row r="152" ht="15" customHeight="1" s="356">
      <c r="B152" s="451" t="n"/>
      <c r="C152" s="465" t="n"/>
      <c r="D152" s="466" t="n"/>
      <c r="E152" s="472" t="n"/>
      <c r="F152" s="461" t="n"/>
    </row>
    <row r="153" ht="15" customHeight="1" s="356">
      <c r="B153" s="451" t="n"/>
      <c r="C153" s="465" t="n"/>
      <c r="D153" s="466" t="n"/>
      <c r="E153" s="472" t="n"/>
      <c r="F153" s="461" t="n"/>
    </row>
    <row r="154" ht="15" customHeight="1" s="356">
      <c r="B154" s="451" t="n"/>
      <c r="C154" s="465" t="n"/>
      <c r="D154" s="466" t="n"/>
      <c r="E154" s="472" t="n"/>
      <c r="F154" s="461" t="n"/>
    </row>
    <row r="155" ht="15" customHeight="1" s="356">
      <c r="B155" s="451" t="n"/>
      <c r="C155" s="465" t="n"/>
      <c r="D155" s="466" t="n"/>
      <c r="E155" s="472" t="n"/>
      <c r="F155" s="461" t="n"/>
    </row>
    <row r="156" ht="15" customHeight="1" s="356">
      <c r="B156" s="451" t="n"/>
      <c r="C156" s="465" t="n"/>
      <c r="D156" s="466" t="n"/>
      <c r="E156" s="472" t="n"/>
      <c r="F156" s="461" t="n"/>
    </row>
    <row r="157" ht="15" customHeight="1" s="356">
      <c r="B157" s="451" t="n"/>
      <c r="C157" s="465" t="n"/>
      <c r="D157" s="466" t="n"/>
      <c r="E157" s="472" t="n"/>
      <c r="F157" s="461" t="n"/>
    </row>
    <row r="158" ht="15" customHeight="1" s="356">
      <c r="B158" s="451" t="n"/>
      <c r="C158" s="465" t="n"/>
      <c r="D158" s="466" t="n"/>
      <c r="E158" s="472" t="n"/>
      <c r="F158" s="461" t="n"/>
    </row>
    <row r="159" ht="15" customHeight="1" s="356">
      <c r="B159" s="451" t="n"/>
      <c r="C159" s="465" t="n"/>
      <c r="D159" s="466" t="n"/>
      <c r="E159" s="472" t="n"/>
      <c r="F159" s="461" t="n"/>
    </row>
    <row r="160" ht="15" customHeight="1" s="356">
      <c r="B160" s="451" t="n"/>
      <c r="C160" s="465" t="n"/>
      <c r="D160" s="466" t="n"/>
      <c r="E160" s="472" t="n"/>
      <c r="F160" s="461" t="n"/>
    </row>
    <row r="161" ht="15" customHeight="1" s="356">
      <c r="B161" s="451" t="n"/>
      <c r="C161" s="465" t="n"/>
      <c r="D161" s="466" t="n"/>
      <c r="E161" s="472" t="n"/>
      <c r="F161" s="461" t="n"/>
    </row>
    <row r="162" ht="15" customHeight="1" s="356">
      <c r="B162" s="451" t="n"/>
      <c r="C162" s="465" t="n"/>
      <c r="D162" s="466" t="n"/>
      <c r="E162" s="468" t="n"/>
      <c r="F162" s="461" t="n"/>
    </row>
    <row r="163" ht="15" customHeight="1" s="356">
      <c r="B163" s="451" t="n"/>
      <c r="C163" s="465" t="n"/>
      <c r="D163" s="466" t="n"/>
      <c r="E163" s="468" t="n"/>
      <c r="F163" s="473" t="n"/>
    </row>
    <row r="164" ht="15" customHeight="1" s="356">
      <c r="B164" s="454" t="inlineStr">
        <is>
          <t>Total Cash</t>
        </is>
      </c>
      <c r="C164" s="454" t="n"/>
      <c r="D164" s="454" t="n"/>
      <c r="E164" s="454" t="n"/>
      <c r="F164" s="456">
        <f>SUM(F147:F163)</f>
        <v/>
      </c>
      <c r="H164" s="457" t="n"/>
      <c r="Q164" s="458" t="n"/>
    </row>
    <row r="166" ht="15" customHeight="1" s="356">
      <c r="B166" s="438" t="inlineStr">
        <is>
          <t>VII. BASIC SHARES OUTSTANDING</t>
        </is>
      </c>
    </row>
    <row r="167" ht="15" customHeight="1" s="356">
      <c r="B167" s="439" t="inlineStr">
        <is>
          <t>Description</t>
        </is>
      </c>
      <c r="C167" s="440" t="n"/>
      <c r="D167" s="440" t="n"/>
      <c r="E167" s="440" t="inlineStr">
        <is>
          <t>Date</t>
        </is>
      </c>
      <c r="F167" s="441" t="inlineStr">
        <is>
          <t>Amount</t>
        </is>
      </c>
    </row>
    <row r="168" ht="15" customHeight="1" s="356">
      <c r="B168" s="445" t="inlineStr">
        <is>
          <t>Common Shares Outstanding</t>
        </is>
      </c>
      <c r="C168" s="465" t="n"/>
      <c r="D168" s="466" t="n"/>
      <c r="E168" s="467" t="n">
        <v>46112</v>
      </c>
      <c r="F168" s="474" t="n">
        <v>39.360899</v>
      </c>
    </row>
    <row r="169" ht="15" customHeight="1" s="356">
      <c r="B169" s="451" t="n"/>
      <c r="C169" s="465" t="n"/>
      <c r="D169" s="466" t="n"/>
      <c r="E169" s="472" t="n"/>
      <c r="F169" s="464" t="n"/>
    </row>
    <row r="170" ht="15" customHeight="1" s="356">
      <c r="B170" s="451" t="n"/>
      <c r="C170" s="465" t="n"/>
      <c r="D170" s="466" t="n"/>
      <c r="E170" s="472" t="n"/>
      <c r="F170" s="464" t="n"/>
    </row>
    <row r="171" ht="15" customHeight="1" s="356">
      <c r="B171" s="451" t="n"/>
      <c r="C171" s="465" t="n"/>
      <c r="D171" s="466" t="n"/>
      <c r="E171" s="472" t="n"/>
      <c r="F171" s="464" t="n"/>
    </row>
    <row r="172" ht="15" customHeight="1" s="356">
      <c r="B172" s="451" t="n"/>
      <c r="C172" s="465" t="n"/>
      <c r="D172" s="466" t="n"/>
      <c r="E172" s="472" t="n"/>
      <c r="F172" s="464" t="n"/>
    </row>
    <row r="173" ht="15" customHeight="1" s="356">
      <c r="B173" s="451" t="n"/>
      <c r="C173" s="465" t="n"/>
      <c r="D173" s="466" t="n"/>
      <c r="E173" s="472" t="n"/>
      <c r="F173" s="464" t="n"/>
    </row>
    <row r="174" ht="15" customHeight="1" s="356">
      <c r="B174" s="451" t="n"/>
      <c r="C174" s="465" t="n"/>
      <c r="D174" s="466" t="n"/>
      <c r="E174" s="472" t="n"/>
      <c r="F174" s="464" t="n"/>
    </row>
    <row r="175" ht="15" customHeight="1" s="356">
      <c r="B175" s="451" t="n"/>
      <c r="C175" s="465" t="n"/>
      <c r="D175" s="466" t="n"/>
      <c r="E175" s="472" t="n"/>
      <c r="F175" s="464" t="n"/>
    </row>
    <row r="176" ht="15" customHeight="1" s="356">
      <c r="B176" s="451" t="n"/>
      <c r="C176" s="465" t="n"/>
      <c r="D176" s="466" t="n"/>
      <c r="E176" s="472" t="n"/>
      <c r="F176" s="464" t="n"/>
    </row>
    <row r="177" ht="15" customHeight="1" s="356">
      <c r="B177" s="451" t="n"/>
      <c r="C177" s="465" t="n"/>
      <c r="D177" s="466" t="n"/>
      <c r="E177" s="472" t="n"/>
      <c r="F177" s="464" t="n"/>
    </row>
    <row r="178" ht="15" customHeight="1" s="356">
      <c r="B178" s="451" t="n"/>
      <c r="C178" s="465" t="n"/>
      <c r="D178" s="466" t="n"/>
      <c r="E178" s="472" t="n"/>
      <c r="F178" s="464" t="n"/>
    </row>
    <row r="179" ht="15" customHeight="1" s="356">
      <c r="B179" s="451" t="n"/>
      <c r="C179" s="465" t="n"/>
      <c r="D179" s="466" t="n"/>
      <c r="E179" s="472" t="n"/>
      <c r="F179" s="464" t="n"/>
    </row>
    <row r="180" ht="15" customHeight="1" s="356">
      <c r="B180" s="451" t="n"/>
      <c r="C180" s="465" t="n"/>
      <c r="D180" s="466" t="n"/>
      <c r="E180" s="472" t="n"/>
      <c r="F180" s="464" t="n"/>
    </row>
    <row r="181" ht="15" customHeight="1" s="356">
      <c r="B181" s="451" t="n"/>
      <c r="C181" s="465" t="n"/>
      <c r="D181" s="466" t="n"/>
      <c r="E181" s="472" t="n"/>
      <c r="F181" s="464" t="n"/>
    </row>
    <row r="182" ht="15" customHeight="1" s="356">
      <c r="B182" s="451" t="n"/>
      <c r="C182" s="465" t="n"/>
      <c r="D182" s="466" t="n"/>
      <c r="E182" s="472" t="n"/>
      <c r="F182" s="464" t="n"/>
    </row>
    <row r="183" ht="15" customHeight="1" s="356">
      <c r="B183" s="451" t="n"/>
      <c r="C183" s="465" t="n"/>
      <c r="D183" s="466" t="n"/>
      <c r="E183" s="472" t="n"/>
      <c r="F183" s="464" t="n"/>
    </row>
    <row r="184" ht="15" customHeight="1" s="356">
      <c r="B184" s="451" t="n"/>
      <c r="C184" s="465" t="n"/>
      <c r="D184" s="466" t="n"/>
      <c r="E184" s="472" t="n"/>
      <c r="F184" s="464" t="n"/>
    </row>
    <row r="185" ht="15" customHeight="1" s="356">
      <c r="B185" s="451" t="n"/>
      <c r="C185" s="465" t="n"/>
      <c r="D185" s="466" t="n"/>
      <c r="E185" s="472" t="n"/>
      <c r="F185" s="464" t="n"/>
    </row>
    <row r="186" ht="15" customHeight="1" s="356">
      <c r="B186" s="454" t="inlineStr">
        <is>
          <t>Total Basic Shares Outstanding</t>
        </is>
      </c>
      <c r="C186" s="454" t="n"/>
      <c r="D186" s="454" t="n"/>
      <c r="E186" s="454" t="n"/>
      <c r="F186" s="475">
        <f>SUM(F168:F185)</f>
        <v/>
      </c>
    </row>
    <row r="187" ht="15" customHeight="1" s="356">
      <c r="A187" s="357" t="inlineStr">
        <is>
          <t xml:space="preserve"> </t>
        </is>
      </c>
      <c r="B187" s="385" t="n"/>
      <c r="C187" s="385" t="n"/>
      <c r="D187" s="385" t="n"/>
      <c r="E187" s="385" t="n"/>
      <c r="F187" s="476" t="n"/>
      <c r="G187" s="357" t="inlineStr">
        <is>
          <t xml:space="preserve"> </t>
        </is>
      </c>
    </row>
    <row r="188" ht="15" customHeight="1" s="356">
      <c r="B188" s="357" t="n"/>
      <c r="C188" s="357" t="n"/>
      <c r="D188" s="357" t="n"/>
      <c r="E188" s="357" t="n"/>
      <c r="F188" s="477" t="n"/>
    </row>
    <row r="189" ht="15" customHeight="1" s="356">
      <c r="B189" s="478" t="n"/>
      <c r="C189" s="357" t="n"/>
      <c r="D189" s="357" t="n"/>
      <c r="E189" s="357" t="n"/>
      <c r="F189" s="479" t="n"/>
    </row>
    <row r="190" ht="15" customHeight="1" s="356">
      <c r="B190" s="478" t="n"/>
      <c r="F190" s="480" t="n"/>
    </row>
  </sheetData>
  <mergeCells count="8">
    <mergeCell ref="B166:F166"/>
    <mergeCell ref="B106:F106"/>
    <mergeCell ref="B55:F55"/>
    <mergeCell ref="B124:F124"/>
    <mergeCell ref="B145:F145"/>
    <mergeCell ref="B50:F50"/>
    <mergeCell ref="B13:F13"/>
    <mergeCell ref="B88:F8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BH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.69" customWidth="1" style="355" min="1" max="1"/>
    <col width="19.26" customWidth="1" style="355" min="2" max="2"/>
    <col width="2.69" customWidth="1" style="355" min="3" max="3"/>
    <col width="11.42" customWidth="1" style="355" min="4" max="4"/>
    <col hidden="1" width="11.42" customWidth="1" style="355" min="7" max="7"/>
    <col width="11.42" customWidth="1" style="355" min="10" max="10"/>
    <col width="11.15" customWidth="1" style="355" min="11" max="11"/>
    <col width="11.42" customWidth="1" style="355" min="13" max="13"/>
    <col hidden="1" width="2.57" customWidth="1" style="355" min="20" max="20"/>
    <col hidden="1" width="11.42" customWidth="1" style="355" min="21" max="21"/>
    <col width="50.57" customWidth="1" style="355" min="27" max="27"/>
    <col width="2.69" customWidth="1" style="355" min="28" max="28"/>
    <col width="9.58" customWidth="1" style="355" min="29" max="29"/>
    <col width="1.58" customWidth="1" style="355" min="33" max="33"/>
    <col width="9.58" customWidth="1" style="355" min="34" max="34"/>
    <col width="1.58" customWidth="1" style="355" min="38" max="38"/>
    <col width="9.58" customWidth="1" style="355" min="39" max="39"/>
    <col width="1.58" customWidth="1" style="355" min="43" max="43"/>
    <col width="9.58" customWidth="1" style="355" min="44" max="44"/>
    <col width="1.58" customWidth="1" style="355" min="45" max="45"/>
    <col width="9.58" customWidth="1" style="355" min="46" max="46"/>
    <col width="1.58" customWidth="1" style="355" min="47" max="47"/>
    <col width="9.58" customWidth="1" style="355" min="48" max="48"/>
    <col width="1.58" customWidth="1" style="355" min="49" max="49"/>
    <col width="9.58" customWidth="1" style="355" min="50" max="50"/>
    <col width="1.58" customWidth="1" style="355" min="56" max="56"/>
    <col width="9.58" customWidth="1" style="355" min="57" max="57"/>
    <col width="9.58" customWidth="1" style="355" min="61" max="61"/>
  </cols>
  <sheetData>
    <row r="1" ht="15" customHeight="1" s="356"/>
    <row r="2" hidden="1" ht="15" customHeight="1" s="356">
      <c r="E2" s="365" t="inlineStr">
        <is>
          <t>$F$2</t>
        </is>
      </c>
      <c r="F2" s="481">
        <f>TODAY()-1</f>
        <v/>
      </c>
      <c r="K2" s="365" t="n"/>
      <c r="L2" s="482" t="inlineStr">
        <is>
          <t>EV/Revenue</t>
        </is>
      </c>
      <c r="O2" s="482" t="inlineStr">
        <is>
          <t>EV/EBITDA</t>
        </is>
      </c>
    </row>
    <row r="3" hidden="1" ht="15" customHeight="1" s="356">
      <c r="E3" s="365" t="inlineStr">
        <is>
          <t>Currency:</t>
        </is>
      </c>
      <c r="F3" s="483">
        <f>captable!F5</f>
        <v/>
      </c>
      <c r="G3" s="423" t="n"/>
      <c r="K3" s="365" t="inlineStr">
        <is>
          <t>Min</t>
        </is>
      </c>
      <c r="L3" s="484" t="n">
        <v>0</v>
      </c>
      <c r="M3" s="484" t="n">
        <v>0</v>
      </c>
      <c r="N3" s="484" t="n">
        <v>0</v>
      </c>
      <c r="O3" s="484" t="n">
        <v>0</v>
      </c>
      <c r="P3" s="484" t="n">
        <v>0</v>
      </c>
      <c r="Q3" s="484" t="n">
        <v>0</v>
      </c>
      <c r="AA3" s="485" t="n"/>
    </row>
    <row r="4" hidden="1" ht="15" customHeight="1" s="356">
      <c r="E4" s="365" t="inlineStr">
        <is>
          <t>Period:</t>
        </is>
      </c>
      <c r="F4" s="486" t="n">
        <v>2026</v>
      </c>
      <c r="K4" s="365" t="inlineStr">
        <is>
          <t>Max</t>
        </is>
      </c>
      <c r="L4" s="487" t="n">
        <v>20</v>
      </c>
      <c r="M4" s="487" t="n">
        <v>20</v>
      </c>
      <c r="N4" s="487" t="n">
        <v>20</v>
      </c>
      <c r="O4" s="487" t="n">
        <v>50</v>
      </c>
      <c r="P4" s="487" t="n">
        <v>50</v>
      </c>
      <c r="Q4" s="487" t="n">
        <v>50</v>
      </c>
    </row>
    <row r="5" ht="15" customHeight="1" s="356"/>
    <row r="6" ht="14.25" customHeight="1" s="356">
      <c r="D6" s="488">
        <f>"(In "&amp;IF(F3="USD","US","C")&amp;"$MM, unless otherwise noted)"</f>
        <v/>
      </c>
      <c r="E6" s="489" t="n"/>
      <c r="F6" s="489" t="n"/>
      <c r="G6" s="490" t="inlineStr">
        <is>
          <t>Price</t>
        </is>
      </c>
      <c r="H6" s="490" t="inlineStr">
        <is>
          <t>Price</t>
        </is>
      </c>
      <c r="I6" s="490" t="inlineStr">
        <is>
          <t>Native</t>
        </is>
      </c>
      <c r="J6" s="490" t="inlineStr">
        <is>
          <t>Market</t>
        </is>
      </c>
      <c r="K6" s="490" t="inlineStr">
        <is>
          <t>Enterprise</t>
        </is>
      </c>
      <c r="L6" s="491" t="inlineStr">
        <is>
          <t>EV / Revenue</t>
        </is>
      </c>
      <c r="O6" s="491" t="inlineStr">
        <is>
          <t>EV / EBITDA</t>
        </is>
      </c>
      <c r="R6" s="491" t="inlineStr">
        <is>
          <t>Rev. Growth</t>
        </is>
      </c>
      <c r="T6" s="492" t="n"/>
      <c r="U6" s="491" t="inlineStr">
        <is>
          <t>P / E</t>
        </is>
      </c>
      <c r="X6" s="491" t="inlineStr">
        <is>
          <t>ROE</t>
        </is>
      </c>
      <c r="Y6" s="491" t="inlineStr">
        <is>
          <t>P / B</t>
        </is>
      </c>
      <c r="Z6" s="491" t="inlineStr">
        <is>
          <t>P / TBV</t>
        </is>
      </c>
      <c r="AA6" s="492" t="n"/>
      <c r="AC6" s="491" t="inlineStr">
        <is>
          <t>Revenue</t>
        </is>
      </c>
      <c r="AH6" s="491" t="inlineStr">
        <is>
          <t>EBITDA</t>
        </is>
      </c>
      <c r="AM6" s="491" t="inlineStr">
        <is>
          <t>EPS</t>
        </is>
      </c>
      <c r="AR6" s="490" t="inlineStr">
        <is>
          <t>ROE</t>
        </is>
      </c>
      <c r="AT6" s="490" t="inlineStr">
        <is>
          <t>BVPS</t>
        </is>
      </c>
      <c r="AV6" s="490" t="inlineStr">
        <is>
          <t>TBVPS</t>
        </is>
      </c>
      <c r="AX6" s="490" t="inlineStr">
        <is>
          <t>Div.</t>
        </is>
      </c>
      <c r="AY6" s="490" t="inlineStr">
        <is>
          <t>Book</t>
        </is>
      </c>
      <c r="AZ6" s="490" t="n"/>
      <c r="BA6" s="490" t="inlineStr">
        <is>
          <t>Cash &amp; ST</t>
        </is>
      </c>
      <c r="BB6" s="490" t="n"/>
      <c r="BC6" s="490" t="n"/>
      <c r="BE6" s="493" t="inlineStr">
        <is>
          <t>Gross Margin (%)</t>
        </is>
      </c>
    </row>
    <row r="7" ht="14.25" customHeight="1" s="356">
      <c r="D7" s="494" t="inlineStr">
        <is>
          <t>Company</t>
        </is>
      </c>
      <c r="E7" s="489" t="n"/>
      <c r="F7" s="489" t="n"/>
      <c r="G7" s="495">
        <f>CONCATENATE("(",TEXT($F$2,"dd-mmm-yy"),")")</f>
        <v/>
      </c>
      <c r="H7" s="495">
        <f>"("&amp;F3&amp;")"</f>
        <v/>
      </c>
      <c r="I7" s="495" t="inlineStr">
        <is>
          <t>Currency</t>
        </is>
      </c>
      <c r="J7" s="490" t="inlineStr">
        <is>
          <t>Cap</t>
        </is>
      </c>
      <c r="K7" s="490" t="inlineStr">
        <is>
          <t>Value</t>
        </is>
      </c>
      <c r="L7" s="490" t="inlineStr">
        <is>
          <t>LTM</t>
        </is>
      </c>
      <c r="M7" s="490">
        <f>"CY"&amp;$F$4&amp;"E"</f>
        <v/>
      </c>
      <c r="N7" s="490">
        <f>"CY"&amp;$F$4+1&amp;"E"</f>
        <v/>
      </c>
      <c r="O7" s="490" t="inlineStr">
        <is>
          <t>LTM</t>
        </is>
      </c>
      <c r="P7" s="490">
        <f>"CY"&amp;$F$4&amp;"E"</f>
        <v/>
      </c>
      <c r="Q7" s="490">
        <f>"CY"&amp;$F$4+1&amp;"E"</f>
        <v/>
      </c>
      <c r="R7" s="492">
        <f>RIGHT(AD7,2)&amp;"E-"&amp;RIGHT(AE7,2)&amp;"E"</f>
        <v/>
      </c>
      <c r="S7" s="492">
        <f>RIGHT(AE7,2)&amp;"E-"&amp;RIGHT(AF7,2)&amp;"E"</f>
        <v/>
      </c>
      <c r="T7" s="492" t="n"/>
      <c r="U7" s="490" t="inlineStr">
        <is>
          <t>LTM</t>
        </is>
      </c>
      <c r="V7" s="490">
        <f>"CY"&amp;$F$4&amp;"E"</f>
        <v/>
      </c>
      <c r="W7" s="490">
        <f>"CY"&amp;$F$4+1&amp;"E"</f>
        <v/>
      </c>
      <c r="X7" s="490" t="inlineStr">
        <is>
          <t>LTM</t>
        </is>
      </c>
      <c r="Y7" s="490" t="inlineStr">
        <is>
          <t>Current</t>
        </is>
      </c>
      <c r="Z7" s="490" t="inlineStr">
        <is>
          <t>Current</t>
        </is>
      </c>
      <c r="AA7" s="496" t="inlineStr">
        <is>
          <t>Description</t>
        </is>
      </c>
      <c r="AC7" s="490" t="inlineStr">
        <is>
          <t>LTM</t>
        </is>
      </c>
      <c r="AD7" s="490">
        <f>"CY"&amp;$F$4-1</f>
        <v/>
      </c>
      <c r="AE7" s="490">
        <f>"CY"&amp;$F$4</f>
        <v/>
      </c>
      <c r="AF7" s="490">
        <f>"CY"&amp;$F$4+1</f>
        <v/>
      </c>
      <c r="AH7" s="490" t="inlineStr">
        <is>
          <t>LTM</t>
        </is>
      </c>
      <c r="AI7" s="490">
        <f>"CY"&amp;$F$4-1</f>
        <v/>
      </c>
      <c r="AJ7" s="490">
        <f>"CY"&amp;$F$4</f>
        <v/>
      </c>
      <c r="AK7" s="490">
        <f>"CY"&amp;$F$4+1</f>
        <v/>
      </c>
      <c r="AM7" s="490" t="inlineStr">
        <is>
          <t>LTM</t>
        </is>
      </c>
      <c r="AN7" s="490">
        <f>"CY"&amp;$F$4-1</f>
        <v/>
      </c>
      <c r="AO7" s="490">
        <f>"CY"&amp;$F$4</f>
        <v/>
      </c>
      <c r="AP7" s="490">
        <f>"CY"&amp;$F$4+1</f>
        <v/>
      </c>
      <c r="AR7" s="490" t="inlineStr">
        <is>
          <t>LTM</t>
        </is>
      </c>
      <c r="AT7" s="490" t="inlineStr">
        <is>
          <t>LTM</t>
        </is>
      </c>
      <c r="AV7" s="490" t="inlineStr">
        <is>
          <t>LTM</t>
        </is>
      </c>
      <c r="AX7" s="490" t="inlineStr">
        <is>
          <t>Yield</t>
        </is>
      </c>
      <c r="AY7" s="490" t="inlineStr">
        <is>
          <t>Value</t>
        </is>
      </c>
      <c r="AZ7" s="490" t="inlineStr">
        <is>
          <t>Debt</t>
        </is>
      </c>
      <c r="BA7" s="490" t="inlineStr">
        <is>
          <t>Investments</t>
        </is>
      </c>
      <c r="BB7" s="490" t="inlineStr">
        <is>
          <t>Net Debt</t>
        </is>
      </c>
      <c r="BC7" s="490" t="inlineStr">
        <is>
          <t>Equity</t>
        </is>
      </c>
      <c r="BE7" s="490" t="inlineStr">
        <is>
          <t>LTM</t>
        </is>
      </c>
      <c r="BF7" s="490">
        <f>"CY"&amp;$F$4-1</f>
        <v/>
      </c>
      <c r="BG7" s="490">
        <f>"CY"&amp;$F$4</f>
        <v/>
      </c>
      <c r="BH7" s="490">
        <f>"CY"&amp;$F$4+1</f>
        <v/>
      </c>
    </row>
    <row r="8" ht="3" customHeight="1" s="356"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X8" s="497" t="n"/>
      <c r="AY8" s="497" t="n"/>
      <c r="AZ8" s="497" t="n"/>
      <c r="BA8" s="497" t="n"/>
      <c r="BB8" s="497" t="n"/>
      <c r="BC8" s="497" t="n"/>
      <c r="BD8" s="497" t="n"/>
      <c r="BE8" s="497" t="inlineStr">
        <is>
          <t>\</t>
        </is>
      </c>
      <c r="BF8" s="497" t="n"/>
      <c r="BG8" s="497" t="n"/>
      <c r="BH8" s="497" t="n"/>
    </row>
    <row r="9" ht="14.25" customHeight="1" s="356">
      <c r="B9" s="497" t="n"/>
      <c r="D9" s="498" t="inlineStr">
        <is>
          <t>Non-Prime Consumer Lenders</t>
        </is>
      </c>
    </row>
    <row r="10" ht="14.25" customHeight="1" s="356">
      <c r="B10" s="486" t="inlineStr">
        <is>
          <t>NYSE:ENVA</t>
        </is>
      </c>
      <c r="D10" s="365">
        <f t="array" ref="D10:D10">IF($B10="","",_xll.snl.clients.office.excel.functions.spg($B10, "SP_COMPANY_NAME"))</f>
        <v/>
      </c>
      <c r="G10" s="430">
        <f t="array" ref="G10:G10">IF($B10="","",_xll.snl.clients.office.excel.functions.spg($B10,"SP_LASTSALEPRICE",WORKDAY($F$2+1,-1),"Options:Curr="&amp;I10&amp;",NA=--"))</f>
        <v/>
      </c>
      <c r="H10" s="499">
        <f t="array" ref="H10:H10">IF($B10="","",_xll.snl.clients.office.excel.functions.spg($B10,"SP_PRICE_CLOSE",WORKDAY($F$2+1,-1),"Options:Curr="&amp;$F$3&amp;", NA=--"))</f>
        <v/>
      </c>
      <c r="I10" s="500">
        <f t="array" ref="I10:I10">IF($B10="","",_xll.snl.clients.office.excel.functions.spg($B10,"SP_TRADING_CURRENCY","Options: NA=--"))</f>
        <v/>
      </c>
      <c r="J10" s="501">
        <f t="array" ref="J10:J10">IF($B10="","n/a ",_xll.snl.clients.office.excel.functions.spg($B10,"SP_MARKETCAP",WORKDAY($F$2+1,-1),"Options:Curr="&amp;$F$3&amp;", Mag=Millions, NA=--"))</f>
        <v/>
      </c>
      <c r="K10" s="501">
        <f t="array" ref="K10:K10">IF($B10="","n/a ",_xll.snl.clients.office.excel.functions.spg($B10,"IQ_TEV",WORKDAY($F$2+1,-1),"Options:Curr="&amp;$F$3&amp;", Mag=Millions, NA=--"))</f>
        <v/>
      </c>
      <c r="L10" s="502">
        <f>IFERROR(IF(OR($K10/AC10&gt;L$4,$K10/AC10&lt;L$3),"nmf ",$K10/AC10),"n/a ")</f>
        <v/>
      </c>
      <c r="M10" s="502">
        <f>IFERROR(IF(OR($K10/AE10&gt;M$4,$K10/AE10&lt;M$3),"nmf ",$K10/AE10),"n/a ")</f>
        <v/>
      </c>
      <c r="N10" s="502">
        <f>IFERROR(IF(OR($K10/AF10&gt;N$4,$K10/AF10&lt;N$3),"nmf ",$K10/AF10),"n/a ")</f>
        <v/>
      </c>
      <c r="O10" s="502">
        <f>IFERROR(IF(OR($K10/AH10&gt;O$4,$K10/AH10&lt;O$3),"nmf ",$K10/AH10),"n/a ")</f>
        <v/>
      </c>
      <c r="P10" s="502">
        <f>IFERROR(IF(OR($K10/AJ10&gt;P$4,$K10/AJ10&lt;P$3),"nmf ",$K10/AJ10),"n/a ")</f>
        <v/>
      </c>
      <c r="Q10" s="502">
        <f>IFERROR(IF(OR($K10/AK10&gt;Q$4,$K10/AK10&lt;Q$3),"nmf ",$K10/AK10),"n/a ")</f>
        <v/>
      </c>
      <c r="R10" s="503">
        <f>IFERROR((AE10/AD10)-1,"n/a ")</f>
        <v/>
      </c>
      <c r="S10" s="503">
        <f>IFERROR((AF10/AE10)-1,"n/a ")</f>
        <v/>
      </c>
      <c r="T10" s="503" t="n"/>
      <c r="U10" s="502">
        <f>IFERROR($H10/AM10,"n/a ")</f>
        <v/>
      </c>
      <c r="V10" s="502">
        <f>IFERROR($H10/AO10,"n/a ")</f>
        <v/>
      </c>
      <c r="W10" s="502">
        <f>IFERROR($H10/AP10,"n/a ")</f>
        <v/>
      </c>
      <c r="X10" s="504">
        <f>IFERROR(AR10/100,"n/a ")</f>
        <v/>
      </c>
      <c r="Y10" s="502">
        <f>IFERROR(H10/AT10,"n/a ")</f>
        <v/>
      </c>
      <c r="Z10" s="502">
        <f>IFERROR(H10/AV10,"n/a ")</f>
        <v/>
      </c>
      <c r="AA10" s="505" t="inlineStr">
        <is>
          <t>Online non-prime consumer &amp; SMB lender</t>
        </is>
      </c>
      <c r="AC10" s="506">
        <f t="array" ref="AC10:AC10">IF($B10="","",_xll.snl.clients.office.excel.functions.spg($B10,"IQ_REV",AC$7,$F$2,"Options:Curr="&amp;$F$3&amp;", Mag=Millions, NA=--"))</f>
        <v/>
      </c>
      <c r="AD10" s="506">
        <f t="array" ref="AD10:AD10">IF($B10="","",_xll.snl.clients.office.excel.functions.spg($B10,"SP_REV_EST",AD$7,$F$2,"Options:Curr="&amp;$F$3&amp;", Mag=Millions, NA=--"))</f>
        <v/>
      </c>
      <c r="AE10" s="506">
        <f t="array" ref="AE10:AE10">IF($B10="","",_xll.snl.clients.office.excel.functions.spg($B10,"SP_REV_EST",AE$7,$F$2,"Options:Curr="&amp;$F$3&amp;", Mag=Millions, NA=--"))</f>
        <v/>
      </c>
      <c r="AF10" s="506">
        <f t="array" ref="AF10:AF10">IF($B10="","",_xll.snl.clients.office.excel.functions.spg($B10,"SP_REV_EST",AF$7,$F$2,"Options:Curr="&amp;$F$3&amp;", Mag=Millions, NA=--"))</f>
        <v/>
      </c>
      <c r="AG10" s="507" t="n"/>
      <c r="AH10" s="506">
        <f t="array" ref="AH10:AH10">IF($B10="","",_xll.snl.clients.office.excel.functions.spg($B10,"SP_EBITDA",AH$7,$F$2,"Options:Curr="&amp;$F$3&amp;", Mag=Millions, NA=--"))</f>
        <v/>
      </c>
      <c r="AI10" s="506">
        <f t="array" ref="AI10:AI10">IF($B10="","",_xll.snl.clients.office.excel.functions.spg($B10,"SP_EBITDA_EST",AI$7,$F$2,"Options:Curr="&amp;$F$3&amp;", Mag=Millions, NA=--"))</f>
        <v/>
      </c>
      <c r="AJ10" s="506">
        <f t="array" ref="AJ10:AJ10">IF($B10="","",_xll.snl.clients.office.excel.functions.spg($B10,"SP_EBITDA_EST",AJ$7,$F$2,"Options:Curr="&amp;$F$3&amp;", Mag=Millions, NA=--"))</f>
        <v/>
      </c>
      <c r="AK10" s="506">
        <f t="array" ref="AK10:AK10">IF($B10="","",_xll.snl.clients.office.excel.functions.spg($B10,"SP_EBITDA_EST",AK$7,$F$2,"Options:Curr="&amp;$F$3&amp;", Mag=Millions, NA=--"))</f>
        <v/>
      </c>
      <c r="AL10" s="508" t="n"/>
      <c r="AM10" s="509">
        <f t="array" ref="AM10:AM10">IF($B10="","",_xll.snl.clients.office.excel.functions.spg($B10,"IQ_BASIC_EPS_BEFORE_EXTRA",AM$7,$F$2,"Options:Curr="&amp;$F$3&amp;", NA=--"))</f>
        <v/>
      </c>
      <c r="AN10" s="509">
        <f t="array" ref="AN10:AN10">IF($B10="","",_xll.snl.clients.office.excel.functions.spg($B10,"SP_EPS_EST",AN$7,$F$2,"Options:Curr="&amp;$F$3&amp;", NA=--"))</f>
        <v/>
      </c>
      <c r="AO10" s="509">
        <f t="array" ref="AO10:AO10">IF($B10="","",_xll.snl.clients.office.excel.functions.spg($B10,"SP_EPS_EST",AO$7,$F$2,"Options:Curr="&amp;$F$3&amp;", NA=--"))</f>
        <v/>
      </c>
      <c r="AP10" s="509">
        <f t="array" ref="AP10:AP10">IF($B10="","",_xll.snl.clients.office.excel.functions.spg($B10,"SP_EPS_EST",AP$7,$F$2,"Options:Curr="&amp;$F$3&amp;", NA=--"))</f>
        <v/>
      </c>
      <c r="AQ10" s="508" t="n"/>
      <c r="AR10" s="509">
        <f t="array" ref="AR10:AR10">IF($B10="","",_xll.snl.clients.office.excel.functions.spg($B10,"IQ_ROE",AR$7,$F$2,"Options:Curr="&amp;$F$3&amp;", NA=--"))</f>
        <v/>
      </c>
      <c r="AS10" s="508" t="n"/>
      <c r="AT10" s="509">
        <f t="array" ref="AT10:AT10">IF($B10="","",_xll.snl.clients.office.excel.functions.spg($B10,"IQ_BVPS",AT$7,$F$2,"Options:Curr="&amp;$F$3&amp;", NA=--"))</f>
        <v/>
      </c>
      <c r="AU10" s="508" t="n"/>
      <c r="AV10" s="509">
        <f t="array" ref="AV10:AV10">IF($B10="","",_xll.snl.clients.office.excel.functions.spg($B10,"IQ_TBVPS",AV$7,$F$2,"Options:Curr="&amp;$F$3&amp;", NA=--"))</f>
        <v/>
      </c>
      <c r="AW10" s="508" t="n"/>
      <c r="AX10" s="510">
        <f t="array" ref="AX10:AX10">IF($B10="","",_xll.snl.clients.office.excel.functions.spg($B10,"SP_DIV_YIELD",WORKDAY($F$2+1,-1),"Options: NA=--"))</f>
        <v/>
      </c>
      <c r="AY10" s="506">
        <f t="array" ref="AY10:AY10">IF($B10="","",_xll.snl.clients.office.excel.functions.spg($B10,"IQ_TOTAL_EQUITY","FQ0",$F$2,"Options:Curr="&amp;$F$3&amp;", Mag=Millions, NA=--"))</f>
        <v/>
      </c>
      <c r="AZ10" s="506">
        <f t="array" ref="AZ10:AZ10">IF($B10="","",_xll.snl.clients.office.excel.functions.spg($B10,"IQ_TOTAL_DEBT","FQ0",$F$2,"Options:Curr="&amp;$F$3&amp;", Mag=Millions, NA=--"))</f>
        <v/>
      </c>
      <c r="BA10" s="506">
        <f t="array" ref="BA10:BA10">IF($B10="","",_xll.snl.clients.office.excel.functions.spg($B10,"IQ_CASH_ST_INVEST","FQ0",$F$2,"Options:Curr="&amp;$F$3&amp;", Mag=Millions, NA=--"))</f>
        <v/>
      </c>
      <c r="BB10" s="506">
        <f>+AZ10-BA10</f>
        <v/>
      </c>
      <c r="BC10" s="506">
        <f t="array" ref="BC10:BC10">IF($B10="","",_xll.snl.clients.office.excel.functions.spg($B10,"IQ_TOTAL_EQUITY","FQ0",$F$2,"Options:Curr="&amp;$F$3&amp;", Mag=Millions, NA=--"))</f>
        <v/>
      </c>
      <c r="BD10" s="508" t="n"/>
      <c r="BE10" s="511">
        <f>IF($B10="","",IFERROR(_xll.snl.clients.office.excel.functions.spg($B10,"SP_GROSS_MARGIN",BE$7,$F$2,"Options: NA=--")/100,"--"))</f>
        <v/>
      </c>
      <c r="BF10" s="511">
        <f>IF($B10="","",IFERROR(_xll.snl.clients.office.excel.functions.spg($B10,"SP_GROSS_MARGIN_EST",BF$7,$F$2,"Options: NA=--")/100,"--"))</f>
        <v/>
      </c>
      <c r="BG10" s="511">
        <f>IF($B10="","",IFERROR(_xll.snl.clients.office.excel.functions.spg($B10,"SP_GROSS_MARGIN_EST",BG$7,$F$2,"Options: NA=--")/100,"--"))</f>
        <v/>
      </c>
      <c r="BH10" s="511">
        <f>IF($B10="","",IFERROR(_xll.snl.clients.office.excel.functions.spg($B10,"SP_GROSS_MARGIN_EST",BH$7,$F$2,"Options: NA=--")/100,"--"))</f>
        <v/>
      </c>
    </row>
    <row r="11" ht="14.25" customHeight="1" s="356">
      <c r="B11" s="486" t="inlineStr">
        <is>
          <t>NYSE:OMF</t>
        </is>
      </c>
      <c r="D11" s="365">
        <f t="array" ref="D11:D11">IF($B11="","",_xll.snl.clients.office.excel.functions.spg($B11, "SP_COMPANY_NAME"))</f>
        <v/>
      </c>
      <c r="G11" s="430">
        <f t="array" ref="G11:G11">IF($B11="","",_xll.snl.clients.office.excel.functions.spg($B11,"SP_LASTSALEPRICE",WORKDAY($F$2+1,-1),"Options:Curr="&amp;I11&amp;",NA=--"))</f>
        <v/>
      </c>
      <c r="H11" s="499">
        <f t="array" ref="H11:H11">IF($B11="","",_xll.snl.clients.office.excel.functions.spg($B11,"SP_PRICE_CLOSE",WORKDAY($F$2+1,-1),"Options:Curr="&amp;$F$3&amp;", NA=--"))</f>
        <v/>
      </c>
      <c r="I11" s="500">
        <f t="array" ref="I11:I11">IF($B11="","",_xll.snl.clients.office.excel.functions.spg($B11,"SP_TRADING_CURRENCY","Options: NA=--"))</f>
        <v/>
      </c>
      <c r="J11" s="501">
        <f t="array" ref="J11:J11">IF($B11="","n/a ",_xll.snl.clients.office.excel.functions.spg($B11,"SP_MARKETCAP",WORKDAY($F$2+1,-1),"Options:Curr="&amp;$F$3&amp;", Mag=Millions, NA=--"))</f>
        <v/>
      </c>
      <c r="K11" s="501">
        <f t="array" ref="K11:K11">IF($B11="","n/a ",_xll.snl.clients.office.excel.functions.spg($B11,"IQ_TEV",WORKDAY($F$2+1,-1),"Options:Curr="&amp;$F$3&amp;", Mag=Millions, NA=--"))</f>
        <v/>
      </c>
      <c r="L11" s="502">
        <f>IFERROR(IF(OR($K11/AC11&gt;L$4,$K11/AC11&lt;L$3),"nmf ",$K11/AC11),"n/a ")</f>
        <v/>
      </c>
      <c r="M11" s="502">
        <f>IFERROR(IF(OR($K11/AE11&gt;M$4,$K11/AE11&lt;M$3),"nmf ",$K11/AE11),"n/a ")</f>
        <v/>
      </c>
      <c r="N11" s="502">
        <f>IFERROR(IF(OR($K11/AF11&gt;N$4,$K11/AF11&lt;N$3),"nmf ",$K11/AF11),"n/a ")</f>
        <v/>
      </c>
      <c r="O11" s="502">
        <f>IFERROR(IF(OR($K11/AH11&gt;O$4,$K11/AH11&lt;O$3),"nmf ",$K11/AH11),"n/a ")</f>
        <v/>
      </c>
      <c r="P11" s="502">
        <f>IFERROR(IF(OR($K11/AJ11&gt;P$4,$K11/AJ11&lt;P$3),"nmf ",$K11/AJ11),"n/a ")</f>
        <v/>
      </c>
      <c r="Q11" s="502">
        <f>IFERROR(IF(OR($K11/AK11&gt;Q$4,$K11/AK11&lt;Q$3),"nmf ",$K11/AK11),"n/a ")</f>
        <v/>
      </c>
      <c r="R11" s="503">
        <f>IFERROR((AE11/AD11)-1,"n/a ")</f>
        <v/>
      </c>
      <c r="S11" s="503">
        <f>IFERROR((AF11/AE11)-1,"n/a ")</f>
        <v/>
      </c>
      <c r="T11" s="503" t="n"/>
      <c r="U11" s="502">
        <f>IFERROR($H11/AM11,"n/a ")</f>
        <v/>
      </c>
      <c r="V11" s="502">
        <f>IFERROR($H11/AO11,"n/a ")</f>
        <v/>
      </c>
      <c r="W11" s="502">
        <f>IFERROR($H11/AP11,"n/a ")</f>
        <v/>
      </c>
      <c r="X11" s="504">
        <f>IFERROR(AR11/100,"n/a ")</f>
        <v/>
      </c>
      <c r="Y11" s="502">
        <f>IFERROR(H11/AT11,"n/a ")</f>
        <v/>
      </c>
      <c r="Z11" s="502">
        <f>IFERROR(H11/AV11,"n/a ")</f>
        <v/>
      </c>
      <c r="AA11" s="505" t="inlineStr">
        <is>
          <t>Non-prime personal installment loans &amp; cards</t>
        </is>
      </c>
      <c r="AC11" s="506">
        <f t="array" ref="AC11:AC11">IF($B11="","",_xll.snl.clients.office.excel.functions.spg($B11,"IQ_REV",AC$7,$F$2,"Options:Curr="&amp;$F$3&amp;", Mag=Millions, NA=--"))</f>
        <v/>
      </c>
      <c r="AD11" s="506">
        <f t="array" ref="AD11:AD11">IF($B11="","",_xll.snl.clients.office.excel.functions.spg($B11,"SP_REV_EST",AD$7,$F$2,"Options:Curr="&amp;$F$3&amp;", Mag=Millions, NA=--"))</f>
        <v/>
      </c>
      <c r="AE11" s="506">
        <f t="array" ref="AE11:AE11">IF($B11="","",_xll.snl.clients.office.excel.functions.spg($B11,"SP_REV_EST",AE$7,$F$2,"Options:Curr="&amp;$F$3&amp;", Mag=Millions, NA=--"))</f>
        <v/>
      </c>
      <c r="AF11" s="506">
        <f t="array" ref="AF11:AF11">IF($B11="","",_xll.snl.clients.office.excel.functions.spg($B11,"SP_REV_EST",AF$7,$F$2,"Options:Curr="&amp;$F$3&amp;", Mag=Millions, NA=--"))</f>
        <v/>
      </c>
      <c r="AG11" s="507" t="n"/>
      <c r="AH11" s="506">
        <f t="array" ref="AH11:AH11">IF($B11="","",_xll.snl.clients.office.excel.functions.spg($B11,"SP_EBITDA",AH$7,$F$2,"Options:Curr="&amp;$F$3&amp;", Mag=Millions, NA=--"))</f>
        <v/>
      </c>
      <c r="AI11" s="506">
        <f t="array" ref="AI11:AI11">IF($B11="","",_xll.snl.clients.office.excel.functions.spg($B11,"SP_EBITDA_EST",AI$7,$F$2,"Options:Curr="&amp;$F$3&amp;", Mag=Millions, NA=--"))</f>
        <v/>
      </c>
      <c r="AJ11" s="506">
        <f t="array" ref="AJ11:AJ11">IF($B11="","",_xll.snl.clients.office.excel.functions.spg($B11,"SP_EBITDA_EST",AJ$7,$F$2,"Options:Curr="&amp;$F$3&amp;", Mag=Millions, NA=--"))</f>
        <v/>
      </c>
      <c r="AK11" s="506">
        <f t="array" ref="AK11:AK11">IF($B11="","",_xll.snl.clients.office.excel.functions.spg($B11,"SP_EBITDA_EST",AK$7,$F$2,"Options:Curr="&amp;$F$3&amp;", Mag=Millions, NA=--"))</f>
        <v/>
      </c>
      <c r="AL11" s="508" t="n"/>
      <c r="AM11" s="509">
        <f t="array" ref="AM11:AM11">IF($B11="","",_xll.snl.clients.office.excel.functions.spg($B11,"IQ_BASIC_EPS_BEFORE_EXTRA",AM$7,$F$2,"Options:Curr="&amp;$F$3&amp;", NA=--"))</f>
        <v/>
      </c>
      <c r="AN11" s="509">
        <f t="array" ref="AN11:AN11">IF($B11="","",_xll.snl.clients.office.excel.functions.spg($B11,"SP_EPS_EST",AN$7,$F$2,"Options:Curr="&amp;$F$3&amp;", NA=--"))</f>
        <v/>
      </c>
      <c r="AO11" s="509">
        <f t="array" ref="AO11:AO11">IF($B11="","",_xll.snl.clients.office.excel.functions.spg($B11,"SP_EPS_EST",AO$7,$F$2,"Options:Curr="&amp;$F$3&amp;", NA=--"))</f>
        <v/>
      </c>
      <c r="AP11" s="509">
        <f t="array" ref="AP11:AP11">IF($B11="","",_xll.snl.clients.office.excel.functions.spg($B11,"SP_EPS_EST",AP$7,$F$2,"Options:Curr="&amp;$F$3&amp;", NA=--"))</f>
        <v/>
      </c>
      <c r="AQ11" s="508" t="n"/>
      <c r="AR11" s="509">
        <f t="array" ref="AR11:AR11">IF($B11="","",_xll.snl.clients.office.excel.functions.spg($B11,"IQ_ROE",AR$7,$F$2,"Options:Curr="&amp;$F$3&amp;", NA=--"))</f>
        <v/>
      </c>
      <c r="AS11" s="508" t="n"/>
      <c r="AT11" s="509">
        <f t="array" ref="AT11:AT11">IF($B11="","",_xll.snl.clients.office.excel.functions.spg($B11,"IQ_BVPS",AT$7,$F$2,"Options:Curr="&amp;$F$3&amp;", NA=--"))</f>
        <v/>
      </c>
      <c r="AU11" s="508" t="n"/>
      <c r="AV11" s="509">
        <f t="array" ref="AV11:AV11">IF($B11="","",_xll.snl.clients.office.excel.functions.spg($B11,"IQ_TBVPS",AV$7,$F$2,"Options:Curr="&amp;$F$3&amp;", NA=--"))</f>
        <v/>
      </c>
      <c r="AW11" s="508" t="n"/>
      <c r="AX11" s="510">
        <f t="array" ref="AX11:AX11">IF($B11="","",_xll.snl.clients.office.excel.functions.spg($B11,"SP_DIV_YIELD",WORKDAY($F$2+1,-1),"Options: NA=--"))</f>
        <v/>
      </c>
      <c r="AY11" s="506">
        <f t="array" ref="AY11:AY11">IF($B11="","",_xll.snl.clients.office.excel.functions.spg($B11,"IQ_TOTAL_EQUITY","FQ0",$F$2,"Options:Curr="&amp;$F$3&amp;", Mag=Millions, NA=--"))</f>
        <v/>
      </c>
      <c r="AZ11" s="506">
        <f t="array" ref="AZ11:AZ11">IF($B11="","",_xll.snl.clients.office.excel.functions.spg($B11,"IQ_TOTAL_DEBT","FQ0",$F$2,"Options:Curr="&amp;$F$3&amp;", Mag=Millions, NA=--"))</f>
        <v/>
      </c>
      <c r="BA11" s="506">
        <f t="array" ref="BA11:BA11">IF($B11="","",_xll.snl.clients.office.excel.functions.spg($B11,"IQ_CASH_ST_INVEST","FQ0",$F$2,"Options:Curr="&amp;$F$3&amp;", Mag=Millions, NA=--"))</f>
        <v/>
      </c>
      <c r="BB11" s="506">
        <f>+AZ11-BA11</f>
        <v/>
      </c>
      <c r="BC11" s="506">
        <f t="array" ref="BC11:BC11">IF($B11="","",_xll.snl.clients.office.excel.functions.spg($B11,"IQ_TOTAL_EQUITY","FQ0",$F$2,"Options:Curr="&amp;$F$3&amp;", Mag=Millions, NA=--"))</f>
        <v/>
      </c>
      <c r="BD11" s="508" t="n"/>
      <c r="BE11" s="511">
        <f>IF($B11="","",IFERROR(_xll.snl.clients.office.excel.functions.spg($B11,"SP_GROSS_MARGIN",BE$7,$F$2,"Options: NA=--")/100,"--"))</f>
        <v/>
      </c>
      <c r="BF11" s="511">
        <f>IF($B11="","",IFERROR(_xll.snl.clients.office.excel.functions.spg($B11,"SP_GROSS_MARGIN_EST",BF$7,$F$2,"Options: NA=--")/100,"--"))</f>
        <v/>
      </c>
      <c r="BG11" s="511">
        <f>IF($B11="","",IFERROR(_xll.snl.clients.office.excel.functions.spg($B11,"SP_GROSS_MARGIN_EST",BG$7,$F$2,"Options: NA=--")/100,"--"))</f>
        <v/>
      </c>
      <c r="BH11" s="511">
        <f>IF($B11="","",IFERROR(_xll.snl.clients.office.excel.functions.spg($B11,"SP_GROSS_MARGIN_EST",BH$7,$F$2,"Options: NA=--")/100,"--"))</f>
        <v/>
      </c>
    </row>
    <row r="12" ht="14.25" customHeight="1" s="356">
      <c r="B12" s="486" t="inlineStr">
        <is>
          <t>NYSE:OPFI</t>
        </is>
      </c>
      <c r="D12" s="365">
        <f t="array" ref="D12:D12">IF($B12="","",_xll.snl.clients.office.excel.functions.spg($B12, "SP_COMPANY_NAME"))</f>
        <v/>
      </c>
      <c r="G12" s="430">
        <f t="array" ref="G12:G12">IF($B12="","",_xll.snl.clients.office.excel.functions.spg($B12,"SP_LASTSALEPRICE",WORKDAY($F$2+1,-1),"Options:Curr="&amp;I12&amp;",NA=--"))</f>
        <v/>
      </c>
      <c r="H12" s="499">
        <f t="array" ref="H12:H12">IF($B12="","",_xll.snl.clients.office.excel.functions.spg($B12,"SP_PRICE_CLOSE",WORKDAY($F$2+1,-1),"Options:Curr="&amp;$F$3&amp;", NA=--"))</f>
        <v/>
      </c>
      <c r="I12" s="500">
        <f t="array" ref="I12:I12">IF($B12="","",_xll.snl.clients.office.excel.functions.spg($B12,"SP_TRADING_CURRENCY","Options: NA=--"))</f>
        <v/>
      </c>
      <c r="J12" s="501">
        <f t="array" ref="J12:J12">IF($B12="","n/a ",_xll.snl.clients.office.excel.functions.spg($B12,"SP_MARKETCAP",WORKDAY($F$2+1,-1),"Options:Curr="&amp;$F$3&amp;", Mag=Millions, NA=--"))</f>
        <v/>
      </c>
      <c r="K12" s="501">
        <f t="array" ref="K12:K12">IF($B12="","n/a ",_xll.snl.clients.office.excel.functions.spg($B12,"IQ_TEV",WORKDAY($F$2+1,-1),"Options:Curr="&amp;$F$3&amp;", Mag=Millions, NA=--"))</f>
        <v/>
      </c>
      <c r="L12" s="502">
        <f>IFERROR(IF(OR($K12/AC12&gt;L$4,$K12/AC12&lt;L$3),"nmf ",$K12/AC12),"n/a ")</f>
        <v/>
      </c>
      <c r="M12" s="502">
        <f>IFERROR(IF(OR($K12/AE12&gt;M$4,$K12/AE12&lt;M$3),"nmf ",$K12/AE12),"n/a ")</f>
        <v/>
      </c>
      <c r="N12" s="502">
        <f>IFERROR(IF(OR($K12/AF12&gt;N$4,$K12/AF12&lt;N$3),"nmf ",$K12/AF12),"n/a ")</f>
        <v/>
      </c>
      <c r="O12" s="502">
        <f>IFERROR(IF(OR($K12/AH12&gt;O$4,$K12/AH12&lt;O$3),"nmf ",$K12/AH12),"n/a ")</f>
        <v/>
      </c>
      <c r="P12" s="502">
        <f>IFERROR(IF(OR($K12/AJ12&gt;P$4,$K12/AJ12&lt;P$3),"nmf ",$K12/AJ12),"n/a ")</f>
        <v/>
      </c>
      <c r="Q12" s="502">
        <f>IFERROR(IF(OR($K12/AK12&gt;Q$4,$K12/AK12&lt;Q$3),"nmf ",$K12/AK12),"n/a ")</f>
        <v/>
      </c>
      <c r="R12" s="503">
        <f>IFERROR((AE12/AD12)-1,"n/a ")</f>
        <v/>
      </c>
      <c r="S12" s="503">
        <f>IFERROR((AF12/AE12)-1,"n/a ")</f>
        <v/>
      </c>
      <c r="T12" s="503" t="n"/>
      <c r="U12" s="502">
        <f>IFERROR($H12/AM12,"n/a ")</f>
        <v/>
      </c>
      <c r="V12" s="502">
        <f>IFERROR($H12/AO12,"n/a ")</f>
        <v/>
      </c>
      <c r="W12" s="502">
        <f>IFERROR($H12/AP12,"n/a ")</f>
        <v/>
      </c>
      <c r="X12" s="504">
        <f>IFERROR(AR12/100,"n/a ")</f>
        <v/>
      </c>
      <c r="Y12" s="502">
        <f>IFERROR(H12/AT12,"n/a ")</f>
        <v/>
      </c>
      <c r="Z12" s="502">
        <f>IFERROR(H12/AV12,"n/a ")</f>
        <v/>
      </c>
      <c r="AA12" s="505" t="inlineStr">
        <is>
          <t>Bank-partner non-prime installment platform</t>
        </is>
      </c>
      <c r="AC12" s="506">
        <f t="array" ref="AC12:AC12">IF($B12="","",_xll.snl.clients.office.excel.functions.spg($B12,"IQ_REV",AC$7,$F$2,"Options:Curr="&amp;$F$3&amp;", Mag=Millions, NA=--"))</f>
        <v/>
      </c>
      <c r="AD12" s="506">
        <f t="array" ref="AD12:AD12">IF($B12="","",_xll.snl.clients.office.excel.functions.spg($B12,"SP_REV_EST",AD$7,$F$2,"Options:Curr="&amp;$F$3&amp;", Mag=Millions, NA=--"))</f>
        <v/>
      </c>
      <c r="AE12" s="506">
        <f t="array" ref="AE12:AE12">IF($B12="","",_xll.snl.clients.office.excel.functions.spg($B12,"SP_REV_EST",AE$7,$F$2,"Options:Curr="&amp;$F$3&amp;", Mag=Millions, NA=--"))</f>
        <v/>
      </c>
      <c r="AF12" s="506">
        <f t="array" ref="AF12:AF12">IF($B12="","",_xll.snl.clients.office.excel.functions.spg($B12,"SP_REV_EST",AF$7,$F$2,"Options:Curr="&amp;$F$3&amp;", Mag=Millions, NA=--"))</f>
        <v/>
      </c>
      <c r="AG12" s="507" t="n"/>
      <c r="AH12" s="506">
        <f t="array" ref="AH12:AH12">IF($B12="","",_xll.snl.clients.office.excel.functions.spg($B12,"SP_EBITDA",AH$7,$F$2,"Options:Curr="&amp;$F$3&amp;", Mag=Millions, NA=--"))</f>
        <v/>
      </c>
      <c r="AI12" s="506">
        <f t="array" ref="AI12:AI12">IF($B12="","",_xll.snl.clients.office.excel.functions.spg($B12,"SP_EBITDA_EST",AI$7,$F$2,"Options:Curr="&amp;$F$3&amp;", Mag=Millions, NA=--"))</f>
        <v/>
      </c>
      <c r="AJ12" s="506">
        <f t="array" ref="AJ12:AJ12">IF($B12="","",_xll.snl.clients.office.excel.functions.spg($B12,"SP_EBITDA_EST",AJ$7,$F$2,"Options:Curr="&amp;$F$3&amp;", Mag=Millions, NA=--"))</f>
        <v/>
      </c>
      <c r="AK12" s="506">
        <f t="array" ref="AK12:AK12">IF($B12="","",_xll.snl.clients.office.excel.functions.spg($B12,"SP_EBITDA_EST",AK$7,$F$2,"Options:Curr="&amp;$F$3&amp;", Mag=Millions, NA=--"))</f>
        <v/>
      </c>
      <c r="AL12" s="508" t="n"/>
      <c r="AM12" s="509">
        <f t="array" ref="AM12:AM12">IF($B12="","",_xll.snl.clients.office.excel.functions.spg($B12,"IQ_BASIC_EPS_BEFORE_EXTRA",AM$7,$F$2,"Options:Curr="&amp;$F$3&amp;", NA=--"))</f>
        <v/>
      </c>
      <c r="AN12" s="509">
        <f t="array" ref="AN12:AN12">IF($B12="","",_xll.snl.clients.office.excel.functions.spg($B12,"SP_EPS_EST",AN$7,$F$2,"Options:Curr="&amp;$F$3&amp;", NA=--"))</f>
        <v/>
      </c>
      <c r="AO12" s="509">
        <f t="array" ref="AO12:AO12">IF($B12="","",_xll.snl.clients.office.excel.functions.spg($B12,"SP_EPS_EST",AO$7,$F$2,"Options:Curr="&amp;$F$3&amp;", NA=--"))</f>
        <v/>
      </c>
      <c r="AP12" s="509">
        <f t="array" ref="AP12:AP12">IF($B12="","",_xll.snl.clients.office.excel.functions.spg($B12,"SP_EPS_EST",AP$7,$F$2,"Options:Curr="&amp;$F$3&amp;", NA=--"))</f>
        <v/>
      </c>
      <c r="AQ12" s="508" t="n"/>
      <c r="AR12" s="509">
        <f t="array" ref="AR12:AR12">IF($B12="","",_xll.snl.clients.office.excel.functions.spg($B12,"IQ_ROE",AR$7,$F$2,"Options:Curr="&amp;$F$3&amp;", NA=--"))</f>
        <v/>
      </c>
      <c r="AS12" s="508" t="n"/>
      <c r="AT12" s="509">
        <f t="array" ref="AT12:AT12">IF($B12="","",_xll.snl.clients.office.excel.functions.spg($B12,"IQ_BVPS",AT$7,$F$2,"Options:Curr="&amp;$F$3&amp;", NA=--"))</f>
        <v/>
      </c>
      <c r="AU12" s="508" t="n"/>
      <c r="AV12" s="509">
        <f t="array" ref="AV12:AV12">IF($B12="","",_xll.snl.clients.office.excel.functions.spg($B12,"IQ_TBVPS",AV$7,$F$2,"Options:Curr="&amp;$F$3&amp;", NA=--"))</f>
        <v/>
      </c>
      <c r="AW12" s="508" t="n"/>
      <c r="AX12" s="510">
        <f t="array" ref="AX12:AX12">IF($B12="","",_xll.snl.clients.office.excel.functions.spg($B12,"SP_DIV_YIELD",WORKDAY($F$2+1,-1),"Options: NA=--"))</f>
        <v/>
      </c>
      <c r="AY12" s="506">
        <f t="array" ref="AY12:AY12">IF($B12="","",_xll.snl.clients.office.excel.functions.spg($B12,"IQ_TOTAL_EQUITY","FQ0",$F$2,"Options:Curr="&amp;$F$3&amp;", Mag=Millions, NA=--"))</f>
        <v/>
      </c>
      <c r="AZ12" s="506">
        <f t="array" ref="AZ12:AZ12">IF($B12="","",_xll.snl.clients.office.excel.functions.spg($B12,"IQ_TOTAL_DEBT","FQ0",$F$2,"Options:Curr="&amp;$F$3&amp;", Mag=Millions, NA=--"))</f>
        <v/>
      </c>
      <c r="BA12" s="506">
        <f t="array" ref="BA12:BA12">IF($B12="","",_xll.snl.clients.office.excel.functions.spg($B12,"IQ_CASH_ST_INVEST","FQ0",$F$2,"Options:Curr="&amp;$F$3&amp;", Mag=Millions, NA=--"))</f>
        <v/>
      </c>
      <c r="BB12" s="506">
        <f>+AZ12-BA12</f>
        <v/>
      </c>
      <c r="BC12" s="506">
        <f t="array" ref="BC12:BC12">IF($B12="","",_xll.snl.clients.office.excel.functions.spg($B12,"IQ_TOTAL_EQUITY","FQ0",$F$2,"Options:Curr="&amp;$F$3&amp;", Mag=Millions, NA=--"))</f>
        <v/>
      </c>
      <c r="BD12" s="508" t="n"/>
      <c r="BE12" s="511">
        <f>IF($B12="","",IFERROR(_xll.snl.clients.office.excel.functions.spg($B12,"SP_GROSS_MARGIN",BE$7,$F$2,"Options: NA=--")/100,"--"))</f>
        <v/>
      </c>
      <c r="BF12" s="511">
        <f>IF($B12="","",IFERROR(_xll.snl.clients.office.excel.functions.spg($B12,"SP_GROSS_MARGIN_EST",BF$7,$F$2,"Options: NA=--")/100,"--"))</f>
        <v/>
      </c>
      <c r="BG12" s="511">
        <f>IF($B12="","",IFERROR(_xll.snl.clients.office.excel.functions.spg($B12,"SP_GROSS_MARGIN_EST",BG$7,$F$2,"Options: NA=--")/100,"--"))</f>
        <v/>
      </c>
      <c r="BH12" s="511">
        <f>IF($B12="","",IFERROR(_xll.snl.clients.office.excel.functions.spg($B12,"SP_GROSS_MARGIN_EST",BH$7,$F$2,"Options: NA=--")/100,"--"))</f>
        <v/>
      </c>
    </row>
    <row r="13" ht="14.25" customHeight="1" s="356">
      <c r="B13" s="486" t="inlineStr">
        <is>
          <t>NasdaqGS:OPRT</t>
        </is>
      </c>
      <c r="D13" s="365">
        <f t="array" ref="D13:D13">IF($B13="","",_xll.snl.clients.office.excel.functions.spg($B13, "SP_COMPANY_NAME"))</f>
        <v/>
      </c>
      <c r="G13" s="430">
        <f t="array" ref="G13:G13">IF($B13="","",_xll.snl.clients.office.excel.functions.spg($B13,"SP_LASTSALEPRICE",WORKDAY($F$2+1,-1),"Options:Curr="&amp;I13&amp;",NA=--"))</f>
        <v/>
      </c>
      <c r="H13" s="499">
        <f t="array" ref="H13:H13">IF($B13="","",_xll.snl.clients.office.excel.functions.spg($B13,"SP_PRICE_CLOSE",WORKDAY($F$2+1,-1),"Options:Curr="&amp;$F$3&amp;", NA=--"))</f>
        <v/>
      </c>
      <c r="I13" s="500">
        <f t="array" ref="I13:I13">IF($B13="","",_xll.snl.clients.office.excel.functions.spg($B13,"SP_TRADING_CURRENCY","Options: NA=--"))</f>
        <v/>
      </c>
      <c r="J13" s="501">
        <f t="array" ref="J13:J13">IF($B13="","n/a ",_xll.snl.clients.office.excel.functions.spg($B13,"SP_MARKETCAP",WORKDAY($F$2+1,-1),"Options:Curr="&amp;$F$3&amp;", Mag=Millions, NA=--"))</f>
        <v/>
      </c>
      <c r="K13" s="501">
        <f t="array" ref="K13:K13">IF($B13="","n/a ",_xll.snl.clients.office.excel.functions.spg($B13,"IQ_TEV",WORKDAY($F$2+1,-1),"Options:Curr="&amp;$F$3&amp;", Mag=Millions, NA=--"))</f>
        <v/>
      </c>
      <c r="L13" s="502">
        <f>IFERROR(IF(OR($K13/AC13&gt;L$4,$K13/AC13&lt;L$3),"nmf ",$K13/AC13),"n/a ")</f>
        <v/>
      </c>
      <c r="M13" s="502">
        <f>IFERROR(IF(OR($K13/AE13&gt;M$4,$K13/AE13&lt;M$3),"nmf ",$K13/AE13),"n/a ")</f>
        <v/>
      </c>
      <c r="N13" s="502">
        <f>IFERROR(IF(OR($K13/AF13&gt;N$4,$K13/AF13&lt;N$3),"nmf ",$K13/AF13),"n/a ")</f>
        <v/>
      </c>
      <c r="O13" s="502">
        <f>IFERROR(IF(OR($K13/AH13&gt;O$4,$K13/AH13&lt;O$3),"nmf ",$K13/AH13),"n/a ")</f>
        <v/>
      </c>
      <c r="P13" s="502">
        <f>IFERROR(IF(OR($K13/AJ13&gt;P$4,$K13/AJ13&lt;P$3),"nmf ",$K13/AJ13),"n/a ")</f>
        <v/>
      </c>
      <c r="Q13" s="502">
        <f>IFERROR(IF(OR($K13/AK13&gt;Q$4,$K13/AK13&lt;Q$3),"nmf ",$K13/AK13),"n/a ")</f>
        <v/>
      </c>
      <c r="R13" s="503">
        <f>IFERROR((AE13/AD13)-1,"n/a ")</f>
        <v/>
      </c>
      <c r="S13" s="503">
        <f>IFERROR((AF13/AE13)-1,"n/a ")</f>
        <v/>
      </c>
      <c r="T13" s="503" t="n"/>
      <c r="U13" s="502">
        <f>IFERROR($H13/AM13,"n/a ")</f>
        <v/>
      </c>
      <c r="V13" s="502">
        <f>IFERROR($H13/AO13,"n/a ")</f>
        <v/>
      </c>
      <c r="W13" s="502">
        <f>IFERROR($H13/AP13,"n/a ")</f>
        <v/>
      </c>
      <c r="X13" s="504">
        <f>IFERROR(AR13/100,"n/a ")</f>
        <v/>
      </c>
      <c r="Y13" s="502">
        <f>IFERROR(H13/AT13,"n/a ")</f>
        <v/>
      </c>
      <c r="Z13" s="502">
        <f>IFERROR(H13/AV13,"n/a ")</f>
        <v/>
      </c>
      <c r="AA13" s="505" t="inlineStr">
        <is>
          <t>AI-driven loans for underserved consumers</t>
        </is>
      </c>
      <c r="AC13" s="506">
        <f t="array" ref="AC13:AC13">IF($B13="","",_xll.snl.clients.office.excel.functions.spg($B13,"IQ_REV",AC$7,$F$2,"Options:Curr="&amp;$F$3&amp;", Mag=Millions, NA=--"))</f>
        <v/>
      </c>
      <c r="AD13" s="506">
        <f t="array" ref="AD13:AD13">IF($B13="","",_xll.snl.clients.office.excel.functions.spg($B13,"SP_REV_EST",AD$7,$F$2,"Options:Curr="&amp;$F$3&amp;", Mag=Millions, NA=--"))</f>
        <v/>
      </c>
      <c r="AE13" s="506">
        <f t="array" ref="AE13:AE13">IF($B13="","",_xll.snl.clients.office.excel.functions.spg($B13,"SP_REV_EST",AE$7,$F$2,"Options:Curr="&amp;$F$3&amp;", Mag=Millions, NA=--"))</f>
        <v/>
      </c>
      <c r="AF13" s="506">
        <f t="array" ref="AF13:AF13">IF($B13="","",_xll.snl.clients.office.excel.functions.spg($B13,"SP_REV_EST",AF$7,$F$2,"Options:Curr="&amp;$F$3&amp;", Mag=Millions, NA=--"))</f>
        <v/>
      </c>
      <c r="AG13" s="507" t="n"/>
      <c r="AH13" s="506">
        <f t="array" ref="AH13:AH13">IF($B13="","",_xll.snl.clients.office.excel.functions.spg($B13,"SP_EBITDA",AH$7,$F$2,"Options:Curr="&amp;$F$3&amp;", Mag=Millions, NA=--"))</f>
        <v/>
      </c>
      <c r="AI13" s="506">
        <f t="array" ref="AI13:AI13">IF($B13="","",_xll.snl.clients.office.excel.functions.spg($B13,"SP_EBITDA_EST",AI$7,$F$2,"Options:Curr="&amp;$F$3&amp;", Mag=Millions, NA=--"))</f>
        <v/>
      </c>
      <c r="AJ13" s="506">
        <f t="array" ref="AJ13:AJ13">IF($B13="","",_xll.snl.clients.office.excel.functions.spg($B13,"SP_EBITDA_EST",AJ$7,$F$2,"Options:Curr="&amp;$F$3&amp;", Mag=Millions, NA=--"))</f>
        <v/>
      </c>
      <c r="AK13" s="506">
        <f t="array" ref="AK13:AK13">IF($B13="","",_xll.snl.clients.office.excel.functions.spg($B13,"SP_EBITDA_EST",AK$7,$F$2,"Options:Curr="&amp;$F$3&amp;", Mag=Millions, NA=--"))</f>
        <v/>
      </c>
      <c r="AL13" s="508" t="n"/>
      <c r="AM13" s="509">
        <f t="array" ref="AM13:AM13">IF($B13="","",_xll.snl.clients.office.excel.functions.spg($B13,"IQ_BASIC_EPS_BEFORE_EXTRA",AM$7,$F$2,"Options:Curr="&amp;$F$3&amp;", NA=--"))</f>
        <v/>
      </c>
      <c r="AN13" s="509">
        <f t="array" ref="AN13:AN13">IF($B13="","",_xll.snl.clients.office.excel.functions.spg($B13,"SP_EPS_EST",AN$7,$F$2,"Options:Curr="&amp;$F$3&amp;", NA=--"))</f>
        <v/>
      </c>
      <c r="AO13" s="509">
        <f t="array" ref="AO13:AO13">IF($B13="","",_xll.snl.clients.office.excel.functions.spg($B13,"SP_EPS_EST",AO$7,$F$2,"Options:Curr="&amp;$F$3&amp;", NA=--"))</f>
        <v/>
      </c>
      <c r="AP13" s="509">
        <f t="array" ref="AP13:AP13">IF($B13="","",_xll.snl.clients.office.excel.functions.spg($B13,"SP_EPS_EST",AP$7,$F$2,"Options:Curr="&amp;$F$3&amp;", NA=--"))</f>
        <v/>
      </c>
      <c r="AQ13" s="508" t="n"/>
      <c r="AR13" s="509">
        <f t="array" ref="AR13:AR13">IF($B13="","",_xll.snl.clients.office.excel.functions.spg($B13,"IQ_ROE",AR$7,$F$2,"Options:Curr="&amp;$F$3&amp;", NA=--"))</f>
        <v/>
      </c>
      <c r="AS13" s="508" t="n"/>
      <c r="AT13" s="509">
        <f t="array" ref="AT13:AT13">IF($B13="","",_xll.snl.clients.office.excel.functions.spg($B13,"IQ_BVPS",AT$7,$F$2,"Options:Curr="&amp;$F$3&amp;", NA=--"))</f>
        <v/>
      </c>
      <c r="AU13" s="508" t="n"/>
      <c r="AV13" s="509">
        <f t="array" ref="AV13:AV13">IF($B13="","",_xll.snl.clients.office.excel.functions.spg($B13,"IQ_TBVPS",AV$7,$F$2,"Options:Curr="&amp;$F$3&amp;", NA=--"))</f>
        <v/>
      </c>
      <c r="AW13" s="508" t="n"/>
      <c r="AX13" s="510">
        <f t="array" ref="AX13:AX13">IF($B13="","",_xll.snl.clients.office.excel.functions.spg($B13,"SP_DIV_YIELD",WORKDAY($F$2+1,-1),"Options: NA=--"))</f>
        <v/>
      </c>
      <c r="AY13" s="506">
        <f t="array" ref="AY13:AY13">IF($B13="","",_xll.snl.clients.office.excel.functions.spg($B13,"IQ_TOTAL_EQUITY","FQ0",$F$2,"Options:Curr="&amp;$F$3&amp;", Mag=Millions, NA=--"))</f>
        <v/>
      </c>
      <c r="AZ13" s="506">
        <f t="array" ref="AZ13:AZ13">IF($B13="","",_xll.snl.clients.office.excel.functions.spg($B13,"IQ_TOTAL_DEBT","FQ0",$F$2,"Options:Curr="&amp;$F$3&amp;", Mag=Millions, NA=--"))</f>
        <v/>
      </c>
      <c r="BA13" s="506">
        <f t="array" ref="BA13:BA13">IF($B13="","",_xll.snl.clients.office.excel.functions.spg($B13,"IQ_CASH_ST_INVEST","FQ0",$F$2,"Options:Curr="&amp;$F$3&amp;", Mag=Millions, NA=--"))</f>
        <v/>
      </c>
      <c r="BB13" s="506">
        <f>+AZ13-BA13</f>
        <v/>
      </c>
      <c r="BC13" s="506">
        <f t="array" ref="BC13:BC13">IF($B13="","",_xll.snl.clients.office.excel.functions.spg($B13,"IQ_TOTAL_EQUITY","FQ0",$F$2,"Options:Curr="&amp;$F$3&amp;", Mag=Millions, NA=--"))</f>
        <v/>
      </c>
      <c r="BD13" s="508" t="n"/>
      <c r="BE13" s="511">
        <f>IF($B13="","",IFERROR(_xll.snl.clients.office.excel.functions.spg($B13,"SP_GROSS_MARGIN",BE$7,$F$2,"Options: NA=--")/100,"--"))</f>
        <v/>
      </c>
      <c r="BF13" s="511">
        <f>IF($B13="","",IFERROR(_xll.snl.clients.office.excel.functions.spg($B13,"SP_GROSS_MARGIN_EST",BF$7,$F$2,"Options: NA=--")/100,"--"))</f>
        <v/>
      </c>
      <c r="BG13" s="511">
        <f>IF($B13="","",IFERROR(_xll.snl.clients.office.excel.functions.spg($B13,"SP_GROSS_MARGIN_EST",BG$7,$F$2,"Options: NA=--")/100,"--"))</f>
        <v/>
      </c>
      <c r="BH13" s="511">
        <f>IF($B13="","",IFERROR(_xll.snl.clients.office.excel.functions.spg($B13,"SP_GROSS_MARGIN_EST",BH$7,$F$2,"Options: NA=--")/100,"--"))</f>
        <v/>
      </c>
    </row>
    <row r="14" ht="14.25" customHeight="1" s="356">
      <c r="B14" s="486" t="inlineStr">
        <is>
          <t>NasdaqGS:WRLD</t>
        </is>
      </c>
      <c r="D14" s="365">
        <f t="array" ref="D14:D14">IF($B14="","",_xll.snl.clients.office.excel.functions.spg($B14, "SP_COMPANY_NAME"))</f>
        <v/>
      </c>
      <c r="G14" s="430">
        <f t="array" ref="G14:G14">IF($B14="","",_xll.snl.clients.office.excel.functions.spg($B14,"SP_LASTSALEPRICE",WORKDAY($F$2+1,-1),"Options:Curr="&amp;I14&amp;",NA=--"))</f>
        <v/>
      </c>
      <c r="H14" s="499">
        <f t="array" ref="H14:H14">IF($B14="","",_xll.snl.clients.office.excel.functions.spg($B14,"SP_PRICE_CLOSE",WORKDAY($F$2+1,-1),"Options:Curr="&amp;$F$3&amp;", NA=--"))</f>
        <v/>
      </c>
      <c r="I14" s="500">
        <f t="array" ref="I14:I14">IF($B14="","",_xll.snl.clients.office.excel.functions.spg($B14,"SP_TRADING_CURRENCY","Options: NA=--"))</f>
        <v/>
      </c>
      <c r="J14" s="501">
        <f t="array" ref="J14:J14">IF($B14="","n/a ",_xll.snl.clients.office.excel.functions.spg($B14,"SP_MARKETCAP",WORKDAY($F$2+1,-1),"Options:Curr="&amp;$F$3&amp;", Mag=Millions, NA=--"))</f>
        <v/>
      </c>
      <c r="K14" s="501">
        <f t="array" ref="K14:K14">IF($B14="","n/a ",_xll.snl.clients.office.excel.functions.spg($B14,"IQ_TEV",WORKDAY($F$2+1,-1),"Options:Curr="&amp;$F$3&amp;", Mag=Millions, NA=--"))</f>
        <v/>
      </c>
      <c r="L14" s="502">
        <f>IFERROR(IF(OR($K14/AC14&gt;L$4,$K14/AC14&lt;L$3),"nmf ",$K14/AC14),"n/a ")</f>
        <v/>
      </c>
      <c r="M14" s="502">
        <f>IFERROR(IF(OR($K14/AE14&gt;M$4,$K14/AE14&lt;M$3),"nmf ",$K14/AE14),"n/a ")</f>
        <v/>
      </c>
      <c r="N14" s="502">
        <f>IFERROR(IF(OR($K14/AF14&gt;N$4,$K14/AF14&lt;N$3),"nmf ",$K14/AF14),"n/a ")</f>
        <v/>
      </c>
      <c r="O14" s="502">
        <f>IFERROR(IF(OR($K14/AH14&gt;O$4,$K14/AH14&lt;O$3),"nmf ",$K14/AH14),"n/a ")</f>
        <v/>
      </c>
      <c r="P14" s="502">
        <f>IFERROR(IF(OR($K14/AJ14&gt;P$4,$K14/AJ14&lt;P$3),"nmf ",$K14/AJ14),"n/a ")</f>
        <v/>
      </c>
      <c r="Q14" s="502">
        <f>IFERROR(IF(OR($K14/AK14&gt;Q$4,$K14/AK14&lt;Q$3),"nmf ",$K14/AK14),"n/a ")</f>
        <v/>
      </c>
      <c r="R14" s="503">
        <f>IFERROR((AE14/AD14)-1,"n/a ")</f>
        <v/>
      </c>
      <c r="S14" s="503">
        <f>IFERROR((AF14/AE14)-1,"n/a ")</f>
        <v/>
      </c>
      <c r="T14" s="503" t="n"/>
      <c r="U14" s="502">
        <f>IFERROR($H14/AM14,"n/a ")</f>
        <v/>
      </c>
      <c r="V14" s="502">
        <f>IFERROR($H14/AO14,"n/a ")</f>
        <v/>
      </c>
      <c r="W14" s="502">
        <f>IFERROR($H14/AP14,"n/a ")</f>
        <v/>
      </c>
      <c r="X14" s="504">
        <f>IFERROR(AR14/100,"n/a ")</f>
        <v/>
      </c>
      <c r="Y14" s="502">
        <f>IFERROR(H14/AT14,"n/a ")</f>
        <v/>
      </c>
      <c r="Z14" s="502">
        <f>IFERROR(H14/AV14,"n/a ")</f>
        <v/>
      </c>
      <c r="AA14" s="505" t="inlineStr">
        <is>
          <t>Branch-based small-dollar installment loans</t>
        </is>
      </c>
      <c r="AC14" s="506">
        <f t="array" ref="AC14:AC14">IF($B14="","",_xll.snl.clients.office.excel.functions.spg($B14,"IQ_REV",AC$7,$F$2,"Options:Curr="&amp;$F$3&amp;", Mag=Millions, NA=--"))</f>
        <v/>
      </c>
      <c r="AD14" s="506">
        <f t="array" ref="AD14:AD14">IF($B14="","",_xll.snl.clients.office.excel.functions.spg($B14,"SP_REV_EST",AD$7,$F$2,"Options:Curr="&amp;$F$3&amp;", Mag=Millions, NA=--"))</f>
        <v/>
      </c>
      <c r="AE14" s="506">
        <f t="array" ref="AE14:AE14">IF($B14="","",_xll.snl.clients.office.excel.functions.spg($B14,"SP_REV_EST",AE$7,$F$2,"Options:Curr="&amp;$F$3&amp;", Mag=Millions, NA=--"))</f>
        <v/>
      </c>
      <c r="AF14" s="506">
        <f t="array" ref="AF14:AF14">IF($B14="","",_xll.snl.clients.office.excel.functions.spg($B14,"SP_REV_EST",AF$7,$F$2,"Options:Curr="&amp;$F$3&amp;", Mag=Millions, NA=--"))</f>
        <v/>
      </c>
      <c r="AG14" s="507" t="n"/>
      <c r="AH14" s="506">
        <f t="array" ref="AH14:AH14">IF($B14="","",_xll.snl.clients.office.excel.functions.spg($B14,"SP_EBITDA",AH$7,$F$2,"Options:Curr="&amp;$F$3&amp;", Mag=Millions, NA=--"))</f>
        <v/>
      </c>
      <c r="AI14" s="506">
        <f t="array" ref="AI14:AI14">IF($B14="","",_xll.snl.clients.office.excel.functions.spg($B14,"SP_EBITDA_EST",AI$7,$F$2,"Options:Curr="&amp;$F$3&amp;", Mag=Millions, NA=--"))</f>
        <v/>
      </c>
      <c r="AJ14" s="506">
        <f t="array" ref="AJ14:AJ14">IF($B14="","",_xll.snl.clients.office.excel.functions.spg($B14,"SP_EBITDA_EST",AJ$7,$F$2,"Options:Curr="&amp;$F$3&amp;", Mag=Millions, NA=--"))</f>
        <v/>
      </c>
      <c r="AK14" s="506">
        <f t="array" ref="AK14:AK14">IF($B14="","",_xll.snl.clients.office.excel.functions.spg($B14,"SP_EBITDA_EST",AK$7,$F$2,"Options:Curr="&amp;$F$3&amp;", Mag=Millions, NA=--"))</f>
        <v/>
      </c>
      <c r="AL14" s="508" t="n"/>
      <c r="AM14" s="509">
        <f t="array" ref="AM14:AM14">IF($B14="","",_xll.snl.clients.office.excel.functions.spg($B14,"IQ_BASIC_EPS_BEFORE_EXTRA",AM$7,$F$2,"Options:Curr="&amp;$F$3&amp;", NA=--"))</f>
        <v/>
      </c>
      <c r="AN14" s="509">
        <f t="array" ref="AN14:AN14">IF($B14="","",_xll.snl.clients.office.excel.functions.spg($B14,"SP_EPS_EST",AN$7,$F$2,"Options:Curr="&amp;$F$3&amp;", NA=--"))</f>
        <v/>
      </c>
      <c r="AO14" s="509">
        <f t="array" ref="AO14:AO14">IF($B14="","",_xll.snl.clients.office.excel.functions.spg($B14,"SP_EPS_EST",AO$7,$F$2,"Options:Curr="&amp;$F$3&amp;", NA=--"))</f>
        <v/>
      </c>
      <c r="AP14" s="509">
        <f t="array" ref="AP14:AP14">IF($B14="","",_xll.snl.clients.office.excel.functions.spg($B14,"SP_EPS_EST",AP$7,$F$2,"Options:Curr="&amp;$F$3&amp;", NA=--"))</f>
        <v/>
      </c>
      <c r="AQ14" s="508" t="n"/>
      <c r="AR14" s="509">
        <f t="array" ref="AR14:AR14">IF($B14="","",_xll.snl.clients.office.excel.functions.spg($B14,"IQ_ROE",AR$7,$F$2,"Options:Curr="&amp;$F$3&amp;", NA=--"))</f>
        <v/>
      </c>
      <c r="AS14" s="508" t="n"/>
      <c r="AT14" s="509">
        <f t="array" ref="AT14:AT14">IF($B14="","",_xll.snl.clients.office.excel.functions.spg($B14,"IQ_BVPS",AT$7,$F$2,"Options:Curr="&amp;$F$3&amp;", NA=--"))</f>
        <v/>
      </c>
      <c r="AU14" s="508" t="n"/>
      <c r="AV14" s="509">
        <f t="array" ref="AV14:AV14">IF($B14="","",_xll.snl.clients.office.excel.functions.spg($B14,"IQ_TBVPS",AV$7,$F$2,"Options:Curr="&amp;$F$3&amp;", NA=--"))</f>
        <v/>
      </c>
      <c r="AW14" s="508" t="n"/>
      <c r="AX14" s="510">
        <f t="array" ref="AX14:AX14">IF($B14="","",_xll.snl.clients.office.excel.functions.spg($B14,"SP_DIV_YIELD",WORKDAY($F$2+1,-1),"Options: NA=--"))</f>
        <v/>
      </c>
      <c r="AY14" s="506">
        <f t="array" ref="AY14:AY14">IF($B14="","",_xll.snl.clients.office.excel.functions.spg($B14,"IQ_TOTAL_EQUITY","FQ0",$F$2,"Options:Curr="&amp;$F$3&amp;", Mag=Millions, NA=--"))</f>
        <v/>
      </c>
      <c r="AZ14" s="506">
        <f t="array" ref="AZ14:AZ14">IF($B14="","",_xll.snl.clients.office.excel.functions.spg($B14,"IQ_TOTAL_DEBT","FQ0",$F$2,"Options:Curr="&amp;$F$3&amp;", Mag=Millions, NA=--"))</f>
        <v/>
      </c>
      <c r="BA14" s="506">
        <f t="array" ref="BA14:BA14">IF($B14="","",_xll.snl.clients.office.excel.functions.spg($B14,"IQ_CASH_ST_INVEST","FQ0",$F$2,"Options:Curr="&amp;$F$3&amp;", Mag=Millions, NA=--"))</f>
        <v/>
      </c>
      <c r="BB14" s="506">
        <f>+AZ14-BA14</f>
        <v/>
      </c>
      <c r="BC14" s="506">
        <f t="array" ref="BC14:BC14">IF($B14="","",_xll.snl.clients.office.excel.functions.spg($B14,"IQ_TOTAL_EQUITY","FQ0",$F$2,"Options:Curr="&amp;$F$3&amp;", Mag=Millions, NA=--"))</f>
        <v/>
      </c>
      <c r="BD14" s="508" t="n"/>
      <c r="BE14" s="511">
        <f>IF($B14="","",IFERROR(_xll.snl.clients.office.excel.functions.spg($B14,"SP_GROSS_MARGIN",BE$7,$F$2,"Options: NA=--")/100,"--"))</f>
        <v/>
      </c>
      <c r="BF14" s="511">
        <f>IF($B14="","",IFERROR(_xll.snl.clients.office.excel.functions.spg($B14,"SP_GROSS_MARGIN_EST",BF$7,$F$2,"Options: NA=--")/100,"--"))</f>
        <v/>
      </c>
      <c r="BG14" s="511">
        <f>IF($B14="","",IFERROR(_xll.snl.clients.office.excel.functions.spg($B14,"SP_GROSS_MARGIN_EST",BG$7,$F$2,"Options: NA=--")/100,"--"))</f>
        <v/>
      </c>
      <c r="BH14" s="511">
        <f>IF($B14="","",IFERROR(_xll.snl.clients.office.excel.functions.spg($B14,"SP_GROSS_MARGIN_EST",BH$7,$F$2,"Options: NA=--")/100,"--"))</f>
        <v/>
      </c>
    </row>
    <row r="15" ht="14.25" customHeight="1" s="356">
      <c r="B15" s="486" t="inlineStr">
        <is>
          <t>NYSE:RM</t>
        </is>
      </c>
      <c r="D15" s="365">
        <f t="array" ref="D15:D15">IF($B15="","",_xll.snl.clients.office.excel.functions.spg($B15, "SP_COMPANY_NAME"))</f>
        <v/>
      </c>
      <c r="G15" s="512">
        <f t="array" ref="G15:G15">IF($B15="","",_xll.snl.clients.office.excel.functions.spg($B15,"SP_LASTSALEPRICE",WORKDAY($F$2+1,-1),"Options:Curr="&amp;I15&amp;",NA=--"))</f>
        <v/>
      </c>
      <c r="H15" s="499">
        <f t="array" ref="H15:H15">IF($B15="","",_xll.snl.clients.office.excel.functions.spg($B15,"SP_PRICE_CLOSE",WORKDAY($F$2+1,-1),"Options:Curr="&amp;$F$3&amp;", NA=--"))</f>
        <v/>
      </c>
      <c r="I15" s="500">
        <f t="array" ref="I15:I15">IF($B15="","",_xll.snl.clients.office.excel.functions.spg($B15,"SP_TRADING_CURRENCY","Options: NA=--"))</f>
        <v/>
      </c>
      <c r="J15" s="501">
        <f t="array" ref="J15:J15">IF($B15="","n/a ",_xll.snl.clients.office.excel.functions.spg($B15,"SP_MARKETCAP",WORKDAY($F$2+1,-1),"Options:Curr="&amp;$F$3&amp;", Mag=Millions, NA=--"))</f>
        <v/>
      </c>
      <c r="K15" s="501">
        <f t="array" ref="K15:K15">IF($B15="","n/a ",_xll.snl.clients.office.excel.functions.spg($B15,"IQ_TEV",WORKDAY($F$2+1,-1),"Options:Curr="&amp;$F$3&amp;", Mag=Millions, NA=--"))</f>
        <v/>
      </c>
      <c r="L15" s="502">
        <f>IFERROR(IF(OR($K15/AC15&gt;L$4,$K15/AC15&lt;L$3),"nmf ",$K15/AC15),"n/a ")</f>
        <v/>
      </c>
      <c r="M15" s="502">
        <f>IFERROR(IF(OR($K15/AE15&gt;M$4,$K15/AE15&lt;M$3),"nmf ",$K15/AE15),"n/a ")</f>
        <v/>
      </c>
      <c r="N15" s="502">
        <f>IFERROR(IF(OR($K15/AF15&gt;N$4,$K15/AF15&lt;N$3),"nmf ",$K15/AF15),"n/a ")</f>
        <v/>
      </c>
      <c r="O15" s="502">
        <f>IFERROR(IF(OR($K15/AH15&gt;O$4,$K15/AH15&lt;O$3),"nmf ",$K15/AH15),"n/a ")</f>
        <v/>
      </c>
      <c r="P15" s="502">
        <f>IFERROR(IF(OR($K15/AJ15&gt;P$4,$K15/AJ15&lt;P$3),"nmf ",$K15/AJ15),"n/a ")</f>
        <v/>
      </c>
      <c r="Q15" s="502">
        <f>IFERROR(IF(OR($K15/AK15&gt;Q$4,$K15/AK15&lt;Q$3),"nmf ",$K15/AK15),"n/a ")</f>
        <v/>
      </c>
      <c r="R15" s="503">
        <f>IFERROR((AE15/AD15)-1,"n/a ")</f>
        <v/>
      </c>
      <c r="S15" s="503">
        <f>IFERROR((AF15/AE15)-1,"n/a ")</f>
        <v/>
      </c>
      <c r="T15" s="503" t="n"/>
      <c r="U15" s="502">
        <f>IFERROR($H15/AM15,"n/a ")</f>
        <v/>
      </c>
      <c r="V15" s="502">
        <f>IFERROR($H15/AO15,"n/a ")</f>
        <v/>
      </c>
      <c r="W15" s="502">
        <f>IFERROR($H15/AP15,"n/a ")</f>
        <v/>
      </c>
      <c r="X15" s="504">
        <f>IFERROR(AR15/100,"n/a ")</f>
        <v/>
      </c>
      <c r="Y15" s="502">
        <f>IFERROR(H15/AT15,"n/a ")</f>
        <v/>
      </c>
      <c r="Z15" s="502">
        <f>IFERROR(H15/AV15,"n/a ")</f>
        <v/>
      </c>
      <c r="AA15" s="505" t="inlineStr">
        <is>
          <t>Small &amp; large installment consumer loans</t>
        </is>
      </c>
      <c r="AC15" s="506">
        <f t="array" ref="AC15:AC15">IF($B15="","",_xll.snl.clients.office.excel.functions.spg($B15,"IQ_REV",AC$7,$F$2,"Options:Curr="&amp;$F$3&amp;", Mag=Millions, NA=--"))</f>
        <v/>
      </c>
      <c r="AD15" s="506">
        <f t="array" ref="AD15:AD15">IF($B15="","",_xll.snl.clients.office.excel.functions.spg($B15,"SP_REV_EST",AD$7,$F$2,"Options:Curr="&amp;$F$3&amp;", Mag=Millions, NA=--"))</f>
        <v/>
      </c>
      <c r="AE15" s="506">
        <f t="array" ref="AE15:AE15">IF($B15="","",_xll.snl.clients.office.excel.functions.spg($B15,"SP_REV_EST",AE$7,$F$2,"Options:Curr="&amp;$F$3&amp;", Mag=Millions, NA=--"))</f>
        <v/>
      </c>
      <c r="AF15" s="506">
        <f t="array" ref="AF15:AF15">IF($B15="","",_xll.snl.clients.office.excel.functions.spg($B15,"SP_REV_EST",AF$7,$F$2,"Options:Curr="&amp;$F$3&amp;", Mag=Millions, NA=--"))</f>
        <v/>
      </c>
      <c r="AG15" s="507" t="n"/>
      <c r="AH15" s="506">
        <f t="array" ref="AH15:AH15">IF($B15="","",_xll.snl.clients.office.excel.functions.spg($B15,"SP_EBITDA",AH$7,$F$2,"Options:Curr="&amp;$F$3&amp;", Mag=Millions, NA=--"))</f>
        <v/>
      </c>
      <c r="AI15" s="506">
        <f t="array" ref="AI15:AI15">IF($B15="","",_xll.snl.clients.office.excel.functions.spg($B15,"SP_EBITDA_EST",AI$7,$F$2,"Options:Curr="&amp;$F$3&amp;", Mag=Millions, NA=--"))</f>
        <v/>
      </c>
      <c r="AJ15" s="506">
        <f t="array" ref="AJ15:AJ15">IF($B15="","",_xll.snl.clients.office.excel.functions.spg($B15,"SP_EBITDA_EST",AJ$7,$F$2,"Options:Curr="&amp;$F$3&amp;", Mag=Millions, NA=--"))</f>
        <v/>
      </c>
      <c r="AK15" s="506">
        <f t="array" ref="AK15:AK15">IF($B15="","",_xll.snl.clients.office.excel.functions.spg($B15,"SP_EBITDA_EST",AK$7,$F$2,"Options:Curr="&amp;$F$3&amp;", Mag=Millions, NA=--"))</f>
        <v/>
      </c>
      <c r="AL15" s="508" t="n"/>
      <c r="AM15" s="509">
        <f t="array" ref="AM15:AM15">IF($B15="","",_xll.snl.clients.office.excel.functions.spg($B15,"IQ_BASIC_EPS_BEFORE_EXTRA",AM$7,$F$2,"Options:Curr="&amp;$F$3&amp;", NA=--"))</f>
        <v/>
      </c>
      <c r="AN15" s="509">
        <f t="array" ref="AN15:AN15">IF($B15="","",_xll.snl.clients.office.excel.functions.spg($B15,"SP_EPS_EST",AN$7,$F$2,"Options:Curr="&amp;$F$3&amp;", NA=--"))</f>
        <v/>
      </c>
      <c r="AO15" s="509">
        <f t="array" ref="AO15:AO15">IF($B15="","",_xll.snl.clients.office.excel.functions.spg($B15,"SP_EPS_EST",AO$7,$F$2,"Options:Curr="&amp;$F$3&amp;", NA=--"))</f>
        <v/>
      </c>
      <c r="AP15" s="509">
        <f t="array" ref="AP15:AP15">IF($B15="","",_xll.snl.clients.office.excel.functions.spg($B15,"SP_EPS_EST",AP$7,$F$2,"Options:Curr="&amp;$F$3&amp;", NA=--"))</f>
        <v/>
      </c>
      <c r="AQ15" s="508" t="n"/>
      <c r="AR15" s="509">
        <f t="array" ref="AR15:AR15">IF($B15="","",_xll.snl.clients.office.excel.functions.spg($B15,"IQ_ROE",AR$7,$F$2,"Options:Curr="&amp;$F$3&amp;", NA=--"))</f>
        <v/>
      </c>
      <c r="AS15" s="508" t="n"/>
      <c r="AT15" s="509">
        <f t="array" ref="AT15:AT15">IF($B15="","",_xll.snl.clients.office.excel.functions.spg($B15,"IQ_BVPS",AT$7,$F$2,"Options:Curr="&amp;$F$3&amp;", NA=--"))</f>
        <v/>
      </c>
      <c r="AU15" s="508" t="n"/>
      <c r="AV15" s="509">
        <f t="array" ref="AV15:AV15">IF($B15="","",_xll.snl.clients.office.excel.functions.spg($B15,"IQ_TBVPS",AV$7,$F$2,"Options:Curr="&amp;$F$3&amp;", NA=--"))</f>
        <v/>
      </c>
      <c r="AW15" s="508" t="n"/>
      <c r="AX15" s="510">
        <f t="array" ref="AX15:AX15">IF($B15="","",_xll.snl.clients.office.excel.functions.spg($B15,"SP_DIV_YIELD",WORKDAY($F$2+1,-1),"Options: NA=--"))</f>
        <v/>
      </c>
      <c r="AY15" s="506">
        <f t="array" ref="AY15:AY15">IF($B15="","",_xll.snl.clients.office.excel.functions.spg($B15,"IQ_TOTAL_EQUITY","FQ0",$F$2,"Options:Curr="&amp;$F$3&amp;", Mag=Millions, NA=--"))</f>
        <v/>
      </c>
      <c r="AZ15" s="506">
        <f t="array" ref="AZ15:AZ15">IF($B15="","",_xll.snl.clients.office.excel.functions.spg($B15,"IQ_TOTAL_DEBT","FQ0",$F$2,"Options:Curr="&amp;$F$3&amp;", Mag=Millions, NA=--"))</f>
        <v/>
      </c>
      <c r="BA15" s="506">
        <f t="array" ref="BA15:BA15">IF($B15="","",_xll.snl.clients.office.excel.functions.spg($B15,"IQ_CASH_ST_INVEST","FQ0",$F$2,"Options:Curr="&amp;$F$3&amp;", Mag=Millions, NA=--"))</f>
        <v/>
      </c>
      <c r="BB15" s="506">
        <f>+AZ15-BA15</f>
        <v/>
      </c>
      <c r="BC15" s="506">
        <f t="array" ref="BC15:BC15">IF($B15="","",_xll.snl.clients.office.excel.functions.spg($B15,"IQ_TOTAL_EQUITY","FQ0",$F$2,"Options:Curr="&amp;$F$3&amp;", Mag=Millions, NA=--"))</f>
        <v/>
      </c>
      <c r="BD15" s="508" t="n"/>
      <c r="BE15" s="511">
        <f>IF($B15="","",IFERROR(_xll.snl.clients.office.excel.functions.spg($B15,"SP_GROSS_MARGIN",BE$7,$F$2,"Options: NA=--")/100,"--"))</f>
        <v/>
      </c>
      <c r="BF15" s="511">
        <f>IF($B15="","",IFERROR(_xll.snl.clients.office.excel.functions.spg($B15,"SP_GROSS_MARGIN_EST",BF$7,$F$2,"Options: NA=--")/100,"--"))</f>
        <v/>
      </c>
      <c r="BG15" s="511">
        <f>IF($B15="","",IFERROR(_xll.snl.clients.office.excel.functions.spg($B15,"SP_GROSS_MARGIN_EST",BG$7,$F$2,"Options: NA=--")/100,"--"))</f>
        <v/>
      </c>
      <c r="BH15" s="511">
        <f>IF($B15="","",IFERROR(_xll.snl.clients.office.excel.functions.spg($B15,"SP_GROSS_MARGIN_EST",BH$7,$F$2,"Options: NA=--")/100,"--"))</f>
        <v/>
      </c>
    </row>
    <row r="16" ht="3" customHeight="1" s="356">
      <c r="B16" s="513" t="n"/>
      <c r="G16" s="514" t="n"/>
      <c r="H16" s="514" t="n"/>
      <c r="I16" s="500" t="n"/>
      <c r="J16" s="515" t="n"/>
      <c r="K16" s="515" t="n"/>
      <c r="L16" s="515" t="n"/>
      <c r="M16" s="502" t="n"/>
      <c r="N16" s="502" t="n"/>
      <c r="O16" s="502" t="n"/>
      <c r="P16" s="502" t="n"/>
      <c r="Q16" s="502" t="n"/>
      <c r="R16" s="516" t="n"/>
      <c r="S16" s="516" t="n"/>
      <c r="T16" s="516" t="n"/>
      <c r="U16" s="502" t="n"/>
      <c r="V16" s="502" t="n"/>
      <c r="W16" s="502" t="n"/>
      <c r="X16" s="502" t="n"/>
      <c r="Y16" s="502" t="n"/>
      <c r="Z16" s="502" t="n"/>
      <c r="AA16" s="516" t="n"/>
      <c r="AC16" s="517" t="n"/>
      <c r="AD16" s="517" t="n"/>
      <c r="AE16" s="517" t="n"/>
      <c r="AF16" s="517" t="n"/>
      <c r="AG16" s="507" t="n"/>
      <c r="AH16" s="507" t="n"/>
      <c r="AI16" s="517" t="n"/>
      <c r="AJ16" s="517" t="n"/>
      <c r="AK16" s="517" t="n"/>
      <c r="AL16" s="508" t="n"/>
      <c r="AM16" s="500" t="n"/>
      <c r="AN16" s="500" t="n"/>
      <c r="AO16" s="500" t="n"/>
      <c r="AP16" s="500" t="n"/>
      <c r="AQ16" s="508" t="n"/>
      <c r="AR16" s="508" t="n"/>
      <c r="AS16" s="508" t="n"/>
      <c r="AT16" s="508" t="n"/>
      <c r="AU16" s="508" t="n"/>
      <c r="AV16" s="508" t="n"/>
      <c r="AW16" s="508" t="n"/>
      <c r="AX16" s="518" t="n"/>
      <c r="AY16" s="517" t="n"/>
      <c r="AZ16" s="517" t="n"/>
      <c r="BA16" s="517" t="n"/>
      <c r="BB16" s="517" t="n"/>
      <c r="BC16" s="517" t="n"/>
      <c r="BD16" s="508" t="n"/>
      <c r="BE16" s="508" t="n"/>
      <c r="BF16" s="519" t="n"/>
      <c r="BG16" s="519" t="n"/>
      <c r="BH16" s="519" t="n"/>
    </row>
    <row r="17" ht="14.25" customHeight="1" s="356">
      <c r="B17" s="513" t="n"/>
      <c r="D17" s="520" t="inlineStr">
        <is>
          <t>Group Average</t>
        </is>
      </c>
      <c r="E17" s="520" t="n"/>
      <c r="F17" s="520" t="n"/>
      <c r="G17" s="520" t="n"/>
      <c r="H17" s="520" t="n"/>
      <c r="I17" s="521" t="n"/>
      <c r="J17" s="522" t="n"/>
      <c r="K17" s="522" t="n"/>
      <c r="L17" s="523">
        <f>IFERROR(AVERAGE(L10:L15),"n/a ")</f>
        <v/>
      </c>
      <c r="M17" s="523">
        <f>IFERROR(AVERAGE(M10:M15),"n/a ")</f>
        <v/>
      </c>
      <c r="N17" s="524">
        <f>IFERROR(AVERAGE(N10:N15),"n/a ")</f>
        <v/>
      </c>
      <c r="O17" s="523">
        <f>IFERROR(AVERAGE(O10:O15),"n/a ")</f>
        <v/>
      </c>
      <c r="P17" s="524">
        <f>IFERROR(AVERAGE(P10:P15),"n/a ")</f>
        <v/>
      </c>
      <c r="Q17" s="524">
        <f>IFERROR(AVERAGE(Q10:Q15),"n/a ")</f>
        <v/>
      </c>
      <c r="R17" s="525">
        <f>IFERROR(AVERAGE(R10:R15),"n/a ")</f>
        <v/>
      </c>
      <c r="S17" s="525">
        <f>IFERROR(AVERAGE(S10:S15),"n/a ")</f>
        <v/>
      </c>
      <c r="T17" s="525" t="n"/>
      <c r="U17" s="524">
        <f>IFERROR(AVERAGE(U10:U15),"n/a ")</f>
        <v/>
      </c>
      <c r="V17" s="524">
        <f>IFERROR(AVERAGE(V10:V15),"n/a ")</f>
        <v/>
      </c>
      <c r="W17" s="523">
        <f>IFERROR(AVERAGE(W10:W15),"n/a ")</f>
        <v/>
      </c>
      <c r="X17" s="526">
        <f>IFERROR(AVERAGE(X10:X15),"n/a ")</f>
        <v/>
      </c>
      <c r="Y17" s="523">
        <f>IFERROR(AVERAGE(Y10:Y15),"n/a ")</f>
        <v/>
      </c>
      <c r="Z17" s="523">
        <f>IFERROR(AVERAGE(Z10:Z15),"n/a ")</f>
        <v/>
      </c>
      <c r="AA17" s="525" t="n"/>
      <c r="AC17" s="507" t="n"/>
      <c r="AD17" s="507" t="n"/>
      <c r="AE17" s="507" t="n"/>
      <c r="AF17" s="507" t="n"/>
      <c r="AG17" s="507" t="n"/>
      <c r="AH17" s="507" t="n"/>
      <c r="AI17" s="507" t="n"/>
      <c r="AJ17" s="507" t="n"/>
      <c r="AK17" s="507" t="n"/>
      <c r="AL17" s="508" t="n"/>
      <c r="AM17" s="508" t="n"/>
      <c r="AN17" s="508" t="n"/>
      <c r="AO17" s="508" t="n"/>
      <c r="AP17" s="508" t="n"/>
      <c r="AQ17" s="508" t="n"/>
      <c r="AR17" s="508" t="n"/>
      <c r="AS17" s="508" t="n"/>
      <c r="AT17" s="508" t="n"/>
      <c r="AU17" s="508" t="n"/>
      <c r="AV17" s="508" t="n"/>
      <c r="AW17" s="508" t="n"/>
      <c r="AX17" s="527" t="n"/>
      <c r="AY17" s="508" t="n"/>
      <c r="AZ17" s="508" t="n"/>
      <c r="BA17" s="508" t="n"/>
      <c r="BB17" s="508" t="n"/>
      <c r="BC17" s="508" t="n"/>
      <c r="BD17" s="508" t="n"/>
      <c r="BE17" s="508" t="n"/>
      <c r="BF17" s="519" t="n"/>
      <c r="BG17" s="519" t="n"/>
      <c r="BH17" s="519" t="n"/>
    </row>
    <row r="18" ht="3" customHeight="1" s="356">
      <c r="B18" s="513" t="n"/>
      <c r="I18" s="508" t="n"/>
      <c r="J18" s="528" t="n"/>
      <c r="K18" s="528" t="n"/>
      <c r="L18" s="528" t="n"/>
      <c r="AC18" s="507" t="n"/>
      <c r="AD18" s="507" t="n"/>
      <c r="AE18" s="507" t="n"/>
      <c r="AF18" s="507" t="n"/>
      <c r="AG18" s="507" t="n"/>
      <c r="AH18" s="507" t="n"/>
      <c r="AI18" s="507" t="n"/>
      <c r="AJ18" s="507" t="n"/>
      <c r="AK18" s="507" t="n"/>
      <c r="AL18" s="508" t="n"/>
      <c r="AM18" s="508" t="n"/>
      <c r="AN18" s="508" t="n"/>
      <c r="AO18" s="508" t="n"/>
      <c r="AP18" s="508" t="n"/>
      <c r="AQ18" s="508" t="n"/>
      <c r="AR18" s="508" t="n"/>
      <c r="AS18" s="508" t="n"/>
      <c r="AT18" s="508" t="n"/>
      <c r="AU18" s="508" t="n"/>
      <c r="AV18" s="508" t="n"/>
      <c r="AW18" s="508" t="n"/>
      <c r="AX18" s="527" t="n"/>
      <c r="AY18" s="508" t="n"/>
      <c r="AZ18" s="508" t="n"/>
      <c r="BA18" s="508" t="n"/>
      <c r="BB18" s="508" t="n"/>
      <c r="BC18" s="508" t="n"/>
      <c r="BD18" s="508" t="n"/>
      <c r="BE18" s="508" t="n"/>
      <c r="BF18" s="519" t="n"/>
      <c r="BG18" s="519" t="n"/>
      <c r="BH18" s="519" t="n"/>
    </row>
    <row r="19" ht="14.25" customHeight="1" s="356">
      <c r="B19" s="513" t="n"/>
      <c r="D19" s="498" t="inlineStr">
        <is>
          <t>Digital Lending &amp; Credit Platforms</t>
        </is>
      </c>
      <c r="G19" s="514" t="n"/>
      <c r="H19" s="514" t="n"/>
      <c r="I19" s="500" t="n"/>
      <c r="J19" s="515" t="n"/>
      <c r="K19" s="515" t="n"/>
      <c r="L19" s="515" t="n"/>
      <c r="M19" s="529" t="n"/>
      <c r="N19" s="529" t="n"/>
      <c r="O19" s="529" t="n"/>
      <c r="P19" s="529" t="n"/>
      <c r="Q19" s="529" t="n"/>
      <c r="R19" s="516" t="n"/>
      <c r="S19" s="516" t="n"/>
      <c r="T19" s="516" t="n"/>
      <c r="U19" s="529" t="n"/>
      <c r="V19" s="529" t="n"/>
      <c r="W19" s="529" t="n"/>
      <c r="X19" s="529" t="n"/>
      <c r="Y19" s="529" t="n"/>
      <c r="Z19" s="529" t="n"/>
      <c r="AA19" s="516" t="n"/>
      <c r="AC19" s="517" t="n"/>
      <c r="AD19" s="517" t="n"/>
      <c r="AE19" s="517" t="n"/>
      <c r="AF19" s="517" t="n"/>
      <c r="AG19" s="507" t="n"/>
      <c r="AH19" s="507" t="n"/>
      <c r="AI19" s="517" t="n"/>
      <c r="AJ19" s="517" t="n"/>
      <c r="AK19" s="517" t="n"/>
      <c r="AL19" s="508" t="n"/>
      <c r="AM19" s="500" t="n"/>
      <c r="AN19" s="500" t="n"/>
      <c r="AO19" s="500" t="n"/>
      <c r="AP19" s="500" t="n"/>
      <c r="AQ19" s="508" t="n"/>
      <c r="AR19" s="508" t="n"/>
      <c r="AS19" s="508" t="n"/>
      <c r="AT19" s="508" t="n"/>
      <c r="AU19" s="508" t="n"/>
      <c r="AV19" s="508" t="n"/>
      <c r="AW19" s="508" t="n"/>
      <c r="AX19" s="518" t="n"/>
      <c r="AY19" s="517" t="n"/>
      <c r="AZ19" s="517" t="n"/>
      <c r="BA19" s="517" t="n"/>
      <c r="BB19" s="517" t="n"/>
      <c r="BC19" s="517" t="n"/>
      <c r="BD19" s="508" t="n"/>
      <c r="BE19" s="508" t="n"/>
      <c r="BF19" s="519" t="n"/>
      <c r="BG19" s="519" t="n"/>
      <c r="BH19" s="519" t="n"/>
    </row>
    <row r="20" ht="14.25" customHeight="1" s="356">
      <c r="B20" s="486" t="inlineStr">
        <is>
          <t>NasdaqGS:UPST</t>
        </is>
      </c>
      <c r="D20" s="365">
        <f t="array" ref="D20:D20">IF($B20="","",_xll.snl.clients.office.excel.functions.spg($B20, "SP_COMPANY_NAME"))</f>
        <v/>
      </c>
      <c r="G20" s="512">
        <f t="array" ref="G20:G20">IF($B20="","",_xll.snl.clients.office.excel.functions.spg($B20,"SP_LASTSALEPRICE",WORKDAY($F$2+1,-1),"Options:Curr="&amp;I20&amp;",NA=--"))</f>
        <v/>
      </c>
      <c r="H20" s="499">
        <f t="array" ref="H20:H20">IF($B20="","",_xll.snl.clients.office.excel.functions.spg($B20,"SP_PRICE_CLOSE",WORKDAY($F$2+1,-1),"Options:Curr="&amp;$F$3&amp;", NA=--"))</f>
        <v/>
      </c>
      <c r="I20" s="500">
        <f t="array" ref="I20:I20">IF($B20="","",_xll.snl.clients.office.excel.functions.spg($B20,"SP_TRADING_CURRENCY","Options: NA=--"))</f>
        <v/>
      </c>
      <c r="J20" s="501">
        <f t="array" ref="J20:J20">IF($B20="","n/a ",_xll.snl.clients.office.excel.functions.spg($B20,"SP_MARKETCAP",WORKDAY($F$2+1,-1),"Options:Curr="&amp;$F$3&amp;", Mag=Millions, NA=--"))</f>
        <v/>
      </c>
      <c r="K20" s="501">
        <f t="array" ref="K20:K20">IF($B20="","n/a ",_xll.snl.clients.office.excel.functions.spg($B20,"IQ_TEV",WORKDAY($F$2+1,-1),"Options:Curr="&amp;$F$3&amp;", Mag=Millions, NA=--"))</f>
        <v/>
      </c>
      <c r="L20" s="502">
        <f>IFERROR(IF(OR($K20/AC20&gt;L$4,$K20/AC20&lt;L$3),"nmf ",$K20/AC20),"n/a ")</f>
        <v/>
      </c>
      <c r="M20" s="502">
        <f>IFERROR(IF(OR($K20/AD20&gt;M$4,$K20/AD20&lt;M$3),"nmf ",$K20/AD20),"n/a ")</f>
        <v/>
      </c>
      <c r="N20" s="502">
        <f>IFERROR(IF(OR($K20/AE20&gt;N$4,$K20/AE20&lt;N$3),"nmf ",$K20/AE20),"n/a ")</f>
        <v/>
      </c>
      <c r="O20" s="502">
        <f>IFERROR(IF(OR($K20/AH20&gt;O$4,$K20/AH20&lt;O$3),"nmf ",$K20/AH20),"n/a ")</f>
        <v/>
      </c>
      <c r="P20" s="502">
        <f>IFERROR(IF(OR($K20/AI20&gt;P$4,$K20/AI20&lt;P$3),"nmf ",$K20/AI20),"n/a ")</f>
        <v/>
      </c>
      <c r="Q20" s="502">
        <f>IFERROR(IF(OR($K20/AJ20&gt;Q$4,$K20/AJ20&lt;Q$3),"nmf ",$K20/AJ20),"n/a ")</f>
        <v/>
      </c>
      <c r="R20" s="503">
        <f>IFERROR((AE20/AD20)-1,"n/a ")</f>
        <v/>
      </c>
      <c r="S20" s="503">
        <f>IFERROR((AF20/AE20)-1,"n/a ")</f>
        <v/>
      </c>
      <c r="T20" s="503" t="n"/>
      <c r="U20" s="502">
        <f>IFERROR($H20/AM20,"n/a ")</f>
        <v/>
      </c>
      <c r="V20" s="502">
        <f>IFERROR($H20/AO20,"n/a ")</f>
        <v/>
      </c>
      <c r="W20" s="502">
        <f>IFERROR($H20/AP20,"n/a ")</f>
        <v/>
      </c>
      <c r="X20" s="504">
        <f>IFERROR(AR20/100,"n/a ")</f>
        <v/>
      </c>
      <c r="Y20" s="502">
        <f>IFERROR(H20/AT20,"n/a ")</f>
        <v/>
      </c>
      <c r="Z20" s="502">
        <f>IFERROR(H20/AV20,"n/a ")</f>
        <v/>
      </c>
      <c r="AA20" s="505" t="inlineStr">
        <is>
          <t>AI consumer credit origination platform</t>
        </is>
      </c>
      <c r="AC20" s="506">
        <f t="array" ref="AC20:AC20">IF($B20="","",_xll.snl.clients.office.excel.functions.spg($B20,"IQ_REV",AC$7,$F$2,"Options:Curr="&amp;$F$3&amp;", Mag=Millions, NA=--"))</f>
        <v/>
      </c>
      <c r="AD20" s="506">
        <f t="array" ref="AD20:AD20">IF($B20="","",_xll.snl.clients.office.excel.functions.spg($B20,"SP_REV_EST",AD$7,$F$2,"Options:Curr="&amp;$F$3&amp;", Mag=Millions, NA=--"))</f>
        <v/>
      </c>
      <c r="AE20" s="506">
        <f t="array" ref="AE20:AE20">IF($B20="","",_xll.snl.clients.office.excel.functions.spg($B20,"SP_REV_EST",AE$7,$F$2,"Options:Curr="&amp;$F$3&amp;", Mag=Millions, NA=--"))</f>
        <v/>
      </c>
      <c r="AF20" s="506">
        <f t="array" ref="AF20:AF20">IF($B20="","",_xll.snl.clients.office.excel.functions.spg($B20,"SP_REV_EST",AF$7,$F$2,"Options:Curr="&amp;$F$3&amp;", Mag=Millions, NA=--"))</f>
        <v/>
      </c>
      <c r="AG20" s="507" t="n"/>
      <c r="AH20" s="506">
        <f t="array" ref="AH20:AH20">IF($B20="","",_xll.snl.clients.office.excel.functions.spg($B20,"SP_EBITDA",AH$7,$F$2,"Options:Curr="&amp;$F$3&amp;", Mag=Millions, NA=--"))</f>
        <v/>
      </c>
      <c r="AI20" s="506">
        <f t="array" ref="AI20:AI20">IF($B20="","",_xll.snl.clients.office.excel.functions.spg($B20,"SP_EBITDA_EST",AI$7,$F$2,"Options:Curr="&amp;$F$3&amp;", Mag=Millions, NA=--"))</f>
        <v/>
      </c>
      <c r="AJ20" s="506">
        <f t="array" ref="AJ20:AJ20">IF($B20="","",_xll.snl.clients.office.excel.functions.spg($B20,"SP_EBITDA_EST",AJ$7,$F$2,"Options:Curr="&amp;$F$3&amp;", Mag=Millions, NA=--"))</f>
        <v/>
      </c>
      <c r="AK20" s="506">
        <f t="array" ref="AK20:AK20">IF($B20="","",_xll.snl.clients.office.excel.functions.spg($B20,"SP_EBITDA_EST",AK$7,$F$2,"Options:Curr="&amp;$F$3&amp;", Mag=Millions, NA=--"))</f>
        <v/>
      </c>
      <c r="AL20" s="508" t="n"/>
      <c r="AM20" s="509">
        <f t="array" ref="AM20:AM20">IF($B20="","",_xll.snl.clients.office.excel.functions.spg($B20,"IQ_BASIC_EPS_BEFORE_EXTRA",AM$7,$F$2,"Options:Curr="&amp;$F$3&amp;", NA=--"))</f>
        <v/>
      </c>
      <c r="AN20" s="509">
        <f t="array" ref="AN20:AN20">IF($B20="","",_xll.snl.clients.office.excel.functions.spg($B20,"SP_EPS_EST",AN$7,$F$2,"Options:Curr="&amp;$F$3&amp;", NA=--"))</f>
        <v/>
      </c>
      <c r="AO20" s="509">
        <f t="array" ref="AO20:AO20">IF($B20="","",_xll.snl.clients.office.excel.functions.spg($B20,"SP_EPS_EST",AO$7,$F$2,"Options:Curr="&amp;$F$3&amp;", NA=--"))</f>
        <v/>
      </c>
      <c r="AP20" s="509">
        <f t="array" ref="AP20:AP20">IF($B20="","",_xll.snl.clients.office.excel.functions.spg($B20,"SP_EPS_EST",AP$7,$F$2,"Options:Curr="&amp;$F$3&amp;", NA=--"))</f>
        <v/>
      </c>
      <c r="AQ20" s="508" t="n"/>
      <c r="AR20" s="509">
        <f t="array" ref="AR20:AR20">IF($B20="","",_xll.snl.clients.office.excel.functions.spg($B20,"IQ_ROE",AR$7,$F$2,"Options:Curr="&amp;$F$3&amp;", NA=--"))</f>
        <v/>
      </c>
      <c r="AS20" s="508" t="n"/>
      <c r="AT20" s="509">
        <f t="array" ref="AT20:AT20">IF($B20="","",_xll.snl.clients.office.excel.functions.spg($B20,"IQ_BVPS",AT$7,$F$2,"Options:Curr="&amp;$F$3&amp;", NA=--"))</f>
        <v/>
      </c>
      <c r="AU20" s="508" t="n"/>
      <c r="AV20" s="509">
        <f t="array" ref="AV20:AV20">IF($B20="","",_xll.snl.clients.office.excel.functions.spg($B20,"IQ_TBVPS",AV$7,$F$2,"Options:Curr="&amp;$F$3&amp;", NA=--"))</f>
        <v/>
      </c>
      <c r="AW20" s="508" t="n"/>
      <c r="AX20" s="510">
        <f t="array" ref="AX20:AX20">IF($B20="","",_xll.snl.clients.office.excel.functions.spg($B20,"SP_DIV_YIELD",WORKDAY($F$2+1,-1),"Options: NA=--"))</f>
        <v/>
      </c>
      <c r="AY20" s="506">
        <f t="array" ref="AY20:AY20">IF($B20="","",_xll.snl.clients.office.excel.functions.spg($B20,"IQ_TOTAL_EQUITY","FQ0",$F$2,"Options:Curr="&amp;$F$3&amp;", Mag=Millions, NA=--"))</f>
        <v/>
      </c>
      <c r="AZ20" s="506">
        <f t="array" ref="AZ20:AZ20">IF($B20="","",_xll.snl.clients.office.excel.functions.spg($B20,"IQ_TOTAL_DEBT","FQ0",$F$2,"Options:Curr="&amp;$F$3&amp;", Mag=Millions, NA=--"))</f>
        <v/>
      </c>
      <c r="BA20" s="506">
        <f t="array" ref="BA20:BA20">IF($B20="","",_xll.snl.clients.office.excel.functions.spg($B20,"IQ_CASH_ST_INVEST","FQ0",$F$2,"Options:Curr="&amp;$F$3&amp;", Mag=Millions, NA=--"))</f>
        <v/>
      </c>
      <c r="BB20" s="506">
        <f>+AZ20-BA20</f>
        <v/>
      </c>
      <c r="BC20" s="506">
        <f t="array" ref="BC20:BC20">IF($B20="","",_xll.snl.clients.office.excel.functions.spg($B20,"IQ_TOTAL_EQUITY","FQ0",$F$2,"Options:Curr="&amp;$F$3&amp;", Mag=Millions, NA=--"))</f>
        <v/>
      </c>
      <c r="BD20" s="508" t="n"/>
      <c r="BE20" s="511">
        <f>IF($B20="","",IFERROR(_xll.snl.clients.office.excel.functions.spg($B20,"SP_GROSS_MARGIN",BE$7,$F$2,"Options: NA=--")/100,"--"))</f>
        <v/>
      </c>
      <c r="BF20" s="511">
        <f>IF($B20="","",IFERROR(_xll.snl.clients.office.excel.functions.spg($B20,"SP_GROSS_MARGIN_EST",BF$7,$F$2,"Options: NA=--")/100,"--"))</f>
        <v/>
      </c>
      <c r="BG20" s="511">
        <f>IF($B20="","",IFERROR(_xll.snl.clients.office.excel.functions.spg($B20,"SP_GROSS_MARGIN_EST",BG$7,$F$2,"Options: NA=--")/100,"--"))</f>
        <v/>
      </c>
      <c r="BH20" s="511">
        <f>IF($B20="","",IFERROR(_xll.snl.clients.office.excel.functions.spg($B20,"SP_GROSS_MARGIN_EST",BH$7,$F$2,"Options: NA=--")/100,"--"))</f>
        <v/>
      </c>
    </row>
    <row r="21" ht="14.25" customHeight="1" s="356">
      <c r="B21" s="486" t="inlineStr">
        <is>
          <t>NasdaqGS:PGY</t>
        </is>
      </c>
      <c r="D21" s="365">
        <f t="array" ref="D21:D21">IF($B21="","",_xll.snl.clients.office.excel.functions.spg($B21, "SP_COMPANY_NAME"))</f>
        <v/>
      </c>
      <c r="G21" s="512">
        <f t="array" ref="G21:G21">IF($B21="","",_xll.snl.clients.office.excel.functions.spg($B21,"SP_LASTSALEPRICE",WORKDAY($F$2+1,-1),"Options:Curr="&amp;I21&amp;",NA=--"))</f>
        <v/>
      </c>
      <c r="H21" s="499">
        <f t="array" ref="H21:H21">IF($B21="","",_xll.snl.clients.office.excel.functions.spg($B21,"SP_PRICE_CLOSE",WORKDAY($F$2+1,-1),"Options:Curr="&amp;$F$3&amp;", NA=--"))</f>
        <v/>
      </c>
      <c r="I21" s="500">
        <f t="array" ref="I21:I21">IF($B21="","",_xll.snl.clients.office.excel.functions.spg($B21,"SP_TRADING_CURRENCY","Options: NA=--"))</f>
        <v/>
      </c>
      <c r="J21" s="501">
        <f t="array" ref="J21:J21">IF($B21="","n/a ",_xll.snl.clients.office.excel.functions.spg($B21,"SP_MARKETCAP",WORKDAY($F$2+1,-1),"Options:Curr="&amp;$F$3&amp;", Mag=Millions, NA=--"))</f>
        <v/>
      </c>
      <c r="K21" s="501">
        <f t="array" ref="K21:K21">IF($B21="","n/a ",_xll.snl.clients.office.excel.functions.spg($B21,"IQ_TEV",WORKDAY($F$2+1,-1),"Options:Curr="&amp;$F$3&amp;", Mag=Millions, NA=--"))</f>
        <v/>
      </c>
      <c r="L21" s="502">
        <f>IFERROR(IF(OR($K21/AC21&gt;L$4,$K21/AC21&lt;L$3),"nmf ",$K21/AC21),"n/a ")</f>
        <v/>
      </c>
      <c r="M21" s="502">
        <f>IFERROR(IF(OR($K21/AD21&gt;M$4,$K21/AD21&lt;M$3),"nmf ",$K21/AD21),"n/a ")</f>
        <v/>
      </c>
      <c r="N21" s="502">
        <f>IFERROR(IF(OR($K21/AE21&gt;N$4,$K21/AE21&lt;N$3),"nmf ",$K21/AE21),"n/a ")</f>
        <v/>
      </c>
      <c r="O21" s="502">
        <f>IFERROR(IF(OR($K21/AH21&gt;O$4,$K21/AH21&lt;O$3),"nmf ",$K21/AH21),"n/a ")</f>
        <v/>
      </c>
      <c r="P21" s="502">
        <f>IFERROR(IF(OR($K21/AI21&gt;P$4,$K21/AI21&lt;P$3),"nmf ",$K21/AI21),"n/a ")</f>
        <v/>
      </c>
      <c r="Q21" s="502">
        <f>IFERROR(IF(OR($K21/AJ21&gt;Q$4,$K21/AJ21&lt;Q$3),"nmf ",$K21/AJ21),"n/a ")</f>
        <v/>
      </c>
      <c r="R21" s="503">
        <f>IFERROR((AE21/AD21)-1,"n/a ")</f>
        <v/>
      </c>
      <c r="S21" s="503">
        <f>IFERROR((AF21/AE21)-1,"n/a ")</f>
        <v/>
      </c>
      <c r="T21" s="503" t="n"/>
      <c r="U21" s="502">
        <f>IFERROR($H21/AM21,"n/a ")</f>
        <v/>
      </c>
      <c r="V21" s="502">
        <f>IFERROR($H21/AO21,"n/a ")</f>
        <v/>
      </c>
      <c r="W21" s="502">
        <f>IFERROR($H21/AP21,"n/a ")</f>
        <v/>
      </c>
      <c r="X21" s="504">
        <f>IFERROR(AR21/100,"n/a ")</f>
        <v/>
      </c>
      <c r="Y21" s="502">
        <f>IFERROR(H21/AT21,"n/a ")</f>
        <v/>
      </c>
      <c r="Z21" s="502">
        <f>IFERROR(H21/AV21,"n/a ")</f>
        <v/>
      </c>
      <c r="AA21" s="505" t="inlineStr">
        <is>
          <t>AI credit network for lenders &amp; banks</t>
        </is>
      </c>
      <c r="AC21" s="506">
        <f t="array" ref="AC21:AC21">IF($B21="","",_xll.snl.clients.office.excel.functions.spg($B21,"IQ_REV",AC$7,$F$2,"Options:Curr="&amp;$F$3&amp;", Mag=Millions, NA=--"))</f>
        <v/>
      </c>
      <c r="AD21" s="506">
        <f t="array" ref="AD21:AD21">IF($B21="","",_xll.snl.clients.office.excel.functions.spg($B21,"SP_REV_EST",AD$7,$F$2,"Options:Curr="&amp;$F$3&amp;", Mag=Millions, NA=--"))</f>
        <v/>
      </c>
      <c r="AE21" s="506">
        <f t="array" ref="AE21:AE21">IF($B21="","",_xll.snl.clients.office.excel.functions.spg($B21,"SP_REV_EST",AE$7,$F$2,"Options:Curr="&amp;$F$3&amp;", Mag=Millions, NA=--"))</f>
        <v/>
      </c>
      <c r="AF21" s="506">
        <f t="array" ref="AF21:AF21">IF($B21="","",_xll.snl.clients.office.excel.functions.spg($B21,"SP_REV_EST",AF$7,$F$2,"Options:Curr="&amp;$F$3&amp;", Mag=Millions, NA=--"))</f>
        <v/>
      </c>
      <c r="AG21" s="507" t="n"/>
      <c r="AH21" s="506">
        <f t="array" ref="AH21:AH21">IF($B21="","",_xll.snl.clients.office.excel.functions.spg($B21,"SP_EBITDA",AH$7,$F$2,"Options:Curr="&amp;$F$3&amp;", Mag=Millions, NA=--"))</f>
        <v/>
      </c>
      <c r="AI21" s="506">
        <f t="array" ref="AI21:AI21">IF($B21="","",_xll.snl.clients.office.excel.functions.spg($B21,"SP_EBITDA_EST",AI$7,$F$2,"Options:Curr="&amp;$F$3&amp;", Mag=Millions, NA=--"))</f>
        <v/>
      </c>
      <c r="AJ21" s="506">
        <f t="array" ref="AJ21:AJ21">IF($B21="","",_xll.snl.clients.office.excel.functions.spg($B21,"SP_EBITDA_EST",AJ$7,$F$2,"Options:Curr="&amp;$F$3&amp;", Mag=Millions, NA=--"))</f>
        <v/>
      </c>
      <c r="AK21" s="506">
        <f t="array" ref="AK21:AK21">IF($B21="","",_xll.snl.clients.office.excel.functions.spg($B21,"SP_EBITDA_EST",AK$7,$F$2,"Options:Curr="&amp;$F$3&amp;", Mag=Millions, NA=--"))</f>
        <v/>
      </c>
      <c r="AL21" s="508" t="n"/>
      <c r="AM21" s="509">
        <f t="array" ref="AM21:AM21">IF($B21="","",_xll.snl.clients.office.excel.functions.spg($B21,"IQ_BASIC_EPS_BEFORE_EXTRA",AM$7,$F$2,"Options:Curr="&amp;$F$3&amp;", NA=--"))</f>
        <v/>
      </c>
      <c r="AN21" s="509">
        <f t="array" ref="AN21:AN21">IF($B21="","",_xll.snl.clients.office.excel.functions.spg($B21,"SP_EPS_EST",AN$7,$F$2,"Options:Curr="&amp;$F$3&amp;", NA=--"))</f>
        <v/>
      </c>
      <c r="AO21" s="509">
        <f t="array" ref="AO21:AO21">IF($B21="","",_xll.snl.clients.office.excel.functions.spg($B21,"SP_EPS_EST",AO$7,$F$2,"Options:Curr="&amp;$F$3&amp;", NA=--"))</f>
        <v/>
      </c>
      <c r="AP21" s="509">
        <f t="array" ref="AP21:AP21">IF($B21="","",_xll.snl.clients.office.excel.functions.spg($B21,"SP_EPS_EST",AP$7,$F$2,"Options:Curr="&amp;$F$3&amp;", NA=--"))</f>
        <v/>
      </c>
      <c r="AQ21" s="508" t="n"/>
      <c r="AR21" s="509">
        <f t="array" ref="AR21:AR21">IF($B21="","",_xll.snl.clients.office.excel.functions.spg($B21,"IQ_ROE",AR$7,$F$2,"Options:Curr="&amp;$F$3&amp;", NA=--"))</f>
        <v/>
      </c>
      <c r="AS21" s="508" t="n"/>
      <c r="AT21" s="509">
        <f t="array" ref="AT21:AT21">IF($B21="","",_xll.snl.clients.office.excel.functions.spg($B21,"IQ_BVPS",AT$7,$F$2,"Options:Curr="&amp;$F$3&amp;", NA=--"))</f>
        <v/>
      </c>
      <c r="AU21" s="508" t="n"/>
      <c r="AV21" s="509">
        <f t="array" ref="AV21:AV21">IF($B21="","",_xll.snl.clients.office.excel.functions.spg($B21,"IQ_TBVPS",AV$7,$F$2,"Options:Curr="&amp;$F$3&amp;", NA=--"))</f>
        <v/>
      </c>
      <c r="AW21" s="508" t="n"/>
      <c r="AX21" s="510">
        <f t="array" ref="AX21:AX21">IF($B21="","",_xll.snl.clients.office.excel.functions.spg($B21,"SP_DIV_YIELD",WORKDAY($F$2+1,-1),"Options: NA=--"))</f>
        <v/>
      </c>
      <c r="AY21" s="506">
        <f t="array" ref="AY21:AY21">IF($B21="","",_xll.snl.clients.office.excel.functions.spg($B21,"IQ_TOTAL_EQUITY","FQ0",$F$2,"Options:Curr="&amp;$F$3&amp;", Mag=Millions, NA=--"))</f>
        <v/>
      </c>
      <c r="AZ21" s="506">
        <f t="array" ref="AZ21:AZ21">IF($B21="","",_xll.snl.clients.office.excel.functions.spg($B21,"IQ_TOTAL_DEBT","FQ0",$F$2,"Options:Curr="&amp;$F$3&amp;", Mag=Millions, NA=--"))</f>
        <v/>
      </c>
      <c r="BA21" s="506">
        <f t="array" ref="BA21:BA21">IF($B21="","",_xll.snl.clients.office.excel.functions.spg($B21,"IQ_CASH_ST_INVEST","FQ0",$F$2,"Options:Curr="&amp;$F$3&amp;", Mag=Millions, NA=--"))</f>
        <v/>
      </c>
      <c r="BB21" s="506">
        <f>+AZ21-BA21</f>
        <v/>
      </c>
      <c r="BC21" s="506">
        <f t="array" ref="BC21:BC21">IF($B21="","",_xll.snl.clients.office.excel.functions.spg($B21,"IQ_TOTAL_EQUITY","FQ0",$F$2,"Options:Curr="&amp;$F$3&amp;", Mag=Millions, NA=--"))</f>
        <v/>
      </c>
      <c r="BD21" s="508" t="n"/>
      <c r="BE21" s="511">
        <f>IF($B21="","",IFERROR(_xll.snl.clients.office.excel.functions.spg($B21,"SP_GROSS_MARGIN",BE$7,$F$2,"Options: NA=--")/100,"--"))</f>
        <v/>
      </c>
      <c r="BF21" s="511">
        <f>IF($B21="","",IFERROR(_xll.snl.clients.office.excel.functions.spg($B21,"SP_GROSS_MARGIN_EST",BF$7,$F$2,"Options: NA=--")/100,"--"))</f>
        <v/>
      </c>
      <c r="BG21" s="511">
        <f>IF($B21="","",IFERROR(_xll.snl.clients.office.excel.functions.spg($B21,"SP_GROSS_MARGIN_EST",BG$7,$F$2,"Options: NA=--")/100,"--"))</f>
        <v/>
      </c>
      <c r="BH21" s="511">
        <f>IF($B21="","",IFERROR(_xll.snl.clients.office.excel.functions.spg($B21,"SP_GROSS_MARGIN_EST",BH$7,$F$2,"Options: NA=--")/100,"--"))</f>
        <v/>
      </c>
    </row>
    <row r="22" ht="14.25" customHeight="1" s="356">
      <c r="B22" s="486" t="inlineStr">
        <is>
          <t>NYSE:LC</t>
        </is>
      </c>
      <c r="D22" s="365">
        <f t="array" ref="D22:D22">IF($B22="","",_xll.snl.clients.office.excel.functions.spg($B22, "SP_COMPANY_NAME"))</f>
        <v/>
      </c>
      <c r="G22" s="512">
        <f t="array" ref="G22:G22">IF($B22="","",_xll.snl.clients.office.excel.functions.spg($B22,"SP_LASTSALEPRICE",WORKDAY($F$2+1,-1),"Options:Curr="&amp;I22&amp;",NA=--"))</f>
        <v/>
      </c>
      <c r="H22" s="499">
        <f t="array" ref="H22:H22">IF($B22="","",_xll.snl.clients.office.excel.functions.spg($B22,"SP_PRICE_CLOSE",WORKDAY($F$2+1,-1),"Options:Curr="&amp;$F$3&amp;", NA=--"))</f>
        <v/>
      </c>
      <c r="I22" s="500">
        <f t="array" ref="I22:I22">IF($B22="","",_xll.snl.clients.office.excel.functions.spg($B22,"SP_TRADING_CURRENCY","Options: NA=--"))</f>
        <v/>
      </c>
      <c r="J22" s="501">
        <f t="array" ref="J22:J22">IF($B22="","n/a ",_xll.snl.clients.office.excel.functions.spg($B22,"SP_MARKETCAP",WORKDAY($F$2+1,-1),"Options:Curr="&amp;$F$3&amp;", Mag=Millions, NA=--"))</f>
        <v/>
      </c>
      <c r="K22" s="501">
        <f t="array" ref="K22:K22">IF($B22="","n/a ",_xll.snl.clients.office.excel.functions.spg($B22,"IQ_TEV",WORKDAY($F$2+1,-1),"Options:Curr="&amp;$F$3&amp;", Mag=Millions, NA=--"))</f>
        <v/>
      </c>
      <c r="L22" s="502">
        <f>IFERROR(IF(OR($K22/AC22&gt;L$4,$K22/AC22&lt;L$3),"nmf ",$K22/AC22),"n/a ")</f>
        <v/>
      </c>
      <c r="M22" s="502">
        <f>IFERROR(IF(OR($K22/AD22&gt;M$4,$K22/AD22&lt;M$3),"nmf ",$K22/AD22),"n/a ")</f>
        <v/>
      </c>
      <c r="N22" s="502">
        <f>IFERROR(IF(OR($K22/AE22&gt;N$4,$K22/AE22&lt;N$3),"nmf ",$K22/AE22),"n/a ")</f>
        <v/>
      </c>
      <c r="O22" s="502">
        <f>IFERROR(IF(OR($K22/AH22&gt;O$4,$K22/AH22&lt;O$3),"nmf ",$K22/AH22),"n/a ")</f>
        <v/>
      </c>
      <c r="P22" s="502">
        <f>IFERROR(IF(OR($K22/AI22&gt;P$4,$K22/AI22&lt;P$3),"nmf ",$K22/AI22),"n/a ")</f>
        <v/>
      </c>
      <c r="Q22" s="502">
        <f>IFERROR(IF(OR($K22/AJ22&gt;Q$4,$K22/AJ22&lt;Q$3),"nmf ",$K22/AJ22),"n/a ")</f>
        <v/>
      </c>
      <c r="R22" s="503">
        <f>IFERROR((AE22/AD22)-1,"n/a ")</f>
        <v/>
      </c>
      <c r="S22" s="503">
        <f>IFERROR((AF22/AE22)-1,"n/a ")</f>
        <v/>
      </c>
      <c r="T22" s="503" t="n"/>
      <c r="U22" s="502">
        <f>IFERROR($H22/AM22,"n/a ")</f>
        <v/>
      </c>
      <c r="V22" s="502">
        <f>IFERROR($H22/AO22,"n/a ")</f>
        <v/>
      </c>
      <c r="W22" s="502">
        <f>IFERROR($H22/AP22,"n/a ")</f>
        <v/>
      </c>
      <c r="X22" s="504">
        <f>IFERROR(AR22/100,"n/a ")</f>
        <v/>
      </c>
      <c r="Y22" s="502">
        <f>IFERROR(H22/AT22,"n/a ")</f>
        <v/>
      </c>
      <c r="Z22" s="502">
        <f>IFERROR(H22/AV22,"n/a ")</f>
        <v/>
      </c>
      <c r="AA22" s="505" t="inlineStr">
        <is>
          <t>Digital marketplace bank; personal loans</t>
        </is>
      </c>
      <c r="AC22" s="506">
        <f t="array" ref="AC22:AC22">IF($B22="","",_xll.snl.clients.office.excel.functions.spg($B22,"IQ_REV",AC$7,$F$2,"Options:Curr="&amp;$F$3&amp;", Mag=Millions, NA=--"))</f>
        <v/>
      </c>
      <c r="AD22" s="506">
        <f t="array" ref="AD22:AD22">IF($B22="","",_xll.snl.clients.office.excel.functions.spg($B22,"SP_REV_EST",AD$7,$F$2,"Options:Curr="&amp;$F$3&amp;", Mag=Millions, NA=--"))</f>
        <v/>
      </c>
      <c r="AE22" s="506">
        <f t="array" ref="AE22:AE22">IF($B22="","",_xll.snl.clients.office.excel.functions.spg($B22,"SP_REV_EST",AE$7,$F$2,"Options:Curr="&amp;$F$3&amp;", Mag=Millions, NA=--"))</f>
        <v/>
      </c>
      <c r="AF22" s="506">
        <f t="array" ref="AF22:AF22">IF($B22="","",_xll.snl.clients.office.excel.functions.spg($B22,"SP_REV_EST",AF$7,$F$2,"Options:Curr="&amp;$F$3&amp;", Mag=Millions, NA=--"))</f>
        <v/>
      </c>
      <c r="AG22" s="507" t="n"/>
      <c r="AH22" s="506">
        <f t="array" ref="AH22:AH22">IF($B22="","",_xll.snl.clients.office.excel.functions.spg($B22,"SP_EBITDA",AH$7,$F$2,"Options:Curr="&amp;$F$3&amp;", Mag=Millions, NA=--"))</f>
        <v/>
      </c>
      <c r="AI22" s="506">
        <f t="array" ref="AI22:AI22">IF($B22="","",_xll.snl.clients.office.excel.functions.spg($B22,"SP_EBITDA_EST",AI$7,$F$2,"Options:Curr="&amp;$F$3&amp;", Mag=Millions, NA=--"))</f>
        <v/>
      </c>
      <c r="AJ22" s="506">
        <f t="array" ref="AJ22:AJ22">IF($B22="","",_xll.snl.clients.office.excel.functions.spg($B22,"SP_EBITDA_EST",AJ$7,$F$2,"Options:Curr="&amp;$F$3&amp;", Mag=Millions, NA=--"))</f>
        <v/>
      </c>
      <c r="AK22" s="506">
        <f t="array" ref="AK22:AK22">IF($B22="","",_xll.snl.clients.office.excel.functions.spg($B22,"SP_EBITDA_EST",AK$7,$F$2,"Options:Curr="&amp;$F$3&amp;", Mag=Millions, NA=--"))</f>
        <v/>
      </c>
      <c r="AL22" s="508" t="n"/>
      <c r="AM22" s="509">
        <f t="array" ref="AM22:AM22">IF($B22="","",_xll.snl.clients.office.excel.functions.spg($B22,"IQ_BASIC_EPS_BEFORE_EXTRA",AM$7,$F$2,"Options:Curr="&amp;$F$3&amp;", NA=--"))</f>
        <v/>
      </c>
      <c r="AN22" s="509">
        <f t="array" ref="AN22:AN22">IF($B22="","",_xll.snl.clients.office.excel.functions.spg($B22,"SP_EPS_EST",AN$7,$F$2,"Options:Curr="&amp;$F$3&amp;", NA=--"))</f>
        <v/>
      </c>
      <c r="AO22" s="509">
        <f t="array" ref="AO22:AO22">IF($B22="","",_xll.snl.clients.office.excel.functions.spg($B22,"SP_EPS_EST",AO$7,$F$2,"Options:Curr="&amp;$F$3&amp;", NA=--"))</f>
        <v/>
      </c>
      <c r="AP22" s="509">
        <f t="array" ref="AP22:AP22">IF($B22="","",_xll.snl.clients.office.excel.functions.spg($B22,"SP_EPS_EST",AP$7,$F$2,"Options:Curr="&amp;$F$3&amp;", NA=--"))</f>
        <v/>
      </c>
      <c r="AQ22" s="508" t="n"/>
      <c r="AR22" s="509">
        <f t="array" ref="AR22:AR22">IF($B22="","",_xll.snl.clients.office.excel.functions.spg($B22,"IQ_ROE",AR$7,$F$2,"Options:Curr="&amp;$F$3&amp;", NA=--"))</f>
        <v/>
      </c>
      <c r="AS22" s="508" t="n"/>
      <c r="AT22" s="509">
        <f t="array" ref="AT22:AT22">IF($B22="","",_xll.snl.clients.office.excel.functions.spg($B22,"IQ_BVPS",AT$7,$F$2,"Options:Curr="&amp;$F$3&amp;", NA=--"))</f>
        <v/>
      </c>
      <c r="AU22" s="508" t="n"/>
      <c r="AV22" s="509">
        <f t="array" ref="AV22:AV22">IF($B22="","",_xll.snl.clients.office.excel.functions.spg($B22,"IQ_TBVPS",AV$7,$F$2,"Options:Curr="&amp;$F$3&amp;", NA=--"))</f>
        <v/>
      </c>
      <c r="AW22" s="508" t="n"/>
      <c r="AX22" s="510">
        <f t="array" ref="AX22:AX22">IF($B22="","",_xll.snl.clients.office.excel.functions.spg($B22,"SP_DIV_YIELD",WORKDAY($F$2+1,-1),"Options: NA=--"))</f>
        <v/>
      </c>
      <c r="AY22" s="506">
        <f t="array" ref="AY22:AY22">IF($B22="","",_xll.snl.clients.office.excel.functions.spg($B22,"IQ_TOTAL_EQUITY","FQ0",$F$2,"Options:Curr="&amp;$F$3&amp;", Mag=Millions, NA=--"))</f>
        <v/>
      </c>
      <c r="AZ22" s="506">
        <f t="array" ref="AZ22:AZ22">IF($B22="","",_xll.snl.clients.office.excel.functions.spg($B22,"IQ_TOTAL_DEBT","FQ0",$F$2,"Options:Curr="&amp;$F$3&amp;", Mag=Millions, NA=--"))</f>
        <v/>
      </c>
      <c r="BA22" s="506">
        <f t="array" ref="BA22:BA22">IF($B22="","",_xll.snl.clients.office.excel.functions.spg($B22,"IQ_CASH_ST_INVEST","FQ0",$F$2,"Options:Curr="&amp;$F$3&amp;", Mag=Millions, NA=--"))</f>
        <v/>
      </c>
      <c r="BB22" s="506">
        <f>+AZ22-BA22</f>
        <v/>
      </c>
      <c r="BC22" s="506">
        <f t="array" ref="BC22:BC22">IF($B22="","",_xll.snl.clients.office.excel.functions.spg($B22,"IQ_TOTAL_EQUITY","FQ0",$F$2,"Options:Curr="&amp;$F$3&amp;", Mag=Millions, NA=--"))</f>
        <v/>
      </c>
      <c r="BD22" s="508" t="n"/>
      <c r="BE22" s="511">
        <f>IF($B22="","",IFERROR(_xll.snl.clients.office.excel.functions.spg($B22,"SP_GROSS_MARGIN",BE$7,$F$2,"Options: NA=--")/100,"--"))</f>
        <v/>
      </c>
      <c r="BF22" s="511">
        <f>IF($B22="","",IFERROR(_xll.snl.clients.office.excel.functions.spg($B22,"SP_GROSS_MARGIN_EST",BF$7,$F$2,"Options: NA=--")/100,"--"))</f>
        <v/>
      </c>
      <c r="BG22" s="511">
        <f>IF($B22="","",IFERROR(_xll.snl.clients.office.excel.functions.spg($B22,"SP_GROSS_MARGIN_EST",BG$7,$F$2,"Options: NA=--")/100,"--"))</f>
        <v/>
      </c>
      <c r="BH22" s="511">
        <f>IF($B22="","",IFERROR(_xll.snl.clients.office.excel.functions.spg($B22,"SP_GROSS_MARGIN_EST",BH$7,$F$2,"Options: NA=--")/100,"--"))</f>
        <v/>
      </c>
    </row>
    <row r="23" ht="14.25" customHeight="1" s="356">
      <c r="B23" s="486" t="inlineStr">
        <is>
          <t>NasdaqGS:SOFI</t>
        </is>
      </c>
      <c r="D23" s="365">
        <f t="array" ref="D23:D23">IF($B23="","",_xll.snl.clients.office.excel.functions.spg($B23, "SP_COMPANY_NAME"))</f>
        <v/>
      </c>
      <c r="G23" s="512">
        <f t="array" ref="G23:G23">IF($B23="","",_xll.snl.clients.office.excel.functions.spg($B23,"SP_LASTSALEPRICE",WORKDAY($F$2+1,-1),"Options:Curr="&amp;I23&amp;",NA=--"))</f>
        <v/>
      </c>
      <c r="H23" s="499">
        <f t="array" ref="H23:H23">IF($B23="","",_xll.snl.clients.office.excel.functions.spg($B23,"SP_PRICE_CLOSE",WORKDAY($F$2+1,-1),"Options:Curr="&amp;$F$3&amp;", NA=--"))</f>
        <v/>
      </c>
      <c r="I23" s="500">
        <f t="array" ref="I23:I23">IF($B23="","",_xll.snl.clients.office.excel.functions.spg($B23,"SP_TRADING_CURRENCY","Options: NA=--"))</f>
        <v/>
      </c>
      <c r="J23" s="501">
        <f t="array" ref="J23:J23">IF($B23="","n/a ",_xll.snl.clients.office.excel.functions.spg($B23,"SP_MARKETCAP",WORKDAY($F$2+1,-1),"Options:Curr="&amp;$F$3&amp;", Mag=Millions, NA=--"))</f>
        <v/>
      </c>
      <c r="K23" s="501">
        <f t="array" ref="K23:K23">IF($B23="","n/a ",_xll.snl.clients.office.excel.functions.spg($B23,"IQ_TEV",WORKDAY($F$2+1,-1),"Options:Curr="&amp;$F$3&amp;", Mag=Millions, NA=--"))</f>
        <v/>
      </c>
      <c r="L23" s="502">
        <f>IFERROR(IF(OR($K23/AC23&gt;L$4,$K23/AC23&lt;L$3),"nmf ",$K23/AC23),"n/a ")</f>
        <v/>
      </c>
      <c r="M23" s="502">
        <f>IFERROR(IF(OR($K23/AD23&gt;M$4,$K23/AD23&lt;M$3),"nmf ",$K23/AD23),"n/a ")</f>
        <v/>
      </c>
      <c r="N23" s="502">
        <f>IFERROR(IF(OR($K23/AE23&gt;N$4,$K23/AE23&lt;N$3),"nmf ",$K23/AE23),"n/a ")</f>
        <v/>
      </c>
      <c r="O23" s="502">
        <f>IFERROR(IF(OR($K23/AH23&gt;O$4,$K23/AH23&lt;O$3),"nmf ",$K23/AH23),"n/a ")</f>
        <v/>
      </c>
      <c r="P23" s="502">
        <f>IFERROR(IF(OR($K23/AI23&gt;P$4,$K23/AI23&lt;P$3),"nmf ",$K23/AI23),"n/a ")</f>
        <v/>
      </c>
      <c r="Q23" s="502">
        <f>IFERROR(IF(OR($K23/AJ23&gt;Q$4,$K23/AJ23&lt;Q$3),"nmf ",$K23/AJ23),"n/a ")</f>
        <v/>
      </c>
      <c r="R23" s="503">
        <f>IFERROR((AE23/AD23)-1,"n/a ")</f>
        <v/>
      </c>
      <c r="S23" s="503">
        <f>IFERROR((AF23/AE23)-1,"n/a ")</f>
        <v/>
      </c>
      <c r="T23" s="503" t="n"/>
      <c r="U23" s="502">
        <f>IFERROR($H23/AM23,"n/a ")</f>
        <v/>
      </c>
      <c r="V23" s="502">
        <f>IFERROR($H23/AO23,"n/a ")</f>
        <v/>
      </c>
      <c r="W23" s="502">
        <f>IFERROR($H23/AP23,"n/a ")</f>
        <v/>
      </c>
      <c r="X23" s="504">
        <f>IFERROR(AR23/100,"n/a ")</f>
        <v/>
      </c>
      <c r="Y23" s="502">
        <f>IFERROR(H23/AT23,"n/a ")</f>
        <v/>
      </c>
      <c r="Z23" s="502">
        <f>IFERROR(H23/AV23,"n/a ")</f>
        <v/>
      </c>
      <c r="AA23" s="505" t="inlineStr">
        <is>
          <t>Digital banking, lending &amp; invest platform</t>
        </is>
      </c>
      <c r="AC23" s="506">
        <f t="array" ref="AC23:AC23">IF($B23="","",_xll.snl.clients.office.excel.functions.spg($B23,"IQ_REV",AC$7,$F$2,"Options:Curr="&amp;$F$3&amp;", Mag=Millions, NA=--"))</f>
        <v/>
      </c>
      <c r="AD23" s="506">
        <f t="array" ref="AD23:AD23">IF($B23="","",_xll.snl.clients.office.excel.functions.spg($B23,"SP_REV_EST",AD$7,$F$2,"Options:Curr="&amp;$F$3&amp;", Mag=Millions, NA=--"))</f>
        <v/>
      </c>
      <c r="AE23" s="506">
        <f t="array" ref="AE23:AE23">IF($B23="","",_xll.snl.clients.office.excel.functions.spg($B23,"SP_REV_EST",AE$7,$F$2,"Options:Curr="&amp;$F$3&amp;", Mag=Millions, NA=--"))</f>
        <v/>
      </c>
      <c r="AF23" s="506">
        <f t="array" ref="AF23:AF23">IF($B23="","",_xll.snl.clients.office.excel.functions.spg($B23,"SP_REV_EST",AF$7,$F$2,"Options:Curr="&amp;$F$3&amp;", Mag=Millions, NA=--"))</f>
        <v/>
      </c>
      <c r="AG23" s="507" t="n"/>
      <c r="AH23" s="506">
        <f t="array" ref="AH23:AH23">IF($B23="","",_xll.snl.clients.office.excel.functions.spg($B23,"SP_EBITDA",AH$7,$F$2,"Options:Curr="&amp;$F$3&amp;", Mag=Millions, NA=--"))</f>
        <v/>
      </c>
      <c r="AI23" s="506">
        <f t="array" ref="AI23:AI23">IF($B23="","",_xll.snl.clients.office.excel.functions.spg($B23,"SP_EBITDA_EST",AI$7,$F$2,"Options:Curr="&amp;$F$3&amp;", Mag=Millions, NA=--"))</f>
        <v/>
      </c>
      <c r="AJ23" s="506">
        <f t="array" ref="AJ23:AJ23">IF($B23="","",_xll.snl.clients.office.excel.functions.spg($B23,"SP_EBITDA_EST",AJ$7,$F$2,"Options:Curr="&amp;$F$3&amp;", Mag=Millions, NA=--"))</f>
        <v/>
      </c>
      <c r="AK23" s="506">
        <f t="array" ref="AK23:AK23">IF($B23="","",_xll.snl.clients.office.excel.functions.spg($B23,"SP_EBITDA_EST",AK$7,$F$2,"Options:Curr="&amp;$F$3&amp;", Mag=Millions, NA=--"))</f>
        <v/>
      </c>
      <c r="AL23" s="508" t="n"/>
      <c r="AM23" s="509">
        <f t="array" ref="AM23:AM23">IF($B23="","",_xll.snl.clients.office.excel.functions.spg($B23,"IQ_BASIC_EPS_BEFORE_EXTRA",AM$7,$F$2,"Options:Curr="&amp;$F$3&amp;", NA=--"))</f>
        <v/>
      </c>
      <c r="AN23" s="509">
        <f t="array" ref="AN23:AN23">IF($B23="","",_xll.snl.clients.office.excel.functions.spg($B23,"SP_EPS_EST",AN$7,$F$2,"Options:Curr="&amp;$F$3&amp;", NA=--"))</f>
        <v/>
      </c>
      <c r="AO23" s="509">
        <f t="array" ref="AO23:AO23">IF($B23="","",_xll.snl.clients.office.excel.functions.spg($B23,"SP_EPS_EST",AO$7,$F$2,"Options:Curr="&amp;$F$3&amp;", NA=--"))</f>
        <v/>
      </c>
      <c r="AP23" s="509">
        <f t="array" ref="AP23:AP23">IF($B23="","",_xll.snl.clients.office.excel.functions.spg($B23,"SP_EPS_EST",AP$7,$F$2,"Options:Curr="&amp;$F$3&amp;", NA=--"))</f>
        <v/>
      </c>
      <c r="AQ23" s="508" t="n"/>
      <c r="AR23" s="509">
        <f t="array" ref="AR23:AR23">IF($B23="","",_xll.snl.clients.office.excel.functions.spg($B23,"IQ_ROE",AR$7,$F$2,"Options:Curr="&amp;$F$3&amp;", NA=--"))</f>
        <v/>
      </c>
      <c r="AS23" s="508" t="n"/>
      <c r="AT23" s="509">
        <f t="array" ref="AT23:AT23">IF($B23="","",_xll.snl.clients.office.excel.functions.spg($B23,"IQ_BVPS",AT$7,$F$2,"Options:Curr="&amp;$F$3&amp;", NA=--"))</f>
        <v/>
      </c>
      <c r="AU23" s="508" t="n"/>
      <c r="AV23" s="509">
        <f t="array" ref="AV23:AV23">IF($B23="","",_xll.snl.clients.office.excel.functions.spg($B23,"IQ_TBVPS",AV$7,$F$2,"Options:Curr="&amp;$F$3&amp;", NA=--"))</f>
        <v/>
      </c>
      <c r="AW23" s="508" t="n"/>
      <c r="AX23" s="510">
        <f t="array" ref="AX23:AX23">IF($B23="","",_xll.snl.clients.office.excel.functions.spg($B23,"SP_DIV_YIELD",WORKDAY($F$2+1,-1),"Options: NA=--"))</f>
        <v/>
      </c>
      <c r="AY23" s="506">
        <f t="array" ref="AY23:AY23">IF($B23="","",_xll.snl.clients.office.excel.functions.spg($B23,"IQ_TOTAL_EQUITY","FQ0",$F$2,"Options:Curr="&amp;$F$3&amp;", Mag=Millions, NA=--"))</f>
        <v/>
      </c>
      <c r="AZ23" s="506">
        <f t="array" ref="AZ23:AZ23">IF($B23="","",_xll.snl.clients.office.excel.functions.spg($B23,"IQ_TOTAL_DEBT","FQ0",$F$2,"Options:Curr="&amp;$F$3&amp;", Mag=Millions, NA=--"))</f>
        <v/>
      </c>
      <c r="BA23" s="506">
        <f t="array" ref="BA23:BA23">IF($B23="","",_xll.snl.clients.office.excel.functions.spg($B23,"IQ_CASH_ST_INVEST","FQ0",$F$2,"Options:Curr="&amp;$F$3&amp;", Mag=Millions, NA=--"))</f>
        <v/>
      </c>
      <c r="BB23" s="506">
        <f>+AZ23-BA23</f>
        <v/>
      </c>
      <c r="BC23" s="506">
        <f t="array" ref="BC23:BC23">IF($B23="","",_xll.snl.clients.office.excel.functions.spg($B23,"IQ_TOTAL_EQUITY","FQ0",$F$2,"Options:Curr="&amp;$F$3&amp;", Mag=Millions, NA=--"))</f>
        <v/>
      </c>
      <c r="BD23" s="508" t="n"/>
      <c r="BE23" s="511">
        <f>IF($B23="","",IFERROR(_xll.snl.clients.office.excel.functions.spg($B23,"SP_GROSS_MARGIN",BE$7,$F$2,"Options: NA=--")/100,"--"))</f>
        <v/>
      </c>
      <c r="BF23" s="511">
        <f>IF($B23="","",IFERROR(_xll.snl.clients.office.excel.functions.spg($B23,"SP_GROSS_MARGIN_EST",BF$7,$F$2,"Options: NA=--")/100,"--"))</f>
        <v/>
      </c>
      <c r="BG23" s="511">
        <f>IF($B23="","",IFERROR(_xll.snl.clients.office.excel.functions.spg($B23,"SP_GROSS_MARGIN_EST",BG$7,$F$2,"Options: NA=--")/100,"--"))</f>
        <v/>
      </c>
      <c r="BH23" s="511">
        <f>IF($B23="","",IFERROR(_xll.snl.clients.office.excel.functions.spg($B23,"SP_GROSS_MARGIN_EST",BH$7,$F$2,"Options: NA=--")/100,"--"))</f>
        <v/>
      </c>
    </row>
    <row r="24" ht="14.25" customHeight="1" s="356">
      <c r="B24" s="486" t="inlineStr">
        <is>
          <t>NasdaqGS:AFRM</t>
        </is>
      </c>
      <c r="D24" s="365">
        <f t="array" ref="D24:D24">IF($B24="","",_xll.snl.clients.office.excel.functions.spg($B24, "SP_COMPANY_NAME"))</f>
        <v/>
      </c>
      <c r="G24" s="512">
        <f t="array" ref="G24:G24">IF($B24="","",_xll.snl.clients.office.excel.functions.spg($B24,"SP_LASTSALEPRICE",WORKDAY($F$2+1,-1),"Options:Curr="&amp;I24&amp;",NA=--"))</f>
        <v/>
      </c>
      <c r="H24" s="499">
        <f t="array" ref="H24:H24">IF($B24="","",_xll.snl.clients.office.excel.functions.spg($B24,"SP_PRICE_CLOSE",WORKDAY($F$2+1,-1),"Options:Curr="&amp;$F$3&amp;", NA=--"))</f>
        <v/>
      </c>
      <c r="I24" s="500">
        <f t="array" ref="I24:I24">IF($B24="","",_xll.snl.clients.office.excel.functions.spg($B24,"SP_TRADING_CURRENCY","Options: NA=--"))</f>
        <v/>
      </c>
      <c r="J24" s="501">
        <f t="array" ref="J24:J24">IF($B24="","n/a ",_xll.snl.clients.office.excel.functions.spg($B24,"SP_MARKETCAP",WORKDAY($F$2+1,-1),"Options:Curr="&amp;$F$3&amp;", Mag=Millions, NA=--"))</f>
        <v/>
      </c>
      <c r="K24" s="501">
        <f t="array" ref="K24:K24">IF($B24="","n/a ",_xll.snl.clients.office.excel.functions.spg($B24,"IQ_TEV",WORKDAY($F$2+1,-1),"Options:Curr="&amp;$F$3&amp;", Mag=Millions, NA=--"))</f>
        <v/>
      </c>
      <c r="L24" s="502">
        <f>IFERROR(IF(OR($K24/AC24&gt;L$4,$K24/AC24&lt;L$3),"nmf ",$K24/AC24),"n/a ")</f>
        <v/>
      </c>
      <c r="M24" s="502">
        <f>IFERROR(IF(OR($K24/AD24&gt;M$4,$K24/AD24&lt;M$3),"nmf ",$K24/AD24),"n/a ")</f>
        <v/>
      </c>
      <c r="N24" s="502">
        <f>IFERROR(IF(OR($K24/AE24&gt;N$4,$K24/AE24&lt;N$3),"nmf ",$K24/AE24),"n/a ")</f>
        <v/>
      </c>
      <c r="O24" s="502">
        <f>IFERROR(IF(OR($K24/AH24&gt;O$4,$K24/AH24&lt;O$3),"nmf ",$K24/AH24),"n/a ")</f>
        <v/>
      </c>
      <c r="P24" s="502">
        <f>IFERROR(IF(OR($K24/AI24&gt;P$4,$K24/AI24&lt;P$3),"nmf ",$K24/AI24),"n/a ")</f>
        <v/>
      </c>
      <c r="Q24" s="502">
        <f>IFERROR(IF(OR($K24/AJ24&gt;Q$4,$K24/AJ24&lt;Q$3),"nmf ",$K24/AJ24),"n/a ")</f>
        <v/>
      </c>
      <c r="R24" s="503">
        <f>IFERROR((AE24/AD24)-1,"n/a ")</f>
        <v/>
      </c>
      <c r="S24" s="503">
        <f>IFERROR((AF24/AE24)-1,"n/a ")</f>
        <v/>
      </c>
      <c r="T24" s="503" t="n"/>
      <c r="U24" s="502">
        <f>IFERROR($H24/AM24,"n/a ")</f>
        <v/>
      </c>
      <c r="V24" s="502">
        <f>IFERROR($H24/AO24,"n/a ")</f>
        <v/>
      </c>
      <c r="W24" s="502">
        <f>IFERROR($H24/AP24,"n/a ")</f>
        <v/>
      </c>
      <c r="X24" s="504">
        <f>IFERROR(AR24/100,"n/a ")</f>
        <v/>
      </c>
      <c r="Y24" s="502">
        <f>IFERROR(H24/AT24,"n/a ")</f>
        <v/>
      </c>
      <c r="Z24" s="502">
        <f>IFERROR(H24/AV24,"n/a ")</f>
        <v/>
      </c>
      <c r="AA24" s="505" t="inlineStr">
        <is>
          <t>Point-of-sale buy-now-pay-later lender</t>
        </is>
      </c>
      <c r="AC24" s="506">
        <f t="array" ref="AC24:AC24">IF($B24="","",_xll.snl.clients.office.excel.functions.spg($B24,"IQ_REV",AC$7,$F$2,"Options:Curr="&amp;$F$3&amp;", Mag=Millions, NA=--"))</f>
        <v/>
      </c>
      <c r="AD24" s="506">
        <f t="array" ref="AD24:AD24">IF($B24="","",_xll.snl.clients.office.excel.functions.spg($B24,"SP_REV_EST",AD$7,$F$2,"Options:Curr="&amp;$F$3&amp;", Mag=Millions, NA=--"))</f>
        <v/>
      </c>
      <c r="AE24" s="506">
        <f t="array" ref="AE24:AE24">IF($B24="","",_xll.snl.clients.office.excel.functions.spg($B24,"SP_REV_EST",AE$7,$F$2,"Options:Curr="&amp;$F$3&amp;", Mag=Millions, NA=--"))</f>
        <v/>
      </c>
      <c r="AF24" s="506">
        <f t="array" ref="AF24:AF24">IF($B24="","",_xll.snl.clients.office.excel.functions.spg($B24,"SP_REV_EST",AF$7,$F$2,"Options:Curr="&amp;$F$3&amp;", Mag=Millions, NA=--"))</f>
        <v/>
      </c>
      <c r="AG24" s="507" t="n"/>
      <c r="AH24" s="506">
        <f t="array" ref="AH24:AH24">IF($B24="","",_xll.snl.clients.office.excel.functions.spg($B24,"SP_EBITDA",AH$7,$F$2,"Options:Curr="&amp;$F$3&amp;", Mag=Millions, NA=--"))</f>
        <v/>
      </c>
      <c r="AI24" s="506">
        <f t="array" ref="AI24:AI24">IF($B24="","",_xll.snl.clients.office.excel.functions.spg($B24,"SP_EBITDA_EST",AI$7,$F$2,"Options:Curr="&amp;$F$3&amp;", Mag=Millions, NA=--"))</f>
        <v/>
      </c>
      <c r="AJ24" s="506">
        <f t="array" ref="AJ24:AJ24">IF($B24="","",_xll.snl.clients.office.excel.functions.spg($B24,"SP_EBITDA_EST",AJ$7,$F$2,"Options:Curr="&amp;$F$3&amp;", Mag=Millions, NA=--"))</f>
        <v/>
      </c>
      <c r="AK24" s="506">
        <f t="array" ref="AK24:AK24">IF($B24="","",_xll.snl.clients.office.excel.functions.spg($B24,"SP_EBITDA_EST",AK$7,$F$2,"Options:Curr="&amp;$F$3&amp;", Mag=Millions, NA=--"))</f>
        <v/>
      </c>
      <c r="AL24" s="508" t="n"/>
      <c r="AM24" s="509">
        <f t="array" ref="AM24:AM24">IF($B24="","",_xll.snl.clients.office.excel.functions.spg($B24,"IQ_BASIC_EPS_BEFORE_EXTRA",AM$7,$F$2,"Options:Curr="&amp;$F$3&amp;", NA=--"))</f>
        <v/>
      </c>
      <c r="AN24" s="509">
        <f t="array" ref="AN24:AN24">IF($B24="","",_xll.snl.clients.office.excel.functions.spg($B24,"SP_EPS_EST",AN$7,$F$2,"Options:Curr="&amp;$F$3&amp;", NA=--"))</f>
        <v/>
      </c>
      <c r="AO24" s="509">
        <f t="array" ref="AO24:AO24">IF($B24="","",_xll.snl.clients.office.excel.functions.spg($B24,"SP_EPS_EST",AO$7,$F$2,"Options:Curr="&amp;$F$3&amp;", NA=--"))</f>
        <v/>
      </c>
      <c r="AP24" s="509">
        <f t="array" ref="AP24:AP24">IF($B24="","",_xll.snl.clients.office.excel.functions.spg($B24,"SP_EPS_EST",AP$7,$F$2,"Options:Curr="&amp;$F$3&amp;", NA=--"))</f>
        <v/>
      </c>
      <c r="AQ24" s="508" t="n"/>
      <c r="AR24" s="509">
        <f t="array" ref="AR24:AR24">IF($B24="","",_xll.snl.clients.office.excel.functions.spg($B24,"IQ_ROE",AR$7,$F$2,"Options:Curr="&amp;$F$3&amp;", NA=--"))</f>
        <v/>
      </c>
      <c r="AS24" s="508" t="n"/>
      <c r="AT24" s="509">
        <f t="array" ref="AT24:AT24">IF($B24="","",_xll.snl.clients.office.excel.functions.spg($B24,"IQ_BVPS",AT$7,$F$2,"Options:Curr="&amp;$F$3&amp;", NA=--"))</f>
        <v/>
      </c>
      <c r="AU24" s="508" t="n"/>
      <c r="AV24" s="509">
        <f t="array" ref="AV24:AV24">IF($B24="","",_xll.snl.clients.office.excel.functions.spg($B24,"IQ_TBVPS",AV$7,$F$2,"Options:Curr="&amp;$F$3&amp;", NA=--"))</f>
        <v/>
      </c>
      <c r="AW24" s="508" t="n"/>
      <c r="AX24" s="510">
        <f t="array" ref="AX24:AX24">IF($B24="","",_xll.snl.clients.office.excel.functions.spg($B24,"SP_DIV_YIELD",WORKDAY($F$2+1,-1),"Options: NA=--"))</f>
        <v/>
      </c>
      <c r="AY24" s="506">
        <f t="array" ref="AY24:AY24">IF($B24="","",_xll.snl.clients.office.excel.functions.spg($B24,"IQ_TOTAL_EQUITY","FQ0",$F$2,"Options:Curr="&amp;$F$3&amp;", Mag=Millions, NA=--"))</f>
        <v/>
      </c>
      <c r="AZ24" s="506">
        <f t="array" ref="AZ24:AZ24">IF($B24="","",_xll.snl.clients.office.excel.functions.spg($B24,"IQ_TOTAL_DEBT","FQ0",$F$2,"Options:Curr="&amp;$F$3&amp;", Mag=Millions, NA=--"))</f>
        <v/>
      </c>
      <c r="BA24" s="506">
        <f t="array" ref="BA24:BA24">IF($B24="","",_xll.snl.clients.office.excel.functions.spg($B24,"IQ_CASH_ST_INVEST","FQ0",$F$2,"Options:Curr="&amp;$F$3&amp;", Mag=Millions, NA=--"))</f>
        <v/>
      </c>
      <c r="BB24" s="506">
        <f>+AZ24-BA24</f>
        <v/>
      </c>
      <c r="BC24" s="506">
        <f t="array" ref="BC24:BC24">IF($B24="","",_xll.snl.clients.office.excel.functions.spg($B24,"IQ_TOTAL_EQUITY","FQ0",$F$2,"Options:Curr="&amp;$F$3&amp;", Mag=Millions, NA=--"))</f>
        <v/>
      </c>
      <c r="BD24" s="508" t="n"/>
      <c r="BE24" s="511">
        <f>IF($B24="","",IFERROR(_xll.snl.clients.office.excel.functions.spg($B24,"SP_GROSS_MARGIN",BE$7,$F$2,"Options: NA=--")/100,"--"))</f>
        <v/>
      </c>
      <c r="BF24" s="511">
        <f>IF($B24="","",IFERROR(_xll.snl.clients.office.excel.functions.spg($B24,"SP_GROSS_MARGIN_EST",BF$7,$F$2,"Options: NA=--")/100,"--"))</f>
        <v/>
      </c>
      <c r="BG24" s="511">
        <f>IF($B24="","",IFERROR(_xll.snl.clients.office.excel.functions.spg($B24,"SP_GROSS_MARGIN_EST",BG$7,$F$2,"Options: NA=--")/100,"--"))</f>
        <v/>
      </c>
      <c r="BH24" s="511">
        <f>IF($B24="","",IFERROR(_xll.snl.clients.office.excel.functions.spg($B24,"SP_GROSS_MARGIN_EST",BH$7,$F$2,"Options: NA=--")/100,"--"))</f>
        <v/>
      </c>
    </row>
    <row r="25" ht="14.25" customHeight="1" s="356">
      <c r="B25" s="486" t="inlineStr">
        <is>
          <t>NasdaqGM:DAVE</t>
        </is>
      </c>
      <c r="D25" s="365">
        <f t="array" ref="D25:D25">IF($B25="","",_xll.snl.clients.office.excel.functions.spg($B25, "SP_COMPANY_NAME"))</f>
        <v/>
      </c>
      <c r="G25" s="512">
        <f t="array" ref="G25:G25">IF($B25="","",_xll.snl.clients.office.excel.functions.spg($B25,"SP_LASTSALEPRICE",WORKDAY($F$2+1,-1),"Options:Curr="&amp;I25&amp;",NA=--"))</f>
        <v/>
      </c>
      <c r="H25" s="499">
        <f t="array" ref="H25:H25">IF($B25="","",_xll.snl.clients.office.excel.functions.spg($B25,"SP_PRICE_CLOSE",WORKDAY($F$2+1,-1),"Options:Curr="&amp;$F$3&amp;", NA=--"))</f>
        <v/>
      </c>
      <c r="I25" s="500">
        <f t="array" ref="I25:I25">IF($B25="","",_xll.snl.clients.office.excel.functions.spg($B25,"SP_TRADING_CURRENCY","Options: NA=--"))</f>
        <v/>
      </c>
      <c r="J25" s="501">
        <f t="array" ref="J25:J25">IF($B25="","n/a ",_xll.snl.clients.office.excel.functions.spg($B25,"SP_MARKETCAP",WORKDAY($F$2+1,-1),"Options:Curr="&amp;$F$3&amp;", Mag=Millions, NA=--"))</f>
        <v/>
      </c>
      <c r="K25" s="501">
        <f t="array" ref="K25:K25">IF($B25="","n/a ",_xll.snl.clients.office.excel.functions.spg($B25,"IQ_TEV",WORKDAY($F$2+1,-1),"Options:Curr="&amp;$F$3&amp;", Mag=Millions, NA=--"))</f>
        <v/>
      </c>
      <c r="L25" s="502">
        <f>IFERROR(IF(OR($K25/AC25&gt;L$4,$K25/AC25&lt;L$3),"nmf ",$K25/AC25),"n/a ")</f>
        <v/>
      </c>
      <c r="M25" s="502">
        <f>IFERROR(IF(OR($K25/AD25&gt;M$4,$K25/AD25&lt;M$3),"nmf ",$K25/AD25),"n/a ")</f>
        <v/>
      </c>
      <c r="N25" s="502">
        <f>IFERROR(IF(OR($K25/AE25&gt;N$4,$K25/AE25&lt;N$3),"nmf ",$K25/AE25),"n/a ")</f>
        <v/>
      </c>
      <c r="O25" s="502">
        <f>IFERROR(IF(OR($K25/AH25&gt;O$4,$K25/AH25&lt;O$3),"nmf ",$K25/AH25),"n/a ")</f>
        <v/>
      </c>
      <c r="P25" s="502">
        <f>IFERROR(IF(OR($K25/AI25&gt;P$4,$K25/AI25&lt;P$3),"nmf ",$K25/AI25),"n/a ")</f>
        <v/>
      </c>
      <c r="Q25" s="502">
        <f>IFERROR(IF(OR($K25/AJ25&gt;Q$4,$K25/AJ25&lt;Q$3),"nmf ",$K25/AJ25),"n/a ")</f>
        <v/>
      </c>
      <c r="R25" s="503">
        <f>IFERROR((AE25/AD25)-1,"n/a ")</f>
        <v/>
      </c>
      <c r="S25" s="503">
        <f>IFERROR((AF25/AE25)-1,"n/a ")</f>
        <v/>
      </c>
      <c r="T25" s="503" t="n"/>
      <c r="U25" s="502">
        <f>IFERROR($H25/AM25,"n/a ")</f>
        <v/>
      </c>
      <c r="V25" s="502">
        <f>IFERROR($H25/AO25,"n/a ")</f>
        <v/>
      </c>
      <c r="W25" s="502">
        <f>IFERROR($H25/AP25,"n/a ")</f>
        <v/>
      </c>
      <c r="X25" s="504">
        <f>IFERROR(AR25/100,"n/a ")</f>
        <v/>
      </c>
      <c r="Y25" s="502">
        <f>IFERROR(H25/AT25,"n/a ")</f>
        <v/>
      </c>
      <c r="Z25" s="502">
        <f>IFERROR(H25/AV25,"n/a ")</f>
        <v/>
      </c>
      <c r="AA25" s="505" t="inlineStr">
        <is>
          <t>Cash advance &amp; digital banking app</t>
        </is>
      </c>
      <c r="AC25" s="506">
        <f t="array" ref="AC25:AC25">IF($B25="","",_xll.snl.clients.office.excel.functions.spg($B25,"IQ_REV",AC$7,$F$2,"Options:Curr="&amp;$F$3&amp;", Mag=Millions, NA=--"))</f>
        <v/>
      </c>
      <c r="AD25" s="506">
        <f t="array" ref="AD25:AD25">IF($B25="","",_xll.snl.clients.office.excel.functions.spg($B25,"SP_REV_EST",AD$7,$F$2,"Options:Curr="&amp;$F$3&amp;", Mag=Millions, NA=--"))</f>
        <v/>
      </c>
      <c r="AE25" s="506">
        <f t="array" ref="AE25:AE25">IF($B25="","",_xll.snl.clients.office.excel.functions.spg($B25,"SP_REV_EST",AE$7,$F$2,"Options:Curr="&amp;$F$3&amp;", Mag=Millions, NA=--"))</f>
        <v/>
      </c>
      <c r="AF25" s="506">
        <f t="array" ref="AF25:AF25">IF($B25="","",_xll.snl.clients.office.excel.functions.spg($B25,"SP_REV_EST",AF$7,$F$2,"Options:Curr="&amp;$F$3&amp;", Mag=Millions, NA=--"))</f>
        <v/>
      </c>
      <c r="AG25" s="507" t="n"/>
      <c r="AH25" s="506">
        <f t="array" ref="AH25:AH25">IF($B25="","",_xll.snl.clients.office.excel.functions.spg($B25,"SP_EBITDA",AH$7,$F$2,"Options:Curr="&amp;$F$3&amp;", Mag=Millions, NA=--"))</f>
        <v/>
      </c>
      <c r="AI25" s="506">
        <f t="array" ref="AI25:AI25">IF($B25="","",_xll.snl.clients.office.excel.functions.spg($B25,"SP_EBITDA_EST",AI$7,$F$2,"Options:Curr="&amp;$F$3&amp;", Mag=Millions, NA=--"))</f>
        <v/>
      </c>
      <c r="AJ25" s="506">
        <f t="array" ref="AJ25:AJ25">IF($B25="","",_xll.snl.clients.office.excel.functions.spg($B25,"SP_EBITDA_EST",AJ$7,$F$2,"Options:Curr="&amp;$F$3&amp;", Mag=Millions, NA=--"))</f>
        <v/>
      </c>
      <c r="AK25" s="506">
        <f t="array" ref="AK25:AK25">IF($B25="","",_xll.snl.clients.office.excel.functions.spg($B25,"SP_EBITDA_EST",AK$7,$F$2,"Options:Curr="&amp;$F$3&amp;", Mag=Millions, NA=--"))</f>
        <v/>
      </c>
      <c r="AL25" s="508" t="n"/>
      <c r="AM25" s="509">
        <f t="array" ref="AM25:AM25">IF($B25="","",_xll.snl.clients.office.excel.functions.spg($B25,"IQ_BASIC_EPS_BEFORE_EXTRA",AM$7,$F$2,"Options:Curr="&amp;$F$3&amp;", NA=--"))</f>
        <v/>
      </c>
      <c r="AN25" s="509">
        <f t="array" ref="AN25:AN25">IF($B25="","",_xll.snl.clients.office.excel.functions.spg($B25,"SP_EPS_EST",AN$7,$F$2,"Options:Curr="&amp;$F$3&amp;", NA=--"))</f>
        <v/>
      </c>
      <c r="AO25" s="509">
        <f t="array" ref="AO25:AO25">IF($B25="","",_xll.snl.clients.office.excel.functions.spg($B25,"SP_EPS_EST",AO$7,$F$2,"Options:Curr="&amp;$F$3&amp;", NA=--"))</f>
        <v/>
      </c>
      <c r="AP25" s="509">
        <f t="array" ref="AP25:AP25">IF($B25="","",_xll.snl.clients.office.excel.functions.spg($B25,"SP_EPS_EST",AP$7,$F$2,"Options:Curr="&amp;$F$3&amp;", NA=--"))</f>
        <v/>
      </c>
      <c r="AQ25" s="508" t="n"/>
      <c r="AR25" s="509">
        <f t="array" ref="AR25:AR25">IF($B25="","",_xll.snl.clients.office.excel.functions.spg($B25,"IQ_ROE",AR$7,$F$2,"Options:Curr="&amp;$F$3&amp;", NA=--"))</f>
        <v/>
      </c>
      <c r="AS25" s="508" t="n"/>
      <c r="AT25" s="509">
        <f t="array" ref="AT25:AT25">IF($B25="","",_xll.snl.clients.office.excel.functions.spg($B25,"IQ_BVPS",AT$7,$F$2,"Options:Curr="&amp;$F$3&amp;", NA=--"))</f>
        <v/>
      </c>
      <c r="AU25" s="508" t="n"/>
      <c r="AV25" s="509">
        <f t="array" ref="AV25:AV25">IF($B25="","",_xll.snl.clients.office.excel.functions.spg($B25,"IQ_TBVPS",AV$7,$F$2,"Options:Curr="&amp;$F$3&amp;", NA=--"))</f>
        <v/>
      </c>
      <c r="AW25" s="508" t="n"/>
      <c r="AX25" s="510">
        <f t="array" ref="AX25:AX25">IF($B25="","",_xll.snl.clients.office.excel.functions.spg($B25,"SP_DIV_YIELD",WORKDAY($F$2+1,-1),"Options: NA=--"))</f>
        <v/>
      </c>
      <c r="AY25" s="506">
        <f t="array" ref="AY25:AY25">IF($B25="","",_xll.snl.clients.office.excel.functions.spg($B25,"IQ_TOTAL_EQUITY","FQ0",$F$2,"Options:Curr="&amp;$F$3&amp;", Mag=Millions, NA=--"))</f>
        <v/>
      </c>
      <c r="AZ25" s="506">
        <f t="array" ref="AZ25:AZ25">IF($B25="","",_xll.snl.clients.office.excel.functions.spg($B25,"IQ_TOTAL_DEBT","FQ0",$F$2,"Options:Curr="&amp;$F$3&amp;", Mag=Millions, NA=--"))</f>
        <v/>
      </c>
      <c r="BA25" s="506">
        <f t="array" ref="BA25:BA25">IF($B25="","",_xll.snl.clients.office.excel.functions.spg($B25,"IQ_CASH_ST_INVEST","FQ0",$F$2,"Options:Curr="&amp;$F$3&amp;", Mag=Millions, NA=--"))</f>
        <v/>
      </c>
      <c r="BB25" s="506">
        <f>+AZ25-BA25</f>
        <v/>
      </c>
      <c r="BC25" s="506">
        <f t="array" ref="BC25:BC25">IF($B25="","",_xll.snl.clients.office.excel.functions.spg($B25,"IQ_TOTAL_EQUITY","FQ0",$F$2,"Options:Curr="&amp;$F$3&amp;", Mag=Millions, NA=--"))</f>
        <v/>
      </c>
      <c r="BD25" s="508" t="n"/>
      <c r="BE25" s="511">
        <f>IF($B25="","",IFERROR(_xll.snl.clients.office.excel.functions.spg($B25,"SP_GROSS_MARGIN",BE$7,$F$2,"Options: NA=--")/100,"--"))</f>
        <v/>
      </c>
      <c r="BF25" s="511">
        <f>IF($B25="","",IFERROR(_xll.snl.clients.office.excel.functions.spg($B25,"SP_GROSS_MARGIN_EST",BF$7,$F$2,"Options: NA=--")/100,"--"))</f>
        <v/>
      </c>
      <c r="BG25" s="511">
        <f>IF($B25="","",IFERROR(_xll.snl.clients.office.excel.functions.spg($B25,"SP_GROSS_MARGIN_EST",BG$7,$F$2,"Options: NA=--")/100,"--"))</f>
        <v/>
      </c>
      <c r="BH25" s="511">
        <f>IF($B25="","",IFERROR(_xll.snl.clients.office.excel.functions.spg($B25,"SP_GROSS_MARGIN_EST",BH$7,$F$2,"Options: NA=--")/100,"--"))</f>
        <v/>
      </c>
    </row>
    <row r="26" ht="3" customHeight="1" s="356">
      <c r="B26" s="513" t="n"/>
      <c r="G26" s="514" t="n"/>
      <c r="H26" s="514" t="n"/>
      <c r="I26" s="500" t="n"/>
      <c r="J26" s="515" t="n"/>
      <c r="K26" s="515" t="n"/>
      <c r="L26" s="515" t="n"/>
      <c r="M26" s="502" t="n"/>
      <c r="N26" s="502" t="n"/>
      <c r="O26" s="502" t="n"/>
      <c r="P26" s="502" t="n"/>
      <c r="Q26" s="502" t="n"/>
      <c r="R26" s="516" t="n"/>
      <c r="S26" s="516" t="n"/>
      <c r="T26" s="516" t="n"/>
      <c r="U26" s="502" t="n"/>
      <c r="V26" s="502" t="n"/>
      <c r="W26" s="502" t="n"/>
      <c r="X26" s="502" t="n"/>
      <c r="Y26" s="502" t="n"/>
      <c r="Z26" s="502" t="n"/>
      <c r="AA26" s="516" t="n"/>
      <c r="AC26" s="517" t="n"/>
      <c r="AD26" s="517" t="n"/>
      <c r="AE26" s="517" t="n"/>
      <c r="AF26" s="517" t="n"/>
      <c r="AG26" s="507" t="n"/>
      <c r="AH26" s="507" t="n"/>
      <c r="AI26" s="517" t="n"/>
      <c r="AJ26" s="517" t="n"/>
      <c r="AK26" s="517" t="n"/>
      <c r="AL26" s="508" t="n"/>
      <c r="AM26" s="500" t="n"/>
      <c r="AN26" s="500" t="n"/>
      <c r="AO26" s="500" t="n"/>
      <c r="AP26" s="500" t="n"/>
      <c r="AQ26" s="508" t="n"/>
      <c r="AR26" s="508" t="n"/>
      <c r="AS26" s="508" t="n"/>
      <c r="AT26" s="508" t="n"/>
      <c r="AU26" s="508" t="n"/>
      <c r="AV26" s="508" t="n"/>
      <c r="AW26" s="508" t="n"/>
      <c r="AX26" s="517" t="n"/>
      <c r="AY26" s="517" t="n"/>
      <c r="AZ26" s="517" t="n"/>
      <c r="BA26" s="517" t="n"/>
      <c r="BB26" s="517" t="n"/>
      <c r="BC26" s="517" t="n"/>
      <c r="BD26" s="508" t="n"/>
      <c r="BE26" s="508" t="n"/>
      <c r="BF26" s="519" t="n"/>
      <c r="BG26" s="519" t="n"/>
      <c r="BH26" s="519" t="n"/>
    </row>
    <row r="27" ht="14.25" customHeight="1" s="356">
      <c r="B27" s="530" t="n"/>
      <c r="D27" s="520" t="inlineStr">
        <is>
          <t>Group Average</t>
        </is>
      </c>
      <c r="E27" s="520" t="n"/>
      <c r="F27" s="520" t="n"/>
      <c r="G27" s="520" t="n"/>
      <c r="H27" s="520" t="n"/>
      <c r="I27" s="520" t="n"/>
      <c r="J27" s="522" t="n"/>
      <c r="K27" s="522" t="n"/>
      <c r="L27" s="523">
        <f>IFERROR(AVERAGE(L20:L25),"n/a ")</f>
        <v/>
      </c>
      <c r="M27" s="523">
        <f>IFERROR(AVERAGE(M20:M25),"n/a ")</f>
        <v/>
      </c>
      <c r="N27" s="524">
        <f>IFERROR(AVERAGE(N20:N25),"n/a ")</f>
        <v/>
      </c>
      <c r="O27" s="524">
        <f>IFERROR(AVERAGE(O20:O25),"n/a ")</f>
        <v/>
      </c>
      <c r="P27" s="524">
        <f>IFERROR(AVERAGE(P20:P25),"n/a ")</f>
        <v/>
      </c>
      <c r="Q27" s="524">
        <f>IFERROR(AVERAGE(Q20:Q25),"n/a ")</f>
        <v/>
      </c>
      <c r="R27" s="525">
        <f>IFERROR(AVERAGE(R20:R25),"n/a ")</f>
        <v/>
      </c>
      <c r="S27" s="525">
        <f>IFERROR(AVERAGE(S20:S25),"n/a ")</f>
        <v/>
      </c>
      <c r="T27" s="525" t="n"/>
      <c r="U27" s="524">
        <f>IFERROR(AVERAGE(U20:U25),"n/a ")</f>
        <v/>
      </c>
      <c r="V27" s="524">
        <f>IFERROR(AVERAGE(V20:V25),"n/a ")</f>
        <v/>
      </c>
      <c r="W27" s="524">
        <f>IFERROR(AVERAGE(W20:W25),"n/a ")</f>
        <v/>
      </c>
      <c r="X27" s="526">
        <f>IFERROR(AVERAGE(X20:X25),"n/a ")</f>
        <v/>
      </c>
      <c r="Y27" s="523">
        <f>IFERROR(AVERAGE(Y20:Y25),"n/a ")</f>
        <v/>
      </c>
      <c r="Z27" s="523">
        <f>IFERROR(AVERAGE(Z20:Z25),"n/a ")</f>
        <v/>
      </c>
      <c r="AA27" s="525" t="n"/>
      <c r="AC27" s="507" t="n"/>
      <c r="AD27" s="507" t="n"/>
      <c r="AE27" s="507" t="n"/>
      <c r="AF27" s="507" t="n"/>
      <c r="AG27" s="507" t="n"/>
      <c r="AH27" s="507" t="n"/>
      <c r="AI27" s="507" t="n"/>
      <c r="AJ27" s="507" t="n"/>
      <c r="AK27" s="507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19" t="n"/>
      <c r="BG27" s="519" t="n"/>
      <c r="BH27" s="519" t="n"/>
    </row>
    <row r="28" ht="3" customHeight="1" s="356">
      <c r="B28" s="513" t="n"/>
      <c r="I28" s="508" t="n"/>
      <c r="J28" s="528" t="n"/>
      <c r="K28" s="528" t="n"/>
      <c r="L28" s="528" t="n"/>
      <c r="AC28" s="507" t="n"/>
      <c r="AD28" s="507" t="n"/>
      <c r="AE28" s="507" t="n"/>
      <c r="AF28" s="507" t="n"/>
      <c r="AG28" s="507" t="n"/>
      <c r="AH28" s="507" t="n"/>
      <c r="AI28" s="507" t="n"/>
      <c r="AJ28" s="507" t="n"/>
      <c r="AK28" s="507" t="n"/>
      <c r="AL28" s="508" t="n"/>
      <c r="AM28" s="508" t="n"/>
      <c r="AN28" s="508" t="n"/>
      <c r="AO28" s="508" t="n"/>
      <c r="AP28" s="508" t="n"/>
      <c r="AQ28" s="508" t="n"/>
      <c r="AR28" s="508" t="n"/>
      <c r="AS28" s="508" t="n"/>
      <c r="AT28" s="508" t="n"/>
      <c r="AU28" s="508" t="n"/>
      <c r="AV28" s="508" t="n"/>
      <c r="AW28" s="508" t="n"/>
      <c r="AX28" s="527" t="n"/>
      <c r="AY28" s="508" t="n"/>
      <c r="AZ28" s="508" t="n"/>
      <c r="BA28" s="508" t="n"/>
      <c r="BB28" s="508" t="n"/>
      <c r="BC28" s="508" t="n"/>
      <c r="BD28" s="508" t="n"/>
      <c r="BE28" s="508" t="n"/>
      <c r="BF28" s="519" t="n"/>
      <c r="BG28" s="519" t="n"/>
      <c r="BH28" s="519" t="n"/>
    </row>
    <row r="29" ht="14.25" customHeight="1" s="356">
      <c r="B29" s="513" t="n"/>
      <c r="D29" s="498" t="inlineStr">
        <is>
          <t>International Non-Prime &amp; Specialty Lenders</t>
        </is>
      </c>
      <c r="G29" s="514" t="n"/>
      <c r="H29" s="514" t="n"/>
      <c r="I29" s="500" t="n"/>
      <c r="J29" s="515" t="n"/>
      <c r="K29" s="515" t="n"/>
      <c r="L29" s="515" t="n"/>
      <c r="M29" s="529" t="n"/>
      <c r="N29" s="529" t="n"/>
      <c r="O29" s="529" t="n"/>
      <c r="P29" s="529" t="n"/>
      <c r="Q29" s="529" t="n"/>
      <c r="R29" s="516" t="n"/>
      <c r="S29" s="516" t="n"/>
      <c r="T29" s="516" t="n"/>
      <c r="U29" s="529" t="n"/>
      <c r="V29" s="529" t="n"/>
      <c r="W29" s="529" t="n"/>
      <c r="X29" s="529" t="n"/>
      <c r="Y29" s="529" t="n"/>
      <c r="Z29" s="529" t="n"/>
      <c r="AA29" s="516" t="n"/>
      <c r="AC29" s="517" t="n"/>
      <c r="AD29" s="517" t="n"/>
      <c r="AE29" s="517" t="n"/>
      <c r="AF29" s="517" t="n"/>
      <c r="AG29" s="507" t="n"/>
      <c r="AH29" s="507" t="n"/>
      <c r="AI29" s="517" t="n"/>
      <c r="AJ29" s="517" t="n"/>
      <c r="AK29" s="517" t="n"/>
      <c r="AL29" s="508" t="n"/>
      <c r="AM29" s="500" t="n"/>
      <c r="AN29" s="500" t="n"/>
      <c r="AO29" s="500" t="n"/>
      <c r="AP29" s="500" t="n"/>
      <c r="AQ29" s="508" t="n"/>
      <c r="AR29" s="508" t="n"/>
      <c r="AS29" s="508" t="n"/>
      <c r="AT29" s="508" t="n"/>
      <c r="AU29" s="508" t="n"/>
      <c r="AV29" s="508" t="n"/>
      <c r="AW29" s="508" t="n"/>
      <c r="AX29" s="518" t="n"/>
      <c r="AY29" s="517" t="n"/>
      <c r="AZ29" s="517" t="n"/>
      <c r="BA29" s="517" t="n"/>
      <c r="BB29" s="517" t="n"/>
      <c r="BC29" s="517" t="n"/>
      <c r="BD29" s="508" t="n"/>
      <c r="BE29" s="508" t="n"/>
      <c r="BF29" s="519" t="n"/>
      <c r="BG29" s="519" t="n"/>
      <c r="BH29" s="519" t="n"/>
    </row>
    <row r="30" ht="14.25" customHeight="1" s="356">
      <c r="B30" s="486" t="inlineStr">
        <is>
          <t>TSX:GSY</t>
        </is>
      </c>
      <c r="D30" s="365">
        <f t="array" ref="D30:D30">IF($B30="","",_xll.snl.clients.office.excel.functions.spg($B30, "SP_COMPANY_NAME"))</f>
        <v/>
      </c>
      <c r="G30" s="512">
        <f t="array" ref="G30:G30">IF($B30="","",_xll.snl.clients.office.excel.functions.spg($B30,"SP_LASTSALEPRICE",WORKDAY($F$2+1,-1),"Options:Curr="&amp;I30&amp;",NA=--"))</f>
        <v/>
      </c>
      <c r="H30" s="499">
        <f t="array" ref="H30:H30">IF($B30="","",_xll.snl.clients.office.excel.functions.spg($B30,"SP_PRICE_CLOSE",WORKDAY($F$2+1,-1),"Options:Curr="&amp;$F$3&amp;", NA=--"))</f>
        <v/>
      </c>
      <c r="I30" s="500">
        <f t="array" ref="I30:I30">IF($B30="","",_xll.snl.clients.office.excel.functions.spg($B30,"SP_TRADING_CURRENCY","Options: NA=--"))</f>
        <v/>
      </c>
      <c r="J30" s="501">
        <f t="array" ref="J30:J30">IF($B30="","n/a ",_xll.snl.clients.office.excel.functions.spg($B30,"SP_MARKETCAP",WORKDAY($F$2+1,-1),"Options:Curr="&amp;$F$3&amp;", Mag=Millions, NA=--"))</f>
        <v/>
      </c>
      <c r="K30" s="501">
        <f t="array" ref="K30:K30">IF($B30="","n/a ",_xll.snl.clients.office.excel.functions.spg($B30,"IQ_TEV",WORKDAY($F$2+1,-1),"Options:Curr="&amp;$F$3&amp;", Mag=Millions, NA=--"))</f>
        <v/>
      </c>
      <c r="L30" s="502">
        <f>IFERROR(IF(OR($K30/AC30&gt;L$4,$K30/AC30&lt;L$3),"nmf ",$K30/AC30),"n/a ")</f>
        <v/>
      </c>
      <c r="M30" s="502">
        <f>IFERROR(IF(OR($K30/AD30&gt;M$4,$K30/AD30&lt;M$3),"nmf ",$K30/AD30),"n/a ")</f>
        <v/>
      </c>
      <c r="N30" s="502">
        <f>IFERROR(IF(OR($K30/AE30&gt;N$4,$K30/AE30&lt;N$3),"nmf ",$K30/AE30),"n/a ")</f>
        <v/>
      </c>
      <c r="O30" s="502">
        <f>IFERROR(IF(OR($K30/AH30&gt;O$4,$K30/AH30&lt;O$3),"nmf ",$K30/AH30),"n/a ")</f>
        <v/>
      </c>
      <c r="P30" s="502">
        <f>IFERROR(IF(OR($K30/AI30&gt;P$4,$K30/AI30&lt;P$3),"nmf ",$K30/AI30),"n/a ")</f>
        <v/>
      </c>
      <c r="Q30" s="502">
        <f>IFERROR(IF(OR($K30/AJ30&gt;Q$4,$K30/AJ30&lt;Q$3),"nmf ",$K30/AJ30),"n/a ")</f>
        <v/>
      </c>
      <c r="R30" s="503">
        <f>IFERROR((AE30/AD30)-1,"n/a ")</f>
        <v/>
      </c>
      <c r="S30" s="503">
        <f>IFERROR((AF30/AE30)-1,"n/a ")</f>
        <v/>
      </c>
      <c r="T30" s="503" t="n"/>
      <c r="U30" s="502">
        <f>IFERROR($H30/AM30,"n/a ")</f>
        <v/>
      </c>
      <c r="V30" s="502">
        <f>IFERROR($H30/AO30,"n/a ")</f>
        <v/>
      </c>
      <c r="W30" s="502">
        <f>IFERROR($H30/AP30,"n/a ")</f>
        <v/>
      </c>
      <c r="X30" s="504">
        <f>IFERROR(AR30/100,"n/a ")</f>
        <v/>
      </c>
      <c r="Y30" s="502">
        <f>IFERROR(H30/AT30,"n/a ")</f>
        <v/>
      </c>
      <c r="Z30" s="502">
        <f>IFERROR(H30/AV30,"n/a ")</f>
        <v/>
      </c>
      <c r="AA30" s="505" t="inlineStr">
        <is>
          <t>Non-prime consumer loans &amp; leasing</t>
        </is>
      </c>
      <c r="AC30" s="506">
        <f t="array" ref="AC30:AC30">IF($B30="","",_xll.snl.clients.office.excel.functions.spg($B30,"IQ_REV",AC$7,$F$2,"Options:Curr="&amp;$F$3&amp;", Mag=Millions, NA=--"))</f>
        <v/>
      </c>
      <c r="AD30" s="506">
        <f t="array" ref="AD30:AD30">IF($B30="","",_xll.snl.clients.office.excel.functions.spg($B30,"SP_REV_EST",AD$7,$F$2,"Options:Curr="&amp;$F$3&amp;", Mag=Millions, NA=--"))</f>
        <v/>
      </c>
      <c r="AE30" s="506">
        <f t="array" ref="AE30:AE30">IF($B30="","",_xll.snl.clients.office.excel.functions.spg($B30,"SP_REV_EST",AE$7,$F$2,"Options:Curr="&amp;$F$3&amp;", Mag=Millions, NA=--"))</f>
        <v/>
      </c>
      <c r="AF30" s="506">
        <f t="array" ref="AF30:AF30">IF($B30="","",_xll.snl.clients.office.excel.functions.spg($B30,"SP_REV_EST",AF$7,$F$2,"Options:Curr="&amp;$F$3&amp;", Mag=Millions, NA=--"))</f>
        <v/>
      </c>
      <c r="AG30" s="507" t="n"/>
      <c r="AH30" s="506">
        <f t="array" ref="AH30:AH30">IF($B30="","",_xll.snl.clients.office.excel.functions.spg($B30,"SP_EBITDA",AH$7,$F$2,"Options:Curr="&amp;$F$3&amp;", Mag=Millions, NA=--"))</f>
        <v/>
      </c>
      <c r="AI30" s="506">
        <f t="array" ref="AI30:AI30">IF($B30="","",_xll.snl.clients.office.excel.functions.spg($B30,"SP_EBITDA_EST",AI$7,$F$2,"Options:Curr="&amp;$F$3&amp;", Mag=Millions, NA=--"))</f>
        <v/>
      </c>
      <c r="AJ30" s="506">
        <f t="array" ref="AJ30:AJ30">IF($B30="","",_xll.snl.clients.office.excel.functions.spg($B30,"SP_EBITDA_EST",AJ$7,$F$2,"Options:Curr="&amp;$F$3&amp;", Mag=Millions, NA=--"))</f>
        <v/>
      </c>
      <c r="AK30" s="506">
        <f t="array" ref="AK30:AK30">IF($B30="","",_xll.snl.clients.office.excel.functions.spg($B30,"SP_EBITDA_EST",AK$7,$F$2,"Options:Curr="&amp;$F$3&amp;", Mag=Millions, NA=--"))</f>
        <v/>
      </c>
      <c r="AL30" s="508" t="n"/>
      <c r="AM30" s="509">
        <f t="array" ref="AM30:AM30">IF($B30="","",_xll.snl.clients.office.excel.functions.spg($B30,"IQ_BASIC_EPS_BEFORE_EXTRA",AM$7,$F$2,"Options:Curr="&amp;$F$3&amp;", NA=--"))</f>
        <v/>
      </c>
      <c r="AN30" s="509">
        <f t="array" ref="AN30:AN30">IF($B30="","",_xll.snl.clients.office.excel.functions.spg($B30,"SP_EPS_EST",AN$7,$F$2,"Options:Curr="&amp;$F$3&amp;", NA=--"))</f>
        <v/>
      </c>
      <c r="AO30" s="509">
        <f t="array" ref="AO30:AO30">IF($B30="","",_xll.snl.clients.office.excel.functions.spg($B30,"SP_EPS_EST",AO$7,$F$2,"Options:Curr="&amp;$F$3&amp;", NA=--"))</f>
        <v/>
      </c>
      <c r="AP30" s="509">
        <f t="array" ref="AP30:AP30">IF($B30="","",_xll.snl.clients.office.excel.functions.spg($B30,"SP_EPS_EST",AP$7,$F$2,"Options:Curr="&amp;$F$3&amp;", NA=--"))</f>
        <v/>
      </c>
      <c r="AQ30" s="508" t="n"/>
      <c r="AR30" s="509">
        <f t="array" ref="AR30:AR30">IF($B30="","",_xll.snl.clients.office.excel.functions.spg($B30,"IQ_ROE",AR$7,$F$2,"Options:Curr="&amp;$F$3&amp;", NA=--"))</f>
        <v/>
      </c>
      <c r="AS30" s="508" t="n"/>
      <c r="AT30" s="509">
        <f t="array" ref="AT30:AT30">IF($B30="","",_xll.snl.clients.office.excel.functions.spg($B30,"IQ_BVPS",AT$7,$F$2,"Options:Curr="&amp;$F$3&amp;", NA=--"))</f>
        <v/>
      </c>
      <c r="AU30" s="508" t="n"/>
      <c r="AV30" s="509">
        <f t="array" ref="AV30:AV30">IF($B30="","",_xll.snl.clients.office.excel.functions.spg($B30,"IQ_TBVPS",AV$7,$F$2,"Options:Curr="&amp;$F$3&amp;", NA=--"))</f>
        <v/>
      </c>
      <c r="AW30" s="508" t="n"/>
      <c r="AX30" s="510">
        <f t="array" ref="AX30:AX30">IF($B30="","",_xll.snl.clients.office.excel.functions.spg($B30,"SP_DIV_YIELD",WORKDAY($F$2+1,-1),"Options: NA=--"))</f>
        <v/>
      </c>
      <c r="AY30" s="506">
        <f t="array" ref="AY30:AY30">IF($B30="","",_xll.snl.clients.office.excel.functions.spg($B30,"IQ_TOTAL_EQUITY","FQ0",$F$2,"Options:Curr="&amp;$F$3&amp;", Mag=Millions, NA=--"))</f>
        <v/>
      </c>
      <c r="AZ30" s="506">
        <f t="array" ref="AZ30:AZ30">IF($B30="","",_xll.snl.clients.office.excel.functions.spg($B30,"IQ_TOTAL_DEBT","FQ0",$F$2,"Options:Curr="&amp;$F$3&amp;", Mag=Millions, NA=--"))</f>
        <v/>
      </c>
      <c r="BA30" s="506">
        <f t="array" ref="BA30:BA30">IF($B30="","",_xll.snl.clients.office.excel.functions.spg($B30,"IQ_CASH_ST_INVEST","FQ0",$F$2,"Options:Curr="&amp;$F$3&amp;", Mag=Millions, NA=--"))</f>
        <v/>
      </c>
      <c r="BB30" s="506">
        <f>+AZ30-BA30</f>
        <v/>
      </c>
      <c r="BC30" s="506">
        <f t="array" ref="BC30:BC30">IF($B30="","",_xll.snl.clients.office.excel.functions.spg($B30,"IQ_TOTAL_EQUITY","FQ0",$F$2,"Options:Curr="&amp;$F$3&amp;", Mag=Millions, NA=--"))</f>
        <v/>
      </c>
      <c r="BD30" s="508" t="n"/>
      <c r="BE30" s="511">
        <f>IF($B30="","",IFERROR(_xll.snl.clients.office.excel.functions.spg($B30,"SP_GROSS_MARGIN",BE$7,$F$2,"Options: NA=--")/100,"--"))</f>
        <v/>
      </c>
      <c r="BF30" s="511">
        <f>IF($B30="","",IFERROR(_xll.snl.clients.office.excel.functions.spg($B30,"SP_GROSS_MARGIN_EST",BF$7,$F$2,"Options: NA=--")/100,"--"))</f>
        <v/>
      </c>
      <c r="BG30" s="511">
        <f>IF($B30="","",IFERROR(_xll.snl.clients.office.excel.functions.spg($B30,"SP_GROSS_MARGIN_EST",BG$7,$F$2,"Options: NA=--")/100,"--"))</f>
        <v/>
      </c>
      <c r="BH30" s="511">
        <f>IF($B30="","",IFERROR(_xll.snl.clients.office.excel.functions.spg($B30,"SP_GROSS_MARGIN_EST",BH$7,$F$2,"Options: NA=--")/100,"--"))</f>
        <v/>
      </c>
    </row>
    <row r="31" ht="14.25" customHeight="1" s="356">
      <c r="B31" s="486" t="inlineStr">
        <is>
          <t>LSE:IPF</t>
        </is>
      </c>
      <c r="D31" s="365">
        <f t="array" ref="D31:D31">IF($B31="","",_xll.snl.clients.office.excel.functions.spg($B31, "SP_COMPANY_NAME"))</f>
        <v/>
      </c>
      <c r="G31" s="512">
        <f t="array" ref="G31:G31">IF($B31="","",_xll.snl.clients.office.excel.functions.spg($B31,"SP_LASTSALEPRICE",WORKDAY($F$2+1,-1),"Options:Curr="&amp;I31&amp;",NA=--"))</f>
        <v/>
      </c>
      <c r="H31" s="499">
        <f t="array" ref="H31:H31">IF($B31="","",_xll.snl.clients.office.excel.functions.spg($B31,"SP_PRICE_CLOSE",WORKDAY($F$2+1,-1),"Options:Curr="&amp;$F$3&amp;", NA=--"))</f>
        <v/>
      </c>
      <c r="I31" s="500">
        <f t="array" ref="I31:I31">IF($B31="","",_xll.snl.clients.office.excel.functions.spg($B31,"SP_TRADING_CURRENCY","Options: NA=--"))</f>
        <v/>
      </c>
      <c r="J31" s="501">
        <f t="array" ref="J31:J31">IF($B31="","n/a ",_xll.snl.clients.office.excel.functions.spg($B31,"SP_MARKETCAP",WORKDAY($F$2+1,-1),"Options:Curr="&amp;$F$3&amp;", Mag=Millions, NA=--"))</f>
        <v/>
      </c>
      <c r="K31" s="501">
        <f t="array" ref="K31:K31">IF($B31="","n/a ",_xll.snl.clients.office.excel.functions.spg($B31,"IQ_TEV",WORKDAY($F$2+1,-1),"Options:Curr="&amp;$F$3&amp;", Mag=Millions, NA=--"))</f>
        <v/>
      </c>
      <c r="L31" s="502">
        <f>IFERROR(IF(OR($K31/AC31&gt;L$4,$K31/AC31&lt;L$3),"nmf ",$K31/AC31),"n/a ")</f>
        <v/>
      </c>
      <c r="M31" s="502">
        <f>IFERROR(IF(OR($K31/AD31&gt;M$4,$K31/AD31&lt;M$3),"nmf ",$K31/AD31),"n/a ")</f>
        <v/>
      </c>
      <c r="N31" s="502">
        <f>IFERROR(IF(OR($K31/AE31&gt;N$4,$K31/AE31&lt;N$3),"nmf ",$K31/AE31),"n/a ")</f>
        <v/>
      </c>
      <c r="O31" s="502">
        <f>IFERROR(IF(OR($K31/AH31&gt;O$4,$K31/AH31&lt;O$3),"nmf ",$K31/AH31),"n/a ")</f>
        <v/>
      </c>
      <c r="P31" s="502">
        <f>IFERROR(IF(OR($K31/AI31&gt;P$4,$K31/AI31&lt;P$3),"nmf ",$K31/AI31),"n/a ")</f>
        <v/>
      </c>
      <c r="Q31" s="502">
        <f>IFERROR(IF(OR($K31/AJ31&gt;Q$4,$K31/AJ31&lt;Q$3),"nmf ",$K31/AJ31),"n/a ")</f>
        <v/>
      </c>
      <c r="R31" s="503">
        <f>IFERROR((AE31/AD31)-1,"n/a ")</f>
        <v/>
      </c>
      <c r="S31" s="503">
        <f>IFERROR((AF31/AE31)-1,"n/a ")</f>
        <v/>
      </c>
      <c r="T31" s="503" t="n"/>
      <c r="U31" s="502">
        <f>IFERROR($H31/AM31,"n/a ")</f>
        <v/>
      </c>
      <c r="V31" s="502">
        <f>IFERROR($H31/AO31,"n/a ")</f>
        <v/>
      </c>
      <c r="W31" s="502">
        <f>IFERROR($H31/AP31,"n/a ")</f>
        <v/>
      </c>
      <c r="X31" s="504">
        <f>IFERROR(AR31/100,"n/a ")</f>
        <v/>
      </c>
      <c r="Y31" s="502">
        <f>IFERROR(H31/AT31,"n/a ")</f>
        <v/>
      </c>
      <c r="Z31" s="502">
        <f>IFERROR(H31/AV31,"n/a ")</f>
        <v/>
      </c>
      <c r="AA31" s="505" t="inlineStr">
        <is>
          <t>Home credit &amp; digital consumer loans</t>
        </is>
      </c>
      <c r="AC31" s="506">
        <f t="array" ref="AC31:AC31">IF($B31="","",_xll.snl.clients.office.excel.functions.spg($B31,"IQ_REV",AC$7,$F$2,"Options:Curr="&amp;$F$3&amp;", Mag=Millions, NA=--"))</f>
        <v/>
      </c>
      <c r="AD31" s="506">
        <f t="array" ref="AD31:AD31">IF($B31="","",_xll.snl.clients.office.excel.functions.spg($B31,"SP_REV_EST",AD$7,$F$2,"Options:Curr="&amp;$F$3&amp;", Mag=Millions, NA=--"))</f>
        <v/>
      </c>
      <c r="AE31" s="506">
        <f t="array" ref="AE31:AE31">IF($B31="","",_xll.snl.clients.office.excel.functions.spg($B31,"SP_REV_EST",AE$7,$F$2,"Options:Curr="&amp;$F$3&amp;", Mag=Millions, NA=--"))</f>
        <v/>
      </c>
      <c r="AF31" s="506">
        <f t="array" ref="AF31:AF31">IF($B31="","",_xll.snl.clients.office.excel.functions.spg($B31,"SP_REV_EST",AF$7,$F$2,"Options:Curr="&amp;$F$3&amp;", Mag=Millions, NA=--"))</f>
        <v/>
      </c>
      <c r="AG31" s="507" t="n"/>
      <c r="AH31" s="506">
        <f t="array" ref="AH31:AH31">IF($B31="","",_xll.snl.clients.office.excel.functions.spg($B31,"SP_EBITDA",AH$7,$F$2,"Options:Curr="&amp;$F$3&amp;", Mag=Millions, NA=--"))</f>
        <v/>
      </c>
      <c r="AI31" s="506">
        <f t="array" ref="AI31:AI31">IF($B31="","",_xll.snl.clients.office.excel.functions.spg($B31,"SP_EBITDA_EST",AI$7,$F$2,"Options:Curr="&amp;$F$3&amp;", Mag=Millions, NA=--"))</f>
        <v/>
      </c>
      <c r="AJ31" s="506">
        <f t="array" ref="AJ31:AJ31">IF($B31="","",_xll.snl.clients.office.excel.functions.spg($B31,"SP_EBITDA_EST",AJ$7,$F$2,"Options:Curr="&amp;$F$3&amp;", Mag=Millions, NA=--"))</f>
        <v/>
      </c>
      <c r="AK31" s="506">
        <f t="array" ref="AK31:AK31">IF($B31="","",_xll.snl.clients.office.excel.functions.spg($B31,"SP_EBITDA_EST",AK$7,$F$2,"Options:Curr="&amp;$F$3&amp;", Mag=Millions, NA=--"))</f>
        <v/>
      </c>
      <c r="AL31" s="508" t="n"/>
      <c r="AM31" s="509">
        <f t="array" ref="AM31:AM31">IF($B31="","",_xll.snl.clients.office.excel.functions.spg($B31,"IQ_BASIC_EPS_BEFORE_EXTRA",AM$7,$F$2,"Options:Curr="&amp;$F$3&amp;", NA=--"))</f>
        <v/>
      </c>
      <c r="AN31" s="509">
        <f t="array" ref="AN31:AN31">IF($B31="","",_xll.snl.clients.office.excel.functions.spg($B31,"SP_EPS_EST",AN$7,$F$2,"Options:Curr="&amp;$F$3&amp;", NA=--"))</f>
        <v/>
      </c>
      <c r="AO31" s="509">
        <f t="array" ref="AO31:AO31">IF($B31="","",_xll.snl.clients.office.excel.functions.spg($B31,"SP_EPS_EST",AO$7,$F$2,"Options:Curr="&amp;$F$3&amp;", NA=--"))</f>
        <v/>
      </c>
      <c r="AP31" s="509">
        <f t="array" ref="AP31:AP31">IF($B31="","",_xll.snl.clients.office.excel.functions.spg($B31,"SP_EPS_EST",AP$7,$F$2,"Options:Curr="&amp;$F$3&amp;", NA=--"))</f>
        <v/>
      </c>
      <c r="AQ31" s="508" t="n"/>
      <c r="AR31" s="509">
        <f t="array" ref="AR31:AR31">IF($B31="","",_xll.snl.clients.office.excel.functions.spg($B31,"IQ_ROE",AR$7,$F$2,"Options:Curr="&amp;$F$3&amp;", NA=--"))</f>
        <v/>
      </c>
      <c r="AS31" s="508" t="n"/>
      <c r="AT31" s="509">
        <f t="array" ref="AT31:AT31">IF($B31="","",_xll.snl.clients.office.excel.functions.spg($B31,"IQ_BVPS",AT$7,$F$2,"Options:Curr="&amp;$F$3&amp;", NA=--"))</f>
        <v/>
      </c>
      <c r="AU31" s="508" t="n"/>
      <c r="AV31" s="509">
        <f t="array" ref="AV31:AV31">IF($B31="","",_xll.snl.clients.office.excel.functions.spg($B31,"IQ_TBVPS",AV$7,$F$2,"Options:Curr="&amp;$F$3&amp;", NA=--"))</f>
        <v/>
      </c>
      <c r="AW31" s="508" t="n"/>
      <c r="AX31" s="510">
        <f t="array" ref="AX31:AX31">IF($B31="","",_xll.snl.clients.office.excel.functions.spg($B31,"SP_DIV_YIELD",WORKDAY($F$2+1,-1),"Options: NA=--"))</f>
        <v/>
      </c>
      <c r="AY31" s="506">
        <f t="array" ref="AY31:AY31">IF($B31="","",_xll.snl.clients.office.excel.functions.spg($B31,"IQ_TOTAL_EQUITY","FQ0",$F$2,"Options:Curr="&amp;$F$3&amp;", Mag=Millions, NA=--"))</f>
        <v/>
      </c>
      <c r="AZ31" s="506">
        <f t="array" ref="AZ31:AZ31">IF($B31="","",_xll.snl.clients.office.excel.functions.spg($B31,"IQ_TOTAL_DEBT","FQ0",$F$2,"Options:Curr="&amp;$F$3&amp;", Mag=Millions, NA=--"))</f>
        <v/>
      </c>
      <c r="BA31" s="506">
        <f t="array" ref="BA31:BA31">IF($B31="","",_xll.snl.clients.office.excel.functions.spg($B31,"IQ_CASH_ST_INVEST","FQ0",$F$2,"Options:Curr="&amp;$F$3&amp;", Mag=Millions, NA=--"))</f>
        <v/>
      </c>
      <c r="BB31" s="506">
        <f>+AZ31-BA31</f>
        <v/>
      </c>
      <c r="BC31" s="506">
        <f t="array" ref="BC31:BC31">IF($B31="","",_xll.snl.clients.office.excel.functions.spg($B31,"IQ_TOTAL_EQUITY","FQ0",$F$2,"Options:Curr="&amp;$F$3&amp;", Mag=Millions, NA=--"))</f>
        <v/>
      </c>
      <c r="BD31" s="508" t="n"/>
      <c r="BE31" s="511">
        <f>IF($B31="","",IFERROR(_xll.snl.clients.office.excel.functions.spg($B31,"SP_GROSS_MARGIN",BE$7,$F$2,"Options: NA=--")/100,"--"))</f>
        <v/>
      </c>
      <c r="BF31" s="511">
        <f>IF($B31="","",IFERROR(_xll.snl.clients.office.excel.functions.spg($B31,"SP_GROSS_MARGIN_EST",BF$7,$F$2,"Options: NA=--")/100,"--"))</f>
        <v/>
      </c>
      <c r="BG31" s="511">
        <f>IF($B31="","",IFERROR(_xll.snl.clients.office.excel.functions.spg($B31,"SP_GROSS_MARGIN_EST",BG$7,$F$2,"Options: NA=--")/100,"--"))</f>
        <v/>
      </c>
      <c r="BH31" s="511">
        <f>IF($B31="","",IFERROR(_xll.snl.clients.office.excel.functions.spg($B31,"SP_GROSS_MARGIN_EST",BH$7,$F$2,"Options: NA=--")/100,"--"))</f>
        <v/>
      </c>
    </row>
    <row r="32" ht="14.25" customHeight="1" s="356">
      <c r="B32" s="486" t="inlineStr">
        <is>
          <t>LSE:VANQ</t>
        </is>
      </c>
      <c r="D32" s="365">
        <f t="array" ref="D32:D32">IF($B32="","",_xll.snl.clients.office.excel.functions.spg($B32, "SP_COMPANY_NAME"))</f>
        <v/>
      </c>
      <c r="G32" s="512">
        <f t="array" ref="G32:G32">IF($B32="","",_xll.snl.clients.office.excel.functions.spg($B32,"SP_LASTSALEPRICE",WORKDAY($F$2+1,-1),"Options:Curr="&amp;I32&amp;",NA=--"))</f>
        <v/>
      </c>
      <c r="H32" s="499">
        <f t="array" ref="H32:H32">IF($B32="","",_xll.snl.clients.office.excel.functions.spg($B32,"SP_PRICE_CLOSE",WORKDAY($F$2+1,-1),"Options:Curr="&amp;$F$3&amp;", NA=--"))</f>
        <v/>
      </c>
      <c r="I32" s="500">
        <f t="array" ref="I32:I32">IF($B32="","",_xll.snl.clients.office.excel.functions.spg($B32,"SP_TRADING_CURRENCY","Options: NA=--"))</f>
        <v/>
      </c>
      <c r="J32" s="501">
        <f t="array" ref="J32:J32">IF($B32="","n/a ",_xll.snl.clients.office.excel.functions.spg($B32,"SP_MARKETCAP",WORKDAY($F$2+1,-1),"Options:Curr="&amp;$F$3&amp;", Mag=Millions, NA=--"))</f>
        <v/>
      </c>
      <c r="K32" s="501">
        <f t="array" ref="K32:K32">IF($B32="","n/a ",_xll.snl.clients.office.excel.functions.spg($B32,"IQ_TEV",WORKDAY($F$2+1,-1),"Options:Curr="&amp;$F$3&amp;", Mag=Millions, NA=--"))</f>
        <v/>
      </c>
      <c r="L32" s="502">
        <f>IFERROR(IF(OR($K32/AC32&gt;L$4,$K32/AC32&lt;L$3),"nmf ",$K32/AC32),"n/a ")</f>
        <v/>
      </c>
      <c r="M32" s="502">
        <f>IFERROR(IF(OR($K32/AD32&gt;M$4,$K32/AD32&lt;M$3),"nmf ",$K32/AD32),"n/a ")</f>
        <v/>
      </c>
      <c r="N32" s="502">
        <f>IFERROR(IF(OR($K32/AE32&gt;N$4,$K32/AE32&lt;N$3),"nmf ",$K32/AE32),"n/a ")</f>
        <v/>
      </c>
      <c r="O32" s="502">
        <f>IFERROR(IF(OR($K32/AH32&gt;O$4,$K32/AH32&lt;O$3),"nmf ",$K32/AH32),"n/a ")</f>
        <v/>
      </c>
      <c r="P32" s="502">
        <f>IFERROR(IF(OR($K32/AI32&gt;P$4,$K32/AI32&lt;P$3),"nmf ",$K32/AI32),"n/a ")</f>
        <v/>
      </c>
      <c r="Q32" s="502">
        <f>IFERROR(IF(OR($K32/AJ32&gt;Q$4,$K32/AJ32&lt;Q$3),"nmf ",$K32/AJ32),"n/a ")</f>
        <v/>
      </c>
      <c r="R32" s="503">
        <f>IFERROR((AE32/AD32)-1,"n/a ")</f>
        <v/>
      </c>
      <c r="S32" s="503">
        <f>IFERROR((AF32/AE32)-1,"n/a ")</f>
        <v/>
      </c>
      <c r="T32" s="503" t="n"/>
      <c r="U32" s="502">
        <f>IFERROR($H32/AM32,"n/a ")</f>
        <v/>
      </c>
      <c r="V32" s="502">
        <f>IFERROR($H32/AO32,"n/a ")</f>
        <v/>
      </c>
      <c r="W32" s="502">
        <f>IFERROR($H32/AP32,"n/a ")</f>
        <v/>
      </c>
      <c r="X32" s="504">
        <f>IFERROR(AR32/100,"n/a ")</f>
        <v/>
      </c>
      <c r="Y32" s="502">
        <f>IFERROR(H32/AT32,"n/a ")</f>
        <v/>
      </c>
      <c r="Z32" s="502">
        <f>IFERROR(H32/AV32,"n/a ")</f>
        <v/>
      </c>
      <c r="AA32" s="505" t="inlineStr">
        <is>
          <t>Non-prime credit cards &amp; vehicle finance</t>
        </is>
      </c>
      <c r="AC32" s="506">
        <f t="array" ref="AC32:AC32">IF($B32="","",_xll.snl.clients.office.excel.functions.spg($B32,"IQ_REV",AC$7,$F$2,"Options:Curr="&amp;$F$3&amp;", Mag=Millions, NA=--"))</f>
        <v/>
      </c>
      <c r="AD32" s="506">
        <f t="array" ref="AD32:AD32">IF($B32="","",_xll.snl.clients.office.excel.functions.spg($B32,"SP_REV_EST",AD$7,$F$2,"Options:Curr="&amp;$F$3&amp;", Mag=Millions, NA=--"))</f>
        <v/>
      </c>
      <c r="AE32" s="506">
        <f t="array" ref="AE32:AE32">IF($B32="","",_xll.snl.clients.office.excel.functions.spg($B32,"SP_REV_EST",AE$7,$F$2,"Options:Curr="&amp;$F$3&amp;", Mag=Millions, NA=--"))</f>
        <v/>
      </c>
      <c r="AF32" s="506">
        <f t="array" ref="AF32:AF32">IF($B32="","",_xll.snl.clients.office.excel.functions.spg($B32,"SP_REV_EST",AF$7,$F$2,"Options:Curr="&amp;$F$3&amp;", Mag=Millions, NA=--"))</f>
        <v/>
      </c>
      <c r="AG32" s="507" t="n"/>
      <c r="AH32" s="506">
        <f t="array" ref="AH32:AH32">IF($B32="","",_xll.snl.clients.office.excel.functions.spg($B32,"SP_EBITDA",AH$7,$F$2,"Options:Curr="&amp;$F$3&amp;", Mag=Millions, NA=--"))</f>
        <v/>
      </c>
      <c r="AI32" s="506">
        <f t="array" ref="AI32:AI32">IF($B32="","",_xll.snl.clients.office.excel.functions.spg($B32,"SP_EBITDA_EST",AI$7,$F$2,"Options:Curr="&amp;$F$3&amp;", Mag=Millions, NA=--"))</f>
        <v/>
      </c>
      <c r="AJ32" s="506">
        <f t="array" ref="AJ32:AJ32">IF($B32="","",_xll.snl.clients.office.excel.functions.spg($B32,"SP_EBITDA_EST",AJ$7,$F$2,"Options:Curr="&amp;$F$3&amp;", Mag=Millions, NA=--"))</f>
        <v/>
      </c>
      <c r="AK32" s="506">
        <f t="array" ref="AK32:AK32">IF($B32="","",_xll.snl.clients.office.excel.functions.spg($B32,"SP_EBITDA_EST",AK$7,$F$2,"Options:Curr="&amp;$F$3&amp;", Mag=Millions, NA=--"))</f>
        <v/>
      </c>
      <c r="AL32" s="508" t="n"/>
      <c r="AM32" s="509">
        <f t="array" ref="AM32:AM32">IF($B32="","",_xll.snl.clients.office.excel.functions.spg($B32,"IQ_BASIC_EPS_BEFORE_EXTRA",AM$7,$F$2,"Options:Curr="&amp;$F$3&amp;", NA=--"))</f>
        <v/>
      </c>
      <c r="AN32" s="509">
        <f t="array" ref="AN32:AN32">IF($B32="","",_xll.snl.clients.office.excel.functions.spg($B32,"SP_EPS_EST",AN$7,$F$2,"Options:Curr="&amp;$F$3&amp;", NA=--"))</f>
        <v/>
      </c>
      <c r="AO32" s="509">
        <f t="array" ref="AO32:AO32">IF($B32="","",_xll.snl.clients.office.excel.functions.spg($B32,"SP_EPS_EST",AO$7,$F$2,"Options:Curr="&amp;$F$3&amp;", NA=--"))</f>
        <v/>
      </c>
      <c r="AP32" s="509">
        <f t="array" ref="AP32:AP32">IF($B32="","",_xll.snl.clients.office.excel.functions.spg($B32,"SP_EPS_EST",AP$7,$F$2,"Options:Curr="&amp;$F$3&amp;", NA=--"))</f>
        <v/>
      </c>
      <c r="AQ32" s="508" t="n"/>
      <c r="AR32" s="509">
        <f t="array" ref="AR32:AR32">IF($B32="","",_xll.snl.clients.office.excel.functions.spg($B32,"IQ_ROE",AR$7,$F$2,"Options:Curr="&amp;$F$3&amp;", NA=--"))</f>
        <v/>
      </c>
      <c r="AS32" s="508" t="n"/>
      <c r="AT32" s="509">
        <f t="array" ref="AT32:AT32">IF($B32="","",_xll.snl.clients.office.excel.functions.spg($B32,"IQ_BVPS",AT$7,$F$2,"Options:Curr="&amp;$F$3&amp;", NA=--"))</f>
        <v/>
      </c>
      <c r="AU32" s="508" t="n"/>
      <c r="AV32" s="509">
        <f t="array" ref="AV32:AV32">IF($B32="","",_xll.snl.clients.office.excel.functions.spg($B32,"IQ_TBVPS",AV$7,$F$2,"Options:Curr="&amp;$F$3&amp;", NA=--"))</f>
        <v/>
      </c>
      <c r="AW32" s="508" t="n"/>
      <c r="AX32" s="510">
        <f t="array" ref="AX32:AX32">IF($B32="","",_xll.snl.clients.office.excel.functions.spg($B32,"SP_DIV_YIELD",WORKDAY($F$2+1,-1),"Options: NA=--"))</f>
        <v/>
      </c>
      <c r="AY32" s="506">
        <f t="array" ref="AY32:AY32">IF($B32="","",_xll.snl.clients.office.excel.functions.spg($B32,"IQ_TOTAL_EQUITY","FQ0",$F$2,"Options:Curr="&amp;$F$3&amp;", Mag=Millions, NA=--"))</f>
        <v/>
      </c>
      <c r="AZ32" s="506">
        <f t="array" ref="AZ32:AZ32">IF($B32="","",_xll.snl.clients.office.excel.functions.spg($B32,"IQ_TOTAL_DEBT","FQ0",$F$2,"Options:Curr="&amp;$F$3&amp;", Mag=Millions, NA=--"))</f>
        <v/>
      </c>
      <c r="BA32" s="506">
        <f t="array" ref="BA32:BA32">IF($B32="","",_xll.snl.clients.office.excel.functions.spg($B32,"IQ_CASH_ST_INVEST","FQ0",$F$2,"Options:Curr="&amp;$F$3&amp;", Mag=Millions, NA=--"))</f>
        <v/>
      </c>
      <c r="BB32" s="506">
        <f>+AZ32-BA32</f>
        <v/>
      </c>
      <c r="BC32" s="506">
        <f t="array" ref="BC32:BC32">IF($B32="","",_xll.snl.clients.office.excel.functions.spg($B32,"IQ_TOTAL_EQUITY","FQ0",$F$2,"Options:Curr="&amp;$F$3&amp;", Mag=Millions, NA=--"))</f>
        <v/>
      </c>
      <c r="BD32" s="508" t="n"/>
      <c r="BE32" s="511">
        <f>IF($B32="","",IFERROR(_xll.snl.clients.office.excel.functions.spg($B32,"SP_GROSS_MARGIN",BE$7,$F$2,"Options: NA=--")/100,"--"))</f>
        <v/>
      </c>
      <c r="BF32" s="511">
        <f>IF($B32="","",IFERROR(_xll.snl.clients.office.excel.functions.spg($B32,"SP_GROSS_MARGIN_EST",BF$7,$F$2,"Options: NA=--")/100,"--"))</f>
        <v/>
      </c>
      <c r="BG32" s="511">
        <f>IF($B32="","",IFERROR(_xll.snl.clients.office.excel.functions.spg($B32,"SP_GROSS_MARGIN_EST",BG$7,$F$2,"Options: NA=--")/100,"--"))</f>
        <v/>
      </c>
      <c r="BH32" s="511">
        <f>IF($B32="","",IFERROR(_xll.snl.clients.office.excel.functions.spg($B32,"SP_GROSS_MARGIN_EST",BH$7,$F$2,"Options: NA=--")/100,"--"))</f>
        <v/>
      </c>
    </row>
    <row r="33" ht="14.25" customHeight="1" s="356">
      <c r="B33" s="486" t="inlineStr">
        <is>
          <t>LSE:SUS</t>
        </is>
      </c>
      <c r="D33" s="365">
        <f t="array" ref="D33:D33">IF($B33="","",_xll.snl.clients.office.excel.functions.spg($B33, "SP_COMPANY_NAME"))</f>
        <v/>
      </c>
      <c r="G33" s="512">
        <f t="array" ref="G33:G33">IF($B33="","",_xll.snl.clients.office.excel.functions.spg($B33,"SP_LASTSALEPRICE",WORKDAY($F$2+1,-1),"Options:Curr="&amp;I33&amp;",NA=--"))</f>
        <v/>
      </c>
      <c r="H33" s="499">
        <f t="array" ref="H33:H33">IF($B33="","",_xll.snl.clients.office.excel.functions.spg($B33,"SP_PRICE_CLOSE",WORKDAY($F$2+1,-1),"Options:Curr="&amp;$F$3&amp;", NA=--"))</f>
        <v/>
      </c>
      <c r="I33" s="500">
        <f t="array" ref="I33:I33">IF($B33="","",_xll.snl.clients.office.excel.functions.spg($B33,"SP_TRADING_CURRENCY","Options: NA=--"))</f>
        <v/>
      </c>
      <c r="J33" s="501">
        <f t="array" ref="J33:J33">IF($B33="","n/a ",_xll.snl.clients.office.excel.functions.spg($B33,"SP_MARKETCAP",WORKDAY($F$2+1,-1),"Options:Curr="&amp;$F$3&amp;", Mag=Millions, NA=--"))</f>
        <v/>
      </c>
      <c r="K33" s="501">
        <f t="array" ref="K33:K33">IF($B33="","n/a ",_xll.snl.clients.office.excel.functions.spg($B33,"IQ_TEV",WORKDAY($F$2+1,-1),"Options:Curr="&amp;$F$3&amp;", Mag=Millions, NA=--"))</f>
        <v/>
      </c>
      <c r="L33" s="502">
        <f>IFERROR(IF(OR($K33/AC33&gt;L$4,$K33/AC33&lt;L$3),"nmf ",$K33/AC33),"n/a ")</f>
        <v/>
      </c>
      <c r="M33" s="502">
        <f>IFERROR(IF(OR($K33/AD33&gt;M$4,$K33/AD33&lt;M$3),"nmf ",$K33/AD33),"n/a ")</f>
        <v/>
      </c>
      <c r="N33" s="502">
        <f>IFERROR(IF(OR($K33/AE33&gt;N$4,$K33/AE33&lt;N$3),"nmf ",$K33/AE33),"n/a ")</f>
        <v/>
      </c>
      <c r="O33" s="502">
        <f>IFERROR(IF(OR($K33/AH33&gt;O$4,$K33/AH33&lt;O$3),"nmf ",$K33/AH33),"n/a ")</f>
        <v/>
      </c>
      <c r="P33" s="502">
        <f>IFERROR(IF(OR($K33/AI33&gt;P$4,$K33/AI33&lt;P$3),"nmf ",$K33/AI33),"n/a ")</f>
        <v/>
      </c>
      <c r="Q33" s="502">
        <f>IFERROR(IF(OR($K33/AJ33&gt;Q$4,$K33/AJ33&lt;Q$3),"nmf ",$K33/AJ33),"n/a ")</f>
        <v/>
      </c>
      <c r="R33" s="503">
        <f>IFERROR((AE33/AD33)-1,"n/a ")</f>
        <v/>
      </c>
      <c r="S33" s="503">
        <f>IFERROR((AF33/AE33)-1,"n/a ")</f>
        <v/>
      </c>
      <c r="T33" s="503" t="n"/>
      <c r="U33" s="502">
        <f>IFERROR($H33/AM33,"n/a ")</f>
        <v/>
      </c>
      <c r="V33" s="502">
        <f>IFERROR($H33/AO33,"n/a ")</f>
        <v/>
      </c>
      <c r="W33" s="502">
        <f>IFERROR($H33/AP33,"n/a ")</f>
        <v/>
      </c>
      <c r="X33" s="504">
        <f>IFERROR(AR33/100,"n/a ")</f>
        <v/>
      </c>
      <c r="Y33" s="502">
        <f>IFERROR(H33/AT33,"n/a ")</f>
        <v/>
      </c>
      <c r="Z33" s="502">
        <f>IFERROR(H33/AV33,"n/a ")</f>
        <v/>
      </c>
      <c r="AA33" s="505" t="inlineStr">
        <is>
          <t>Non-prime motor finance &amp; bridging loans</t>
        </is>
      </c>
      <c r="AC33" s="506">
        <f t="array" ref="AC33:AC33">IF($B33="","",_xll.snl.clients.office.excel.functions.spg($B33,"IQ_REV",AC$7,$F$2,"Options:Curr="&amp;$F$3&amp;", Mag=Millions, NA=--"))</f>
        <v/>
      </c>
      <c r="AD33" s="506">
        <f t="array" ref="AD33:AD33">IF($B33="","",_xll.snl.clients.office.excel.functions.spg($B33,"SP_REV_EST",AD$7,$F$2,"Options:Curr="&amp;$F$3&amp;", Mag=Millions, NA=--"))</f>
        <v/>
      </c>
      <c r="AE33" s="506">
        <f t="array" ref="AE33:AE33">IF($B33="","",_xll.snl.clients.office.excel.functions.spg($B33,"SP_REV_EST",AE$7,$F$2,"Options:Curr="&amp;$F$3&amp;", Mag=Millions, NA=--"))</f>
        <v/>
      </c>
      <c r="AF33" s="506">
        <f t="array" ref="AF33:AF33">IF($B33="","",_xll.snl.clients.office.excel.functions.spg($B33,"SP_REV_EST",AF$7,$F$2,"Options:Curr="&amp;$F$3&amp;", Mag=Millions, NA=--"))</f>
        <v/>
      </c>
      <c r="AG33" s="507" t="n"/>
      <c r="AH33" s="506">
        <f t="array" ref="AH33:AH33">IF($B33="","",_xll.snl.clients.office.excel.functions.spg($B33,"SP_EBITDA",AH$7,$F$2,"Options:Curr="&amp;$F$3&amp;", Mag=Millions, NA=--"))</f>
        <v/>
      </c>
      <c r="AI33" s="506">
        <f t="array" ref="AI33:AI33">IF($B33="","",_xll.snl.clients.office.excel.functions.spg($B33,"SP_EBITDA_EST",AI$7,$F$2,"Options:Curr="&amp;$F$3&amp;", Mag=Millions, NA=--"))</f>
        <v/>
      </c>
      <c r="AJ33" s="506">
        <f t="array" ref="AJ33:AJ33">IF($B33="","",_xll.snl.clients.office.excel.functions.spg($B33,"SP_EBITDA_EST",AJ$7,$F$2,"Options:Curr="&amp;$F$3&amp;", Mag=Millions, NA=--"))</f>
        <v/>
      </c>
      <c r="AK33" s="506">
        <f t="array" ref="AK33:AK33">IF($B33="","",_xll.snl.clients.office.excel.functions.spg($B33,"SP_EBITDA_EST",AK$7,$F$2,"Options:Curr="&amp;$F$3&amp;", Mag=Millions, NA=--"))</f>
        <v/>
      </c>
      <c r="AL33" s="508" t="n"/>
      <c r="AM33" s="509">
        <f t="array" ref="AM33:AM33">IF($B33="","",_xll.snl.clients.office.excel.functions.spg($B33,"IQ_BASIC_EPS_BEFORE_EXTRA",AM$7,$F$2,"Options:Curr="&amp;$F$3&amp;", NA=--"))</f>
        <v/>
      </c>
      <c r="AN33" s="509">
        <f t="array" ref="AN33:AN33">IF($B33="","",_xll.snl.clients.office.excel.functions.spg($B33,"SP_EPS_EST",AN$7,$F$2,"Options:Curr="&amp;$F$3&amp;", NA=--"))</f>
        <v/>
      </c>
      <c r="AO33" s="509">
        <f t="array" ref="AO33:AO33">IF($B33="","",_xll.snl.clients.office.excel.functions.spg($B33,"SP_EPS_EST",AO$7,$F$2,"Options:Curr="&amp;$F$3&amp;", NA=--"))</f>
        <v/>
      </c>
      <c r="AP33" s="509">
        <f t="array" ref="AP33:AP33">IF($B33="","",_xll.snl.clients.office.excel.functions.spg($B33,"SP_EPS_EST",AP$7,$F$2,"Options:Curr="&amp;$F$3&amp;", NA=--"))</f>
        <v/>
      </c>
      <c r="AQ33" s="508" t="n"/>
      <c r="AR33" s="509">
        <f t="array" ref="AR33:AR33">IF($B33="","",_xll.snl.clients.office.excel.functions.spg($B33,"IQ_ROE",AR$7,$F$2,"Options:Curr="&amp;$F$3&amp;", NA=--"))</f>
        <v/>
      </c>
      <c r="AS33" s="508" t="n"/>
      <c r="AT33" s="509">
        <f t="array" ref="AT33:AT33">IF($B33="","",_xll.snl.clients.office.excel.functions.spg($B33,"IQ_BVPS",AT$7,$F$2,"Options:Curr="&amp;$F$3&amp;", NA=--"))</f>
        <v/>
      </c>
      <c r="AU33" s="508" t="n"/>
      <c r="AV33" s="509">
        <f t="array" ref="AV33:AV33">IF($B33="","",_xll.snl.clients.office.excel.functions.spg($B33,"IQ_TBVPS",AV$7,$F$2,"Options:Curr="&amp;$F$3&amp;", NA=--"))</f>
        <v/>
      </c>
      <c r="AW33" s="508" t="n"/>
      <c r="AX33" s="510">
        <f t="array" ref="AX33:AX33">IF($B33="","",_xll.snl.clients.office.excel.functions.spg($B33,"SP_DIV_YIELD",WORKDAY($F$2+1,-1),"Options: NA=--"))</f>
        <v/>
      </c>
      <c r="AY33" s="506">
        <f t="array" ref="AY33:AY33">IF($B33="","",_xll.snl.clients.office.excel.functions.spg($B33,"IQ_TOTAL_EQUITY","FQ0",$F$2,"Options:Curr="&amp;$F$3&amp;", Mag=Millions, NA=--"))</f>
        <v/>
      </c>
      <c r="AZ33" s="506">
        <f t="array" ref="AZ33:AZ33">IF($B33="","",_xll.snl.clients.office.excel.functions.spg($B33,"IQ_TOTAL_DEBT","FQ0",$F$2,"Options:Curr="&amp;$F$3&amp;", Mag=Millions, NA=--"))</f>
        <v/>
      </c>
      <c r="BA33" s="506">
        <f t="array" ref="BA33:BA33">IF($B33="","",_xll.snl.clients.office.excel.functions.spg($B33,"IQ_CASH_ST_INVEST","FQ0",$F$2,"Options:Curr="&amp;$F$3&amp;", Mag=Millions, NA=--"))</f>
        <v/>
      </c>
      <c r="BB33" s="506">
        <f>+AZ33-BA33</f>
        <v/>
      </c>
      <c r="BC33" s="506">
        <f t="array" ref="BC33:BC33">IF($B33="","",_xll.snl.clients.office.excel.functions.spg($B33,"IQ_TOTAL_EQUITY","FQ0",$F$2,"Options:Curr="&amp;$F$3&amp;", Mag=Millions, NA=--"))</f>
        <v/>
      </c>
      <c r="BD33" s="508" t="n"/>
      <c r="BE33" s="511">
        <f>IF($B33="","",IFERROR(_xll.snl.clients.office.excel.functions.spg($B33,"SP_GROSS_MARGIN",BE$7,$F$2,"Options: NA=--")/100,"--"))</f>
        <v/>
      </c>
      <c r="BF33" s="511">
        <f>IF($B33="","",IFERROR(_xll.snl.clients.office.excel.functions.spg($B33,"SP_GROSS_MARGIN_EST",BF$7,$F$2,"Options: NA=--")/100,"--"))</f>
        <v/>
      </c>
      <c r="BG33" s="511">
        <f>IF($B33="","",IFERROR(_xll.snl.clients.office.excel.functions.spg($B33,"SP_GROSS_MARGIN_EST",BG$7,$F$2,"Options: NA=--")/100,"--"))</f>
        <v/>
      </c>
      <c r="BH33" s="511">
        <f>IF($B33="","",IFERROR(_xll.snl.clients.office.excel.functions.spg($B33,"SP_GROSS_MARGIN_EST",BH$7,$F$2,"Options: NA=--")/100,"--"))</f>
        <v/>
      </c>
    </row>
    <row r="34" ht="14.25" customHeight="1" s="356">
      <c r="B34" s="486" t="inlineStr">
        <is>
          <t>ASX:CCV</t>
        </is>
      </c>
      <c r="D34" s="365">
        <f t="array" ref="D34:D34">IF($B34="","",_xll.snl.clients.office.excel.functions.spg($B34, "SP_COMPANY_NAME"))</f>
        <v/>
      </c>
      <c r="G34" s="512">
        <f t="array" ref="G34:G34">IF($B34="","",_xll.snl.clients.office.excel.functions.spg($B34,"SP_LASTSALEPRICE",WORKDAY($F$2+1,-1),"Options:Curr="&amp;I34&amp;",NA=--"))</f>
        <v/>
      </c>
      <c r="H34" s="499">
        <f t="array" ref="H34:H34">IF($B34="","",_xll.snl.clients.office.excel.functions.spg($B34,"SP_PRICE_CLOSE",WORKDAY($F$2+1,-1),"Options:Curr="&amp;$F$3&amp;", NA=--"))</f>
        <v/>
      </c>
      <c r="I34" s="500">
        <f t="array" ref="I34:I34">IF($B34="","",_xll.snl.clients.office.excel.functions.spg($B34,"SP_TRADING_CURRENCY","Options: NA=--"))</f>
        <v/>
      </c>
      <c r="J34" s="501">
        <f t="array" ref="J34:J34">IF($B34="","n/a ",_xll.snl.clients.office.excel.functions.spg($B34,"SP_MARKETCAP",WORKDAY($F$2+1,-1),"Options:Curr="&amp;$F$3&amp;", Mag=Millions, NA=--"))</f>
        <v/>
      </c>
      <c r="K34" s="501">
        <f t="array" ref="K34:K34">IF($B34="","n/a ",_xll.snl.clients.office.excel.functions.spg($B34,"IQ_TEV",WORKDAY($F$2+1,-1),"Options:Curr="&amp;$F$3&amp;", Mag=Millions, NA=--"))</f>
        <v/>
      </c>
      <c r="L34" s="502">
        <f>IFERROR(IF(OR($K34/AC34&gt;L$4,$K34/AC34&lt;L$3),"nmf ",$K34/AC34),"n/a ")</f>
        <v/>
      </c>
      <c r="M34" s="502">
        <f>IFERROR(IF(OR($K34/AD34&gt;M$4,$K34/AD34&lt;M$3),"nmf ",$K34/AD34),"n/a ")</f>
        <v/>
      </c>
      <c r="N34" s="502">
        <f>IFERROR(IF(OR($K34/AE34&gt;N$4,$K34/AE34&lt;N$3),"nmf ",$K34/AE34),"n/a ")</f>
        <v/>
      </c>
      <c r="O34" s="502">
        <f>IFERROR(IF(OR($K34/AH34&gt;O$4,$K34/AH34&lt;O$3),"nmf ",$K34/AH34),"n/a ")</f>
        <v/>
      </c>
      <c r="P34" s="502">
        <f>IFERROR(IF(OR($K34/AI34&gt;P$4,$K34/AI34&lt;P$3),"nmf ",$K34/AI34),"n/a ")</f>
        <v/>
      </c>
      <c r="Q34" s="502">
        <f>IFERROR(IF(OR($K34/AJ34&gt;Q$4,$K34/AJ34&lt;Q$3),"nmf ",$K34/AJ34),"n/a ")</f>
        <v/>
      </c>
      <c r="R34" s="503">
        <f>IFERROR((AE34/AD34)-1,"n/a ")</f>
        <v/>
      </c>
      <c r="S34" s="503">
        <f>IFERROR((AF34/AE34)-1,"n/a ")</f>
        <v/>
      </c>
      <c r="T34" s="503" t="n"/>
      <c r="U34" s="502">
        <f>IFERROR($H34/AM34,"n/a ")</f>
        <v/>
      </c>
      <c r="V34" s="502">
        <f>IFERROR($H34/AO34,"n/a ")</f>
        <v/>
      </c>
      <c r="W34" s="502">
        <f>IFERROR($H34/AP34,"n/a ")</f>
        <v/>
      </c>
      <c r="X34" s="504">
        <f>IFERROR(AR34/100,"n/a ")</f>
        <v/>
      </c>
      <c r="Y34" s="502">
        <f>IFERROR(H34/AT34,"n/a ")</f>
        <v/>
      </c>
      <c r="Z34" s="502">
        <f>IFERROR(H34/AV34,"n/a ")</f>
        <v/>
      </c>
      <c r="AA34" s="505" t="inlineStr">
        <is>
          <t>Pawnbroking &amp; small personal loans</t>
        </is>
      </c>
      <c r="AC34" s="506">
        <f t="array" ref="AC34:AC34">IF($B34="","",_xll.snl.clients.office.excel.functions.spg($B34,"IQ_REV",AC$7,$F$2,"Options:Curr="&amp;$F$3&amp;", Mag=Millions, NA=--"))</f>
        <v/>
      </c>
      <c r="AD34" s="506">
        <f t="array" ref="AD34:AD34">IF($B34="","",_xll.snl.clients.office.excel.functions.spg($B34,"SP_REV_EST",AD$7,$F$2,"Options:Curr="&amp;$F$3&amp;", Mag=Millions, NA=--"))</f>
        <v/>
      </c>
      <c r="AE34" s="506">
        <f t="array" ref="AE34:AE34">IF($B34="","",_xll.snl.clients.office.excel.functions.spg($B34,"SP_REV_EST",AE$7,$F$2,"Options:Curr="&amp;$F$3&amp;", Mag=Millions, NA=--"))</f>
        <v/>
      </c>
      <c r="AF34" s="506">
        <f t="array" ref="AF34:AF34">IF($B34="","",_xll.snl.clients.office.excel.functions.spg($B34,"SP_REV_EST",AF$7,$F$2,"Options:Curr="&amp;$F$3&amp;", Mag=Millions, NA=--"))</f>
        <v/>
      </c>
      <c r="AG34" s="507" t="n"/>
      <c r="AH34" s="506">
        <f t="array" ref="AH34:AH34">IF($B34="","",_xll.snl.clients.office.excel.functions.spg($B34,"SP_EBITDA",AH$7,$F$2,"Options:Curr="&amp;$F$3&amp;", Mag=Millions, NA=--"))</f>
        <v/>
      </c>
      <c r="AI34" s="506">
        <f t="array" ref="AI34:AI34">IF($B34="","",_xll.snl.clients.office.excel.functions.spg($B34,"SP_EBITDA_EST",AI$7,$F$2,"Options:Curr="&amp;$F$3&amp;", Mag=Millions, NA=--"))</f>
        <v/>
      </c>
      <c r="AJ34" s="506">
        <f t="array" ref="AJ34:AJ34">IF($B34="","",_xll.snl.clients.office.excel.functions.spg($B34,"SP_EBITDA_EST",AJ$7,$F$2,"Options:Curr="&amp;$F$3&amp;", Mag=Millions, NA=--"))</f>
        <v/>
      </c>
      <c r="AK34" s="506">
        <f t="array" ref="AK34:AK34">IF($B34="","",_xll.snl.clients.office.excel.functions.spg($B34,"SP_EBITDA_EST",AK$7,$F$2,"Options:Curr="&amp;$F$3&amp;", Mag=Millions, NA=--"))</f>
        <v/>
      </c>
      <c r="AL34" s="508" t="n"/>
      <c r="AM34" s="509">
        <f t="array" ref="AM34:AM34">IF($B34="","",_xll.snl.clients.office.excel.functions.spg($B34,"IQ_BASIC_EPS_BEFORE_EXTRA",AM$7,$F$2,"Options:Curr="&amp;$F$3&amp;", NA=--"))</f>
        <v/>
      </c>
      <c r="AN34" s="509">
        <f t="array" ref="AN34:AN34">IF($B34="","",_xll.snl.clients.office.excel.functions.spg($B34,"SP_EPS_EST",AN$7,$F$2,"Options:Curr="&amp;$F$3&amp;", NA=--"))</f>
        <v/>
      </c>
      <c r="AO34" s="509">
        <f t="array" ref="AO34:AO34">IF($B34="","",_xll.snl.clients.office.excel.functions.spg($B34,"SP_EPS_EST",AO$7,$F$2,"Options:Curr="&amp;$F$3&amp;", NA=--"))</f>
        <v/>
      </c>
      <c r="AP34" s="509">
        <f t="array" ref="AP34:AP34">IF($B34="","",_xll.snl.clients.office.excel.functions.spg($B34,"SP_EPS_EST",AP$7,$F$2,"Options:Curr="&amp;$F$3&amp;", NA=--"))</f>
        <v/>
      </c>
      <c r="AQ34" s="508" t="n"/>
      <c r="AR34" s="509">
        <f t="array" ref="AR34:AR34">IF($B34="","",_xll.snl.clients.office.excel.functions.spg($B34,"IQ_ROE",AR$7,$F$2,"Options:Curr="&amp;$F$3&amp;", NA=--"))</f>
        <v/>
      </c>
      <c r="AS34" s="508" t="n"/>
      <c r="AT34" s="509">
        <f t="array" ref="AT34:AT34">IF($B34="","",_xll.snl.clients.office.excel.functions.spg($B34,"IQ_BVPS",AT$7,$F$2,"Options:Curr="&amp;$F$3&amp;", NA=--"))</f>
        <v/>
      </c>
      <c r="AU34" s="508" t="n"/>
      <c r="AV34" s="509">
        <f t="array" ref="AV34:AV34">IF($B34="","",_xll.snl.clients.office.excel.functions.spg($B34,"IQ_TBVPS",AV$7,$F$2,"Options:Curr="&amp;$F$3&amp;", NA=--"))</f>
        <v/>
      </c>
      <c r="AW34" s="508" t="n"/>
      <c r="AX34" s="510">
        <f t="array" ref="AX34:AX34">IF($B34="","",_xll.snl.clients.office.excel.functions.spg($B34,"SP_DIV_YIELD",WORKDAY($F$2+1,-1),"Options: NA=--"))</f>
        <v/>
      </c>
      <c r="AY34" s="506">
        <f t="array" ref="AY34:AY34">IF($B34="","",_xll.snl.clients.office.excel.functions.spg($B34,"IQ_TOTAL_EQUITY","FQ0",$F$2,"Options:Curr="&amp;$F$3&amp;", Mag=Millions, NA=--"))</f>
        <v/>
      </c>
      <c r="AZ34" s="506">
        <f t="array" ref="AZ34:AZ34">IF($B34="","",_xll.snl.clients.office.excel.functions.spg($B34,"IQ_TOTAL_DEBT","FQ0",$F$2,"Options:Curr="&amp;$F$3&amp;", Mag=Millions, NA=--"))</f>
        <v/>
      </c>
      <c r="BA34" s="506">
        <f t="array" ref="BA34:BA34">IF($B34="","",_xll.snl.clients.office.excel.functions.spg($B34,"IQ_CASH_ST_INVEST","FQ0",$F$2,"Options:Curr="&amp;$F$3&amp;", Mag=Millions, NA=--"))</f>
        <v/>
      </c>
      <c r="BB34" s="506">
        <f>+AZ34-BA34</f>
        <v/>
      </c>
      <c r="BC34" s="506">
        <f t="array" ref="BC34:BC34">IF($B34="","",_xll.snl.clients.office.excel.functions.spg($B34,"IQ_TOTAL_EQUITY","FQ0",$F$2,"Options:Curr="&amp;$F$3&amp;", Mag=Millions, NA=--"))</f>
        <v/>
      </c>
      <c r="BD34" s="508" t="n"/>
      <c r="BE34" s="511">
        <f>IF($B34="","",IFERROR(_xll.snl.clients.office.excel.functions.spg($B34,"SP_GROSS_MARGIN",BE$7,$F$2,"Options: NA=--")/100,"--"))</f>
        <v/>
      </c>
      <c r="BF34" s="511">
        <f>IF($B34="","",IFERROR(_xll.snl.clients.office.excel.functions.spg($B34,"SP_GROSS_MARGIN_EST",BF$7,$F$2,"Options: NA=--")/100,"--"))</f>
        <v/>
      </c>
      <c r="BG34" s="511">
        <f>IF($B34="","",IFERROR(_xll.snl.clients.office.excel.functions.spg($B34,"SP_GROSS_MARGIN_EST",BG$7,$F$2,"Options: NA=--")/100,"--"))</f>
        <v/>
      </c>
      <c r="BH34" s="511">
        <f>IF($B34="","",IFERROR(_xll.snl.clients.office.excel.functions.spg($B34,"SP_GROSS_MARGIN_EST",BH$7,$F$2,"Options: NA=--")/100,"--"))</f>
        <v/>
      </c>
    </row>
    <row r="35" ht="14.25" customHeight="1" s="356">
      <c r="B35" s="486" t="inlineStr">
        <is>
          <t>ASX:SVR</t>
        </is>
      </c>
      <c r="D35" s="365">
        <f t="array" ref="D35:D35">IF($B35="","",_xll.snl.clients.office.excel.functions.spg($B35, "SP_COMPANY_NAME"))</f>
        <v/>
      </c>
      <c r="G35" s="512">
        <f t="array" ref="G35:G35">IF($B35="","",_xll.snl.clients.office.excel.functions.spg($B35,"SP_LASTSALEPRICE",WORKDAY($F$2+1,-1),"Options:Curr="&amp;I35&amp;",NA=--"))</f>
        <v/>
      </c>
      <c r="H35" s="499">
        <f t="array" ref="H35:H35">IF($B35="","",_xll.snl.clients.office.excel.functions.spg($B35,"SP_PRICE_CLOSE",WORKDAY($F$2+1,-1),"Options:Curr="&amp;$F$3&amp;", NA=--"))</f>
        <v/>
      </c>
      <c r="I35" s="500">
        <f t="array" ref="I35:I35">IF($B35="","",_xll.snl.clients.office.excel.functions.spg($B35,"SP_TRADING_CURRENCY","Options: NA=--"))</f>
        <v/>
      </c>
      <c r="J35" s="501">
        <f t="array" ref="J35:J35">IF($B35="","n/a ",_xll.snl.clients.office.excel.functions.spg($B35,"SP_MARKETCAP",WORKDAY($F$2+1,-1),"Options:Curr="&amp;$F$3&amp;", Mag=Millions, NA=--"))</f>
        <v/>
      </c>
      <c r="K35" s="501">
        <f t="array" ref="K35:K35">IF($B35="","n/a ",_xll.snl.clients.office.excel.functions.spg($B35,"IQ_TEV",WORKDAY($F$2+1,-1),"Options:Curr="&amp;$F$3&amp;", Mag=Millions, NA=--"))</f>
        <v/>
      </c>
      <c r="L35" s="502">
        <f>IFERROR(IF(OR($K35/AC35&gt;L$4,$K35/AC35&lt;L$3),"nmf ",$K35/AC35),"n/a ")</f>
        <v/>
      </c>
      <c r="M35" s="502">
        <f>IFERROR(IF(OR($K35/AD35&gt;M$4,$K35/AD35&lt;M$3),"nmf ",$K35/AD35),"n/a ")</f>
        <v/>
      </c>
      <c r="N35" s="502">
        <f>IFERROR(IF(OR($K35/AE35&gt;N$4,$K35/AE35&lt;N$3),"nmf ",$K35/AE35),"n/a ")</f>
        <v/>
      </c>
      <c r="O35" s="502">
        <f>IFERROR(IF(OR($K35/AH35&gt;O$4,$K35/AH35&lt;O$3),"nmf ",$K35/AH35),"n/a ")</f>
        <v/>
      </c>
      <c r="P35" s="502">
        <f>IFERROR(IF(OR($K35/AI35&gt;P$4,$K35/AI35&lt;P$3),"nmf ",$K35/AI35),"n/a ")</f>
        <v/>
      </c>
      <c r="Q35" s="502">
        <f>IFERROR(IF(OR($K35/AJ35&gt;Q$4,$K35/AJ35&lt;Q$3),"nmf ",$K35/AJ35),"n/a ")</f>
        <v/>
      </c>
      <c r="R35" s="503">
        <f>IFERROR((AE35/AD35)-1,"n/a ")</f>
        <v/>
      </c>
      <c r="S35" s="503">
        <f>IFERROR((AF35/AE35)-1,"n/a ")</f>
        <v/>
      </c>
      <c r="T35" s="503" t="n"/>
      <c r="U35" s="502">
        <f>IFERROR($H35/AM35,"n/a ")</f>
        <v/>
      </c>
      <c r="V35" s="502">
        <f>IFERROR($H35/AO35,"n/a ")</f>
        <v/>
      </c>
      <c r="W35" s="502">
        <f>IFERROR($H35/AP35,"n/a ")</f>
        <v/>
      </c>
      <c r="X35" s="504">
        <f>IFERROR(AR35/100,"n/a ")</f>
        <v/>
      </c>
      <c r="Y35" s="502">
        <f>IFERROR(H35/AT35,"n/a ")</f>
        <v/>
      </c>
      <c r="Z35" s="502">
        <f>IFERROR(H35/AV35,"n/a ")</f>
        <v/>
      </c>
      <c r="AA35" s="505" t="inlineStr">
        <is>
          <t>Non-prime auto &amp; personal loans</t>
        </is>
      </c>
      <c r="AC35" s="506">
        <f t="array" ref="AC35:AC35">IF($B35="","",_xll.snl.clients.office.excel.functions.spg($B35,"IQ_REV",AC$7,$F$2,"Options:Curr="&amp;$F$3&amp;", Mag=Millions, NA=--"))</f>
        <v/>
      </c>
      <c r="AD35" s="506">
        <f t="array" ref="AD35:AD35">IF($B35="","",_xll.snl.clients.office.excel.functions.spg($B35,"SP_REV_EST",AD$7,$F$2,"Options:Curr="&amp;$F$3&amp;", Mag=Millions, NA=--"))</f>
        <v/>
      </c>
      <c r="AE35" s="506">
        <f t="array" ref="AE35:AE35">IF($B35="","",_xll.snl.clients.office.excel.functions.spg($B35,"SP_REV_EST",AE$7,$F$2,"Options:Curr="&amp;$F$3&amp;", Mag=Millions, NA=--"))</f>
        <v/>
      </c>
      <c r="AF35" s="506">
        <f t="array" ref="AF35:AF35">IF($B35="","",_xll.snl.clients.office.excel.functions.spg($B35,"SP_REV_EST",AF$7,$F$2,"Options:Curr="&amp;$F$3&amp;", Mag=Millions, NA=--"))</f>
        <v/>
      </c>
      <c r="AG35" s="507" t="n"/>
      <c r="AH35" s="506">
        <f t="array" ref="AH35:AH35">IF($B35="","",_xll.snl.clients.office.excel.functions.spg($B35,"SP_EBITDA",AH$7,$F$2,"Options:Curr="&amp;$F$3&amp;", Mag=Millions, NA=--"))</f>
        <v/>
      </c>
      <c r="AI35" s="506">
        <f t="array" ref="AI35:AI35">IF($B35="","",_xll.snl.clients.office.excel.functions.spg($B35,"SP_EBITDA_EST",AI$7,$F$2,"Options:Curr="&amp;$F$3&amp;", Mag=Millions, NA=--"))</f>
        <v/>
      </c>
      <c r="AJ35" s="506">
        <f t="array" ref="AJ35:AJ35">IF($B35="","",_xll.snl.clients.office.excel.functions.spg($B35,"SP_EBITDA_EST",AJ$7,$F$2,"Options:Curr="&amp;$F$3&amp;", Mag=Millions, NA=--"))</f>
        <v/>
      </c>
      <c r="AK35" s="506">
        <f t="array" ref="AK35:AK35">IF($B35="","",_xll.snl.clients.office.excel.functions.spg($B35,"SP_EBITDA_EST",AK$7,$F$2,"Options:Curr="&amp;$F$3&amp;", Mag=Millions, NA=--"))</f>
        <v/>
      </c>
      <c r="AL35" s="508" t="n"/>
      <c r="AM35" s="509">
        <f t="array" ref="AM35:AM35">IF($B35="","",_xll.snl.clients.office.excel.functions.spg($B35,"IQ_BASIC_EPS_BEFORE_EXTRA",AM$7,$F$2,"Options:Curr="&amp;$F$3&amp;", NA=--"))</f>
        <v/>
      </c>
      <c r="AN35" s="509">
        <f t="array" ref="AN35:AN35">IF($B35="","",_xll.snl.clients.office.excel.functions.spg($B35,"SP_EPS_EST",AN$7,$F$2,"Options:Curr="&amp;$F$3&amp;", NA=--"))</f>
        <v/>
      </c>
      <c r="AO35" s="509">
        <f t="array" ref="AO35:AO35">IF($B35="","",_xll.snl.clients.office.excel.functions.spg($B35,"SP_EPS_EST",AO$7,$F$2,"Options:Curr="&amp;$F$3&amp;", NA=--"))</f>
        <v/>
      </c>
      <c r="AP35" s="509">
        <f t="array" ref="AP35:AP35">IF($B35="","",_xll.snl.clients.office.excel.functions.spg($B35,"SP_EPS_EST",AP$7,$F$2,"Options:Curr="&amp;$F$3&amp;", NA=--"))</f>
        <v/>
      </c>
      <c r="AQ35" s="508" t="n"/>
      <c r="AR35" s="509">
        <f t="array" ref="AR35:AR35">IF($B35="","",_xll.snl.clients.office.excel.functions.spg($B35,"IQ_ROE",AR$7,$F$2,"Options:Curr="&amp;$F$3&amp;", NA=--"))</f>
        <v/>
      </c>
      <c r="AS35" s="508" t="n"/>
      <c r="AT35" s="509">
        <f t="array" ref="AT35:AT35">IF($B35="","",_xll.snl.clients.office.excel.functions.spg($B35,"IQ_BVPS",AT$7,$F$2,"Options:Curr="&amp;$F$3&amp;", NA=--"))</f>
        <v/>
      </c>
      <c r="AU35" s="508" t="n"/>
      <c r="AV35" s="509">
        <f t="array" ref="AV35:AV35">IF($B35="","",_xll.snl.clients.office.excel.functions.spg($B35,"IQ_TBVPS",AV$7,$F$2,"Options:Curr="&amp;$F$3&amp;", NA=--"))</f>
        <v/>
      </c>
      <c r="AW35" s="508" t="n"/>
      <c r="AX35" s="510">
        <f t="array" ref="AX35:AX35">IF($B35="","",_xll.snl.clients.office.excel.functions.spg($B35,"SP_DIV_YIELD",WORKDAY($F$2+1,-1),"Options: NA=--"))</f>
        <v/>
      </c>
      <c r="AY35" s="506">
        <f t="array" ref="AY35:AY35">IF($B35="","",_xll.snl.clients.office.excel.functions.spg($B35,"IQ_TOTAL_EQUITY","FQ0",$F$2,"Options:Curr="&amp;$F$3&amp;", Mag=Millions, NA=--"))</f>
        <v/>
      </c>
      <c r="AZ35" s="506">
        <f t="array" ref="AZ35:AZ35">IF($B35="","",_xll.snl.clients.office.excel.functions.spg($B35,"IQ_TOTAL_DEBT","FQ0",$F$2,"Options:Curr="&amp;$F$3&amp;", Mag=Millions, NA=--"))</f>
        <v/>
      </c>
      <c r="BA35" s="506">
        <f t="array" ref="BA35:BA35">IF($B35="","",_xll.snl.clients.office.excel.functions.spg($B35,"IQ_CASH_ST_INVEST","FQ0",$F$2,"Options:Curr="&amp;$F$3&amp;", Mag=Millions, NA=--"))</f>
        <v/>
      </c>
      <c r="BB35" s="506">
        <f>+AZ35-BA35</f>
        <v/>
      </c>
      <c r="BC35" s="506">
        <f t="array" ref="BC35:BC35">IF($B35="","",_xll.snl.clients.office.excel.functions.spg($B35,"IQ_TOTAL_EQUITY","FQ0",$F$2,"Options:Curr="&amp;$F$3&amp;", Mag=Millions, NA=--"))</f>
        <v/>
      </c>
      <c r="BD35" s="508" t="n"/>
      <c r="BE35" s="511">
        <f>IF($B35="","",IFERROR(_xll.snl.clients.office.excel.functions.spg($B35,"SP_GROSS_MARGIN",BE$7,$F$2,"Options: NA=--")/100,"--"))</f>
        <v/>
      </c>
      <c r="BF35" s="511">
        <f>IF($B35="","",IFERROR(_xll.snl.clients.office.excel.functions.spg($B35,"SP_GROSS_MARGIN_EST",BF$7,$F$2,"Options: NA=--")/100,"--"))</f>
        <v/>
      </c>
      <c r="BG35" s="511">
        <f>IF($B35="","",IFERROR(_xll.snl.clients.office.excel.functions.spg($B35,"SP_GROSS_MARGIN_EST",BG$7,$F$2,"Options: NA=--")/100,"--"))</f>
        <v/>
      </c>
      <c r="BH35" s="511">
        <f>IF($B35="","",IFERROR(_xll.snl.clients.office.excel.functions.spg($B35,"SP_GROSS_MARGIN_EST",BH$7,$F$2,"Options: NA=--")/100,"--"))</f>
        <v/>
      </c>
    </row>
    <row r="36" ht="3" customHeight="1" s="356">
      <c r="B36" s="513" t="n"/>
      <c r="G36" s="514" t="n"/>
      <c r="H36" s="514" t="n"/>
      <c r="I36" s="500" t="n"/>
      <c r="J36" s="515" t="n"/>
      <c r="K36" s="515" t="n"/>
      <c r="L36" s="515" t="n"/>
      <c r="M36" s="502" t="n"/>
      <c r="N36" s="502" t="n"/>
      <c r="O36" s="502" t="n"/>
      <c r="P36" s="502" t="n"/>
      <c r="Q36" s="502" t="n"/>
      <c r="R36" s="516" t="n"/>
      <c r="S36" s="516" t="n"/>
      <c r="T36" s="516" t="n"/>
      <c r="U36" s="502" t="n"/>
      <c r="V36" s="502" t="n"/>
      <c r="W36" s="502" t="n"/>
      <c r="X36" s="502" t="n"/>
      <c r="Y36" s="502" t="n"/>
      <c r="Z36" s="502" t="n"/>
      <c r="AA36" s="516" t="n"/>
      <c r="AC36" s="531" t="n"/>
      <c r="AD36" s="499" t="n"/>
      <c r="AE36" s="499" t="n"/>
      <c r="AF36" s="499" t="n"/>
      <c r="AI36" s="435" t="n"/>
      <c r="AJ36" s="435" t="n"/>
      <c r="AK36" s="435" t="n"/>
      <c r="AM36" s="499" t="n"/>
      <c r="AN36" s="499" t="n"/>
      <c r="AO36" s="499" t="n"/>
      <c r="AP36" s="499" t="n"/>
      <c r="AX36" s="531" t="n"/>
      <c r="AY36" s="531" t="n"/>
      <c r="AZ36" s="531" t="n"/>
      <c r="BA36" s="531" t="n"/>
      <c r="BB36" s="531" t="n"/>
      <c r="BC36" s="531" t="n"/>
      <c r="BF36" s="532" t="n"/>
      <c r="BG36" s="532" t="n"/>
      <c r="BH36" s="532" t="n"/>
    </row>
    <row r="37" ht="14.25" customHeight="1" s="356">
      <c r="B37" s="530" t="n"/>
      <c r="D37" s="520" t="inlineStr">
        <is>
          <t>Group Average</t>
        </is>
      </c>
      <c r="E37" s="520" t="n"/>
      <c r="F37" s="520" t="n"/>
      <c r="G37" s="520" t="n"/>
      <c r="H37" s="520" t="n"/>
      <c r="I37" s="520" t="n"/>
      <c r="J37" s="522" t="n"/>
      <c r="K37" s="522" t="n"/>
      <c r="L37" s="523">
        <f>IFERROR(AVERAGE(L30:L35),"n/a ")</f>
        <v/>
      </c>
      <c r="M37" s="523">
        <f>IFERROR(AVERAGE(M30:M35),"n/a ")</f>
        <v/>
      </c>
      <c r="N37" s="524">
        <f>IFERROR(AVERAGE(N30:N35),"n/a ")</f>
        <v/>
      </c>
      <c r="O37" s="524">
        <f>IFERROR(AVERAGE(O30:O35),"n/a ")</f>
        <v/>
      </c>
      <c r="P37" s="524">
        <f>IFERROR(AVERAGE(P30:P35),"n/a ")</f>
        <v/>
      </c>
      <c r="Q37" s="524">
        <f>IFERROR(AVERAGE(Q30:Q35),"n/a ")</f>
        <v/>
      </c>
      <c r="R37" s="525">
        <f>IFERROR(AVERAGE(R30:R35),"n/a ")</f>
        <v/>
      </c>
      <c r="S37" s="525">
        <f>IFERROR(AVERAGE(S30:S35),"n/a ")</f>
        <v/>
      </c>
      <c r="T37" s="525" t="n"/>
      <c r="U37" s="524">
        <f>IFERROR(AVERAGE(U30:U35),"n/a ")</f>
        <v/>
      </c>
      <c r="V37" s="524">
        <f>IFERROR(AVERAGE(V30:V35),"n/a ")</f>
        <v/>
      </c>
      <c r="W37" s="524">
        <f>IFERROR(AVERAGE(W30:W35),"n/a ")</f>
        <v/>
      </c>
      <c r="X37" s="526">
        <f>IFERROR(AVERAGE(X30:X35),"n/a ")</f>
        <v/>
      </c>
      <c r="Y37" s="523">
        <f>IFERROR(AVERAGE(Y30:Y35),"n/a ")</f>
        <v/>
      </c>
      <c r="Z37" s="523">
        <f>IFERROR(AVERAGE(Z30:Z35),"n/a ")</f>
        <v/>
      </c>
      <c r="AA37" s="525" t="n"/>
      <c r="BF37" s="532" t="n"/>
      <c r="BG37" s="532" t="n"/>
      <c r="BH37" s="532" t="n"/>
    </row>
    <row r="38" ht="3" customHeight="1" s="356">
      <c r="B38" s="530" t="n"/>
      <c r="D38" s="533" t="n"/>
      <c r="E38" s="533" t="n"/>
      <c r="F38" s="533" t="n"/>
      <c r="G38" s="533" t="n"/>
      <c r="H38" s="533" t="n"/>
      <c r="I38" s="533" t="n"/>
      <c r="J38" s="534" t="n"/>
      <c r="K38" s="534" t="n"/>
      <c r="L38" s="533" t="n"/>
      <c r="M38" s="533" t="n"/>
      <c r="N38" s="533" t="n"/>
      <c r="O38" s="533" t="n"/>
      <c r="P38" s="533" t="n"/>
      <c r="Q38" s="533" t="n"/>
      <c r="R38" s="533" t="n"/>
      <c r="S38" s="533" t="n"/>
      <c r="T38" s="533" t="n"/>
      <c r="U38" s="533" t="n"/>
      <c r="V38" s="533" t="n"/>
      <c r="W38" s="533" t="n"/>
      <c r="X38" s="533" t="n"/>
      <c r="Y38" s="533" t="n"/>
      <c r="Z38" s="533" t="n"/>
      <c r="AA38" s="533" t="n"/>
      <c r="BF38" s="532" t="n"/>
      <c r="BG38" s="532" t="n"/>
      <c r="BH38" s="532" t="n"/>
    </row>
    <row r="39" ht="14.25" customHeight="1" s="356">
      <c r="B39" s="535" t="n"/>
      <c r="D39" s="536" t="inlineStr">
        <is>
          <t>Global Average</t>
        </is>
      </c>
      <c r="E39" s="536" t="n"/>
      <c r="F39" s="536" t="n"/>
      <c r="G39" s="536" t="n"/>
      <c r="H39" s="536" t="n"/>
      <c r="I39" s="536" t="n"/>
      <c r="J39" s="536" t="n"/>
      <c r="K39" s="536" t="n"/>
      <c r="L39" s="537">
        <f>IFERROR(AVERAGE(L10:L15,L20:L25,L30:L35),"n/a ")</f>
        <v/>
      </c>
      <c r="M39" s="537">
        <f>IFERROR(AVERAGE(M10:M15,M20:M25,M30:M35),"n/a ")</f>
        <v/>
      </c>
      <c r="N39" s="537">
        <f>IFERROR(AVERAGE(N10:N15,N20:N25,N30:N35),"n/a ")</f>
        <v/>
      </c>
      <c r="O39" s="537">
        <f>IFERROR(AVERAGE(O10:O15,O20:O25,O30:O35),"n/a ")</f>
        <v/>
      </c>
      <c r="P39" s="537">
        <f>IFERROR(AVERAGE(P10:P15,P20:P25,P30:P35),"n/a ")</f>
        <v/>
      </c>
      <c r="Q39" s="537">
        <f>IFERROR(AVERAGE(Q10:Q15,Q20:Q25,Q30:Q35),"n/a ")</f>
        <v/>
      </c>
      <c r="R39" s="538">
        <f>IFERROR(AVERAGE(R10:R15,R20:R25,R30:R35),"n/a ")</f>
        <v/>
      </c>
      <c r="S39" s="538">
        <f>IFERROR(AVERAGE(S10:S15,S20:S25,S30:S35),"n/a ")</f>
        <v/>
      </c>
      <c r="T39" s="538" t="n"/>
      <c r="U39" s="537">
        <f>IFERROR(AVERAGE(U10:U15,U20:U25,U30:U35),"n/a ")</f>
        <v/>
      </c>
      <c r="V39" s="537">
        <f>IFERROR(AVERAGE(V10:V15,V20:V25,V30:V35),"n/a ")</f>
        <v/>
      </c>
      <c r="W39" s="537">
        <f>IFERROR(AVERAGE(W10:W15,W20:W25,W30:W35),"n/a ")</f>
        <v/>
      </c>
      <c r="X39" s="537">
        <f>IFERROR(AVERAGE(X10:X15,X20:X25,X30:X35),"n/a ")</f>
        <v/>
      </c>
      <c r="Y39" s="537">
        <f>IFERROR(AVERAGE(Y10:Y15,Y20:Y25,Y30:Y35),"n/a ")</f>
        <v/>
      </c>
      <c r="Z39" s="537">
        <f>IFERROR(AVERAGE(Z10:Z15,Z20:Z25,Z30:Z35),"n/a ")</f>
        <v/>
      </c>
      <c r="AA39" s="539" t="n"/>
      <c r="BF39" s="540" t="n"/>
      <c r="BG39" s="540" t="n"/>
      <c r="BH39" s="540" t="n"/>
    </row>
    <row r="40" hidden="1" ht="14.25" customHeight="1" s="356">
      <c r="B40" s="535" t="n"/>
      <c r="D40" s="541" t="inlineStr">
        <is>
          <t>Global Average (Excl. High / Low)</t>
        </is>
      </c>
      <c r="E40" s="541" t="n"/>
      <c r="F40" s="541" t="n"/>
      <c r="G40" s="541" t="n"/>
      <c r="H40" s="541" t="n"/>
      <c r="I40" s="541" t="n"/>
      <c r="J40" s="541" t="n"/>
      <c r="K40" s="541" t="n"/>
      <c r="L40" s="542">
        <f>+IFERROR((SUM(L20:L25,L10:L15)-MAX(L10:L15,L20:L25)-MIN(L10:L15,L20:L25))/(COUNT(L20:L25,L10:L15)-2),"n/a ")</f>
        <v/>
      </c>
      <c r="M40" s="542">
        <f>+IFERROR((SUM(M20:M25,M10:M15)-MAX(M10:M15,M20:M25)-MIN(M10:M15,M20:M25))/(COUNT(M20:M25,M10:M15)-2),"n/a ")</f>
        <v/>
      </c>
      <c r="N40" s="542">
        <f>+IFERROR((SUM(N20:N25,N10:N15)-MAX(N10:N15,N20:N25)-MIN(N10:N15,N20:N25))/(COUNT(N20:N25,N10:N15)-2),"n/a ")</f>
        <v/>
      </c>
      <c r="O40" s="542">
        <f>+IFERROR((SUM(O20:O25,O10:O15)-MAX(O10:O15,O20:O25)-MIN(O10:O15,O20:O25))/(COUNT(O20:O25,O10:O15)-2),"n/a ")</f>
        <v/>
      </c>
      <c r="P40" s="542">
        <f>+IFERROR((SUM(P20:P25,P10:P15)-MAX(P10:P15,P20:P25)-MIN(P10:P15,P20:P25))/(COUNT(P20:P25,P10:P15)-2),"n/a ")</f>
        <v/>
      </c>
      <c r="Q40" s="542">
        <f>+IFERROR((SUM(Q20:Q25,Q10:Q15)-MAX(Q10:Q15,Q20:Q25)-MIN(Q10:Q15,Q20:Q25))/(COUNT(Q20:Q25,Q10:Q15)-2),"n/a ")</f>
        <v/>
      </c>
      <c r="R40" s="543">
        <f>+IFERROR((SUM(R20:R25,R10:R15)-MAX(R10:R15,R20:R25)-MIN(R10:R15,R20:R25))/(COUNT(R20:R25,R10:R15)-2),"n/a ")</f>
        <v/>
      </c>
      <c r="S40" s="543">
        <f>+IFERROR((SUM(S20:S25,S10:S15)-MAX(S10:S15,S20:S25)-MIN(S10:S15,S20:S25))/(COUNT(S20:S25,S10:S15)-2),"n/a ")</f>
        <v/>
      </c>
      <c r="T40" s="543" t="n"/>
      <c r="U40" s="542">
        <f>+IFERROR((SUM(U20:U25,U10:U15)-MAX(U10:U15,U20:U25)-MIN(U10:U15,U20:U25))/(COUNT(U20:U25,U10:U15)-2),"n/a ")</f>
        <v/>
      </c>
      <c r="V40" s="542">
        <f>+IFERROR((SUM(V20:V25,V10:V15)-MAX(V10:V15,V20:V25)-MIN(V10:V15,V20:V25))/(COUNT(V20:V25,V10:V15)-2),"n/a ")</f>
        <v/>
      </c>
      <c r="W40" s="542">
        <f>+IFERROR((SUM(W20:W25,W10:W15)-MAX(W10:W15,W20:W25)-MIN(W10:W15,W20:W25))/(COUNT(W20:W25,W10:W15)-2),"n/a ")</f>
        <v/>
      </c>
      <c r="X40" s="542">
        <f>+IFERROR((SUM(X20:X25,X10:X15)-MAX(X10:X15,X20:X25)-MIN(X10:X15,X20:X25))/(COUNT(X20:X25,X10:X15)-2),"n/a ")</f>
        <v/>
      </c>
      <c r="Y40" s="542">
        <f>+IFERROR((SUM(Y20:Y25,Y10:Y15)-MAX(Y10:Y15,Y20:Y25)-MIN(Y10:Y15,Y20:Y25))/(COUNT(Y20:Y25,Y10:Y15)-2),"n/a ")</f>
        <v/>
      </c>
      <c r="Z40" s="542">
        <f>+IFERROR((SUM(Z20:Z25,Z10:Z15)-MAX(Z10:Z15,Z20:Z25)-MIN(Z10:Z15,Z20:Z25))/(COUNT(Z20:Z25,Z10:Z15)-2),"n/a ")</f>
        <v/>
      </c>
      <c r="AA40" s="544" t="n"/>
      <c r="BF40" s="540" t="n"/>
      <c r="BG40" s="540" t="n"/>
      <c r="BH40" s="540" t="n"/>
    </row>
    <row r="41" ht="14.25" customHeight="1" s="356">
      <c r="B41" s="535" t="n"/>
      <c r="D41" s="545" t="inlineStr">
        <is>
          <t>Global Median</t>
        </is>
      </c>
      <c r="E41" s="545" t="n"/>
      <c r="F41" s="545" t="n"/>
      <c r="G41" s="545" t="n"/>
      <c r="H41" s="545" t="n"/>
      <c r="I41" s="545" t="n"/>
      <c r="J41" s="545" t="n"/>
      <c r="K41" s="545" t="n"/>
      <c r="L41" s="546">
        <f>IFERROR(MEDIAN(L20:L25,L10:L15,L30:L35),"n/a ")</f>
        <v/>
      </c>
      <c r="M41" s="546">
        <f>IFERROR(MEDIAN(M20:M25,M10:M15,M30:M35),"n/a ")</f>
        <v/>
      </c>
      <c r="N41" s="546">
        <f>IFERROR(MEDIAN(N20:N25,N10:N15,N30:N35),"n/a ")</f>
        <v/>
      </c>
      <c r="O41" s="546">
        <f>IFERROR(MEDIAN(O20:O25,O10:O15,O30:O35),"n/a ")</f>
        <v/>
      </c>
      <c r="P41" s="546">
        <f>IFERROR(MEDIAN(P20:P25,P10:P15,P30:P35),"n/a ")</f>
        <v/>
      </c>
      <c r="Q41" s="546">
        <f>IFERROR(MEDIAN(Q20:Q25,Q10:Q15,Q30:Q35),"n/a ")</f>
        <v/>
      </c>
      <c r="R41" s="547">
        <f>IFERROR(MEDIAN(R20:R25,R10:R15,R30:R35),"n/a ")</f>
        <v/>
      </c>
      <c r="S41" s="547">
        <f>IFERROR(MEDIAN(S20:S25,S10:S15,S30:S35),"n/a ")</f>
        <v/>
      </c>
      <c r="T41" s="547" t="n"/>
      <c r="U41" s="546">
        <f>IFERROR(MEDIAN(U20:U25,U10:U15,U30:U35),"n/a ")</f>
        <v/>
      </c>
      <c r="V41" s="546">
        <f>IFERROR(MEDIAN(V20:V25,V10:V15,V30:V35),"n/a ")</f>
        <v/>
      </c>
      <c r="W41" s="546">
        <f>IFERROR(MEDIAN(W20:W25,W10:W15,W30:W35),"n/a ")</f>
        <v/>
      </c>
      <c r="X41" s="546">
        <f>IFERROR(MEDIAN(X20:X25,X10:X15,X30:X35),"n/a ")</f>
        <v/>
      </c>
      <c r="Y41" s="546">
        <f>IFERROR(MEDIAN(Y20:Y25,Y10:Y15,Y30:Y35),"n/a ")</f>
        <v/>
      </c>
      <c r="Z41" s="546">
        <f>IFERROR(MEDIAN(Z20:Z25,Z10:Z15,Z30:Z35),"n/a ")</f>
        <v/>
      </c>
      <c r="AA41" s="548" t="n"/>
      <c r="BF41" s="540" t="n"/>
      <c r="BG41" s="540" t="n"/>
      <c r="BH41" s="540" t="n"/>
    </row>
    <row r="42" ht="3" customHeight="1" s="356">
      <c r="B42" s="530" t="n"/>
      <c r="J42" s="528" t="n"/>
      <c r="K42" s="528" t="n"/>
      <c r="L42" s="528" t="n"/>
      <c r="BF42" s="532" t="n"/>
      <c r="BG42" s="532" t="n"/>
      <c r="BH42" s="532" t="n"/>
    </row>
    <row r="43" ht="14.25" customHeight="1" s="356">
      <c r="D43" s="549" t="inlineStr">
        <is>
          <t>25th Percentile</t>
        </is>
      </c>
      <c r="E43" s="550" t="n"/>
      <c r="F43" s="551" t="n"/>
      <c r="G43" s="551" t="n"/>
      <c r="H43" s="551" t="n"/>
      <c r="I43" s="551" t="n"/>
      <c r="J43" s="551" t="n"/>
      <c r="K43" s="551" t="n"/>
      <c r="L43" s="551">
        <f>_xlfn.PERCENTILE.INC((L10:L15,L20:L25,L30:L35),0.25)</f>
        <v/>
      </c>
      <c r="M43" s="551">
        <f>_xlfn.PERCENTILE.INC((M10:M15,M20:M25,M30:M35),0.25)</f>
        <v/>
      </c>
      <c r="N43" s="551">
        <f>_xlfn.PERCENTILE.INC((N10:N15,N20:N25,N30:N35),0.25)</f>
        <v/>
      </c>
      <c r="O43" s="551">
        <f>_xlfn.PERCENTILE.INC((O10:O15,O20:O25,O30:O35),0.25)</f>
        <v/>
      </c>
      <c r="P43" s="551">
        <f>_xlfn.PERCENTILE.INC((P10:P15,P20:P25,P30:P35),0.25)</f>
        <v/>
      </c>
      <c r="Q43" s="551">
        <f>_xlfn.PERCENTILE.INC((Q10:Q15,Q20:Q25,Q30:Q35),0.25)</f>
        <v/>
      </c>
      <c r="R43" s="552">
        <f>_xlfn.PERCENTILE.INC((R10:R15,R20:R25,R30:R35),0.25)</f>
        <v/>
      </c>
      <c r="S43" s="552">
        <f>_xlfn.PERCENTILE.INC((S10:S15,S20:S25,S30:S35),0.25)</f>
        <v/>
      </c>
      <c r="T43" s="551" t="n"/>
      <c r="U43" s="551">
        <f>_xlfn.PERCENTILE.INC((U10:U15,U20:U25,U30:U35),0.25)</f>
        <v/>
      </c>
      <c r="V43" s="551">
        <f>_xlfn.PERCENTILE.INC((V10:V15,V20:V25,V30:V35),0.25)</f>
        <v/>
      </c>
      <c r="W43" s="551">
        <f>_xlfn.PERCENTILE.INC((W10:W15,W20:W25,W30:W35),0.25)</f>
        <v/>
      </c>
      <c r="X43" s="552">
        <f>_xlfn.PERCENTILE.INC((X10:X15,X20:X25,X30:X35),0.25)</f>
        <v/>
      </c>
      <c r="Y43" s="551">
        <f>_xlfn.PERCENTILE.INC((Y10:Y15,Y20:Y25,Y30:Y35),0.25)</f>
        <v/>
      </c>
      <c r="Z43" s="551">
        <f>_xlfn.PERCENTILE.INC((Z10:Z15,Z20:Z25,Z30:Z35),0.25)</f>
        <v/>
      </c>
      <c r="AA43" s="551" t="n"/>
    </row>
    <row r="44" ht="14.25" customHeight="1" s="356">
      <c r="D44" s="549" t="inlineStr">
        <is>
          <t>75th Percentile</t>
        </is>
      </c>
      <c r="E44" s="550" t="n"/>
      <c r="F44" s="551" t="n"/>
      <c r="G44" s="551" t="n"/>
      <c r="H44" s="551" t="n"/>
      <c r="I44" s="551" t="n"/>
      <c r="J44" s="551" t="n"/>
      <c r="K44" s="551" t="n"/>
      <c r="L44" s="551">
        <f>_xlfn.PERCENTILE.INC((L10:L15,L20:L25,L30:L35),0.75)</f>
        <v/>
      </c>
      <c r="M44" s="551">
        <f>_xlfn.PERCENTILE.INC((M10:M15,M20:M25,M30:M35),0.75)</f>
        <v/>
      </c>
      <c r="N44" s="551">
        <f>_xlfn.PERCENTILE.INC((N10:N15,N20:N25,N30:N35),0.75)</f>
        <v/>
      </c>
      <c r="O44" s="551">
        <f>_xlfn.PERCENTILE.INC((O10:O15,O20:O25,O30:O35),0.75)</f>
        <v/>
      </c>
      <c r="P44" s="551">
        <f>_xlfn.PERCENTILE.INC((P10:P15,P20:P25,P30:P35),0.75)</f>
        <v/>
      </c>
      <c r="Q44" s="551">
        <f>_xlfn.PERCENTILE.INC((Q10:Q15,Q20:Q25,Q30:Q35),0.75)</f>
        <v/>
      </c>
      <c r="R44" s="552">
        <f>_xlfn.PERCENTILE.INC((R10:R15,R20:R25,R30:R35),0.75)</f>
        <v/>
      </c>
      <c r="S44" s="552">
        <f>_xlfn.PERCENTILE.INC((S10:S15,S20:S25,S30:S35),0.75)</f>
        <v/>
      </c>
      <c r="T44" s="551" t="n"/>
      <c r="U44" s="551">
        <f>_xlfn.PERCENTILE.INC((U10:U15,U20:U25,U30:U35),0.75)</f>
        <v/>
      </c>
      <c r="V44" s="551">
        <f>_xlfn.PERCENTILE.INC((V10:V15,V20:V25,V30:V35),0.75)</f>
        <v/>
      </c>
      <c r="W44" s="551">
        <f>_xlfn.PERCENTILE.INC((W10:W15,W20:W25,W30:W35),0.75)</f>
        <v/>
      </c>
      <c r="X44" s="552">
        <f>_xlfn.PERCENTILE.INC((X10:X15,X20:X25,X30:X35),0.75)</f>
        <v/>
      </c>
      <c r="Y44" s="551">
        <f>_xlfn.PERCENTILE.INC((Y10:Y15,Y20:Y25,Y30:Y35),0.75)</f>
        <v/>
      </c>
      <c r="Z44" s="551">
        <f>_xlfn.PERCENTILE.INC((Z10:Z15,Z20:Z25,Z30:Z35),0.75)</f>
        <v/>
      </c>
      <c r="AA44" s="551" t="n"/>
    </row>
  </sheetData>
  <mergeCells count="10">
    <mergeCell ref="L6:N6"/>
    <mergeCell ref="U6:W6"/>
    <mergeCell ref="O6:Q6"/>
    <mergeCell ref="R6:S6"/>
    <mergeCell ref="AC6:AF6"/>
    <mergeCell ref="BE6:BH6"/>
    <mergeCell ref="AH6:AK6"/>
    <mergeCell ref="L2:N2"/>
    <mergeCell ref="AM6:AP6"/>
    <mergeCell ref="O2:Q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355" min="1" max="1"/>
    <col width="13" customWidth="1" style="355" min="2" max="7"/>
    <col width="10" customWidth="1" style="355" min="8" max="8"/>
  </cols>
  <sheetData>
    <row r="1" ht="17.35" customHeight="1" s="356">
      <c r="A1" s="553" t="inlineStr">
        <is>
          <t>Propel Holdings Inc. — Financial Summary</t>
        </is>
      </c>
    </row>
    <row r="2" ht="15" customHeight="1" s="356">
      <c r="A2" s="554" t="inlineStr">
        <is>
          <t>Figures in US$MM unless noted</t>
        </is>
      </c>
    </row>
    <row r="3" ht="15" customHeight="1" s="356">
      <c r="A3" s="554" t="inlineStr">
        <is>
          <t>FY = fiscal year (Dec 31 year-end); LTM = trailing twelve months as of Q1 2026 (March 31, 2026)</t>
        </is>
      </c>
    </row>
    <row r="5" ht="15" customHeight="1" s="356">
      <c r="A5" s="555" t="inlineStr">
        <is>
          <t>Metric</t>
        </is>
      </c>
      <c r="B5" s="556" t="inlineStr">
        <is>
          <t>FY2021</t>
        </is>
      </c>
      <c r="C5" s="556" t="inlineStr">
        <is>
          <t>FY2022</t>
        </is>
      </c>
      <c r="D5" s="556" t="inlineStr">
        <is>
          <t>FY2023</t>
        </is>
      </c>
      <c r="E5" s="556" t="inlineStr">
        <is>
          <t>FY2024</t>
        </is>
      </c>
      <c r="F5" s="556" t="inlineStr">
        <is>
          <t>FY2025</t>
        </is>
      </c>
      <c r="G5" s="556" t="inlineStr">
        <is>
          <t>LTM</t>
        </is>
      </c>
      <c r="H5" s="556" t="inlineStr">
        <is>
          <t>Units</t>
        </is>
      </c>
    </row>
    <row r="6" ht="15" customHeight="1" s="356">
      <c r="A6" s="557" t="inlineStr">
        <is>
          <t>Revenue</t>
        </is>
      </c>
      <c r="B6" s="558" t="n">
        <v>129.649121</v>
      </c>
      <c r="C6" s="558" t="n">
        <v>226.850634</v>
      </c>
      <c r="D6" s="558" t="n">
        <v>316.488175</v>
      </c>
      <c r="E6" s="558" t="n">
        <v>449.730785</v>
      </c>
      <c r="F6" s="558" t="n">
        <v>589.807759</v>
      </c>
      <c r="G6" s="559">
        <f>INDEX('ltm-metrics'!$B:$B, MATCH("(=) LTM Revenue", 'ltm-metrics'!$A:$A, 0))</f>
        <v/>
      </c>
      <c r="H6" s="560" t="inlineStr">
        <is>
          <t>US$MM</t>
        </is>
      </c>
    </row>
    <row r="7" ht="15" customHeight="1" s="356">
      <c r="A7" s="557" t="inlineStr">
        <is>
          <t>Adjusted EBITDA</t>
        </is>
      </c>
      <c r="B7" s="558" t="n">
        <v>25.372245</v>
      </c>
      <c r="C7" s="558" t="n">
        <v>40.832923</v>
      </c>
      <c r="D7" s="558" t="n">
        <v>76.305802</v>
      </c>
      <c r="E7" s="558" t="n">
        <v>121.343458</v>
      </c>
      <c r="F7" s="558" t="n">
        <v>130.338002</v>
      </c>
      <c r="G7" s="559">
        <f>INDEX('ltm-metrics'!$B:$B, MATCH("(=) LTM Adj. EBITDA", 'ltm-metrics'!$A:$A, 0))</f>
        <v/>
      </c>
      <c r="H7" s="560" t="inlineStr">
        <is>
          <t>US$MM</t>
        </is>
      </c>
    </row>
    <row r="8" ht="15" customHeight="1" s="356">
      <c r="A8" s="557" t="inlineStr">
        <is>
          <t>Net Income</t>
        </is>
      </c>
      <c r="B8" s="558" t="n">
        <v>6.562442</v>
      </c>
      <c r="C8" s="558" t="n">
        <v>15.127447</v>
      </c>
      <c r="D8" s="558" t="n">
        <v>27.776133</v>
      </c>
      <c r="E8" s="558" t="n">
        <v>46.375867</v>
      </c>
      <c r="F8" s="558" t="n">
        <v>59.520299</v>
      </c>
      <c r="G8" s="559">
        <f>INDEX('ltm-metrics'!$B:$B, MATCH("(=) LTM Net Income", 'ltm-metrics'!$A:$A, 0))</f>
        <v/>
      </c>
      <c r="H8" s="560" t="inlineStr">
        <is>
          <t>US$MM</t>
        </is>
      </c>
    </row>
    <row r="9" ht="15" customHeight="1" s="356">
      <c r="A9" s="557" t="inlineStr">
        <is>
          <t>Ending Combined Loan &amp; Advance Balances</t>
        </is>
      </c>
      <c r="B9" s="558" t="n">
        <v>134.84317</v>
      </c>
      <c r="C9" s="558" t="n">
        <v>247.488344</v>
      </c>
      <c r="D9" s="558" t="n">
        <v>337.282804</v>
      </c>
      <c r="E9" s="558" t="n">
        <v>480.602408</v>
      </c>
      <c r="F9" s="558" t="n">
        <v>589.548106</v>
      </c>
      <c r="G9" s="559" t="n">
        <v>592.7466910000001</v>
      </c>
      <c r="H9" s="560" t="inlineStr">
        <is>
          <t>US$MM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355" min="1" max="1"/>
    <col width="22" customWidth="1" style="355" min="2" max="2"/>
    <col width="14" customWidth="1" style="355" min="3" max="3"/>
    <col width="42" customWidth="1" style="356" min="5" max="5"/>
    <col width="22" customWidth="1" style="356" min="6" max="6"/>
    <col width="14" customWidth="1" style="356" min="7" max="7"/>
  </cols>
  <sheetData>
    <row r="1" ht="17.35" customHeight="1" s="356">
      <c r="A1" s="553" t="inlineStr">
        <is>
          <t>Propel Holdings Inc. — LTM Metrics</t>
        </is>
      </c>
    </row>
    <row r="2" ht="15" customHeight="1" s="356">
      <c r="A2" s="554" t="inlineStr">
        <is>
          <t>Period: LTM ended March 31, 2026</t>
        </is>
      </c>
    </row>
    <row r="3" ht="15" customHeight="1" s="356">
      <c r="A3" s="554" t="inlineStr">
        <is>
          <t>Revenue segmentation: Product line / lending program</t>
        </is>
      </c>
    </row>
    <row r="4" ht="15" customHeight="1" s="356">
      <c r="A4" s="554" t="inlineStr">
        <is>
          <t>Figures in US$MM</t>
        </is>
      </c>
    </row>
    <row r="6" ht="15" customHeight="1" s="356">
      <c r="A6" s="561" t="inlineStr">
        <is>
          <t>LTM Revenue Overview</t>
        </is>
      </c>
      <c r="B6" s="562" t="n"/>
      <c r="C6" s="562" t="n"/>
      <c r="E6" s="563" t="inlineStr">
        <is>
          <t>Pie Chart Source (Top 4 + Other)</t>
        </is>
      </c>
    </row>
    <row r="7" ht="15" customHeight="1" s="356">
      <c r="A7" s="555" t="inlineStr">
        <is>
          <t>Segment</t>
        </is>
      </c>
      <c r="B7" s="556" t="inlineStr">
        <is>
          <t>LTM Revenue (US$MM)</t>
        </is>
      </c>
      <c r="C7" s="556" t="inlineStr">
        <is>
          <t>% of Total</t>
        </is>
      </c>
      <c r="E7" s="564" t="inlineStr">
        <is>
          <t>Segment</t>
        </is>
      </c>
      <c r="F7" s="564" t="inlineStr">
        <is>
          <t>LTM Revenue (US$MM)</t>
        </is>
      </c>
      <c r="G7" s="564" t="inlineStr">
        <is>
          <t>% of Total</t>
        </is>
      </c>
    </row>
    <row r="8" ht="15" customHeight="1" s="356">
      <c r="A8" s="565" t="inlineStr">
        <is>
          <t>CreditFresh Bank Program</t>
        </is>
      </c>
      <c r="B8" s="566" t="n">
        <v>392.465285</v>
      </c>
      <c r="C8" s="567">
        <f>B8/B15</f>
        <v/>
      </c>
      <c r="E8" s="568">
        <f>A8</f>
        <v/>
      </c>
      <c r="F8" s="569">
        <f>B8</f>
        <v/>
      </c>
      <c r="G8" s="570">
        <f>F8/$B$15</f>
        <v/>
      </c>
    </row>
    <row r="9" ht="15" customHeight="1" s="356">
      <c r="A9" s="565" t="inlineStr">
        <is>
          <t>MoneyKey Bank Service Program</t>
        </is>
      </c>
      <c r="B9" s="566" t="n">
        <v>99.80838</v>
      </c>
      <c r="C9" s="567">
        <f>B9/B15</f>
        <v/>
      </c>
      <c r="E9" s="568">
        <f>A9</f>
        <v/>
      </c>
      <c r="F9" s="569">
        <f>B9</f>
        <v/>
      </c>
      <c r="G9" s="570">
        <f>F9/$B$15</f>
        <v/>
      </c>
    </row>
    <row r="10" ht="15" customHeight="1" s="356">
      <c r="A10" s="565" t="inlineStr">
        <is>
          <t>QuidMarket direct lending (UK)</t>
        </is>
      </c>
      <c r="B10" s="566" t="n">
        <v>54.538597</v>
      </c>
      <c r="C10" s="567">
        <f>B10/B15</f>
        <v/>
      </c>
      <c r="E10" s="568">
        <f>A10</f>
        <v/>
      </c>
      <c r="F10" s="569">
        <f>B10</f>
        <v/>
      </c>
      <c r="G10" s="570">
        <f>F10/$B$15</f>
        <v/>
      </c>
    </row>
    <row r="11" ht="15" customHeight="1" s="356">
      <c r="A11" s="565" t="inlineStr">
        <is>
          <t>MoneyKey direct lending and CSO</t>
        </is>
      </c>
      <c r="B11" s="566" t="n">
        <v>31.9402</v>
      </c>
      <c r="C11" s="567">
        <f>B11/B15</f>
        <v/>
      </c>
      <c r="E11" s="568">
        <f>A11</f>
        <v/>
      </c>
      <c r="F11" s="569">
        <f>B11</f>
        <v/>
      </c>
      <c r="G11" s="570">
        <f>F11/$B$15</f>
        <v/>
      </c>
    </row>
    <row r="12" ht="15" customHeight="1" s="356">
      <c r="A12" s="565" t="inlineStr">
        <is>
          <t>Lending-as-a-Service fees</t>
        </is>
      </c>
      <c r="B12" s="566" t="n">
        <v>21.16521</v>
      </c>
      <c r="C12" s="567">
        <f>B12/B15</f>
        <v/>
      </c>
      <c r="E12" s="568" t="inlineStr">
        <is>
          <t>Other</t>
        </is>
      </c>
      <c r="F12" s="569">
        <f>B15-SUM(F8:F11)</f>
        <v/>
      </c>
      <c r="G12" s="570">
        <f>F12/$B$15</f>
        <v/>
      </c>
    </row>
    <row r="13" ht="15" customHeight="1" s="356">
      <c r="A13" s="565" t="inlineStr">
        <is>
          <t>Fora direct lending (Canada)</t>
        </is>
      </c>
      <c r="B13" s="566" t="n">
        <v>13.067483</v>
      </c>
      <c r="C13" s="567">
        <f>B13/B15</f>
        <v/>
      </c>
    </row>
    <row r="14" ht="15" customHeight="1" s="356">
      <c r="A14" s="565" t="inlineStr">
        <is>
          <t>Other revenue</t>
        </is>
      </c>
      <c r="B14" s="566" t="n">
        <v>3.957581</v>
      </c>
      <c r="C14" s="567">
        <f>B14/B15</f>
        <v/>
      </c>
    </row>
    <row r="15" ht="15" customHeight="1" s="356">
      <c r="A15" s="557" t="inlineStr">
        <is>
          <t>Total</t>
        </is>
      </c>
      <c r="B15" s="571">
        <f>SUM(B8:B14)</f>
        <v/>
      </c>
      <c r="C15" s="572">
        <f>SUM(C8:C14)</f>
        <v/>
      </c>
    </row>
    <row r="17" ht="15" customHeight="1" s="356">
      <c r="A17" s="561" t="inlineStr">
        <is>
          <t>LTM Revenue Bridge</t>
        </is>
      </c>
      <c r="B17" s="562" t="n"/>
      <c r="C17" s="562" t="n"/>
    </row>
    <row r="18" ht="15" customHeight="1" s="356">
      <c r="A18" s="555" t="inlineStr">
        <is>
          <t>Component</t>
        </is>
      </c>
      <c r="B18" s="556" t="inlineStr">
        <is>
          <t>Amount (US$MM)</t>
        </is>
      </c>
    </row>
    <row r="19" ht="15" customHeight="1" s="356">
      <c r="A19" s="565" t="inlineStr">
        <is>
          <t>(+) FY2025 Revenue</t>
        </is>
      </c>
      <c r="B19" s="566" t="n">
        <v>589.807759</v>
      </c>
    </row>
    <row r="20" ht="15" customHeight="1" s="356">
      <c r="A20" s="565" t="inlineStr">
        <is>
          <t>(+) Q1 2026 Revenue</t>
        </is>
      </c>
      <c r="B20" s="566" t="n">
        <v>166.072544</v>
      </c>
    </row>
    <row r="21" ht="15" customHeight="1" s="356">
      <c r="A21" s="565" t="inlineStr">
        <is>
          <t>(−) Q1 2025 Revenue</t>
        </is>
      </c>
      <c r="B21" s="566" t="n">
        <v>138.937567</v>
      </c>
    </row>
    <row r="22" ht="15" customHeight="1" s="356">
      <c r="A22" s="557" t="inlineStr">
        <is>
          <t>(=) LTM Revenue</t>
        </is>
      </c>
      <c r="B22" s="571">
        <f>B19+B20-B21</f>
        <v/>
      </c>
    </row>
    <row r="24" ht="15" customHeight="1" s="356">
      <c r="A24" s="561" t="inlineStr">
        <is>
          <t>LTM Adj. EBITDA Bridge</t>
        </is>
      </c>
      <c r="B24" s="562" t="n"/>
      <c r="C24" s="562" t="n"/>
    </row>
    <row r="25" ht="15" customHeight="1" s="356">
      <c r="A25" s="555" t="inlineStr">
        <is>
          <t>Component</t>
        </is>
      </c>
      <c r="B25" s="556" t="inlineStr">
        <is>
          <t>Amount (US$MM)</t>
        </is>
      </c>
    </row>
    <row r="26" ht="15" customHeight="1" s="356">
      <c r="A26" s="565" t="inlineStr">
        <is>
          <t>(+) FY2025 Adj. EBITDA</t>
        </is>
      </c>
      <c r="B26" s="566" t="n">
        <v>130.338002</v>
      </c>
    </row>
    <row r="27" ht="15" customHeight="1" s="356">
      <c r="A27" s="565" t="inlineStr">
        <is>
          <t>(+) Q1 2026 Adj. EBITDA</t>
        </is>
      </c>
      <c r="B27" s="566" t="n">
        <v>42.045998</v>
      </c>
    </row>
    <row r="28" ht="15" customHeight="1" s="356">
      <c r="A28" s="565" t="inlineStr">
        <is>
          <t>(−) Q1 2025 Adj. EBITDA</t>
        </is>
      </c>
      <c r="B28" s="566" t="n">
        <v>41.216846</v>
      </c>
    </row>
    <row r="29" ht="15" customHeight="1" s="356">
      <c r="A29" s="557" t="inlineStr">
        <is>
          <t>(=) LTM Adj. EBITDA</t>
        </is>
      </c>
      <c r="B29" s="571">
        <f>B26+B27-B28</f>
        <v/>
      </c>
    </row>
    <row r="31" ht="15" customHeight="1" s="356">
      <c r="A31" s="561" t="inlineStr">
        <is>
          <t>LTM Net Income Bridge</t>
        </is>
      </c>
      <c r="B31" s="562" t="n"/>
      <c r="C31" s="562" t="n"/>
    </row>
    <row r="32" ht="15" customHeight="1" s="356">
      <c r="A32" s="555" t="inlineStr">
        <is>
          <t>Component</t>
        </is>
      </c>
      <c r="B32" s="556" t="inlineStr">
        <is>
          <t>Amount (US$MM)</t>
        </is>
      </c>
    </row>
    <row r="33" ht="15" customHeight="1" s="356">
      <c r="A33" s="565" t="inlineStr">
        <is>
          <t>(+) FY2025 Net Income</t>
        </is>
      </c>
      <c r="B33" s="566" t="n">
        <v>59.520299</v>
      </c>
    </row>
    <row r="34" ht="15" customHeight="1" s="356">
      <c r="A34" s="565" t="inlineStr">
        <is>
          <t>(+) Q1 2026 Net Income</t>
        </is>
      </c>
      <c r="B34" s="566" t="n">
        <v>20.713887</v>
      </c>
    </row>
    <row r="35" ht="15" customHeight="1" s="356">
      <c r="A35" s="565" t="inlineStr">
        <is>
          <t>(−) Q1 2025 Net Income</t>
        </is>
      </c>
      <c r="B35" s="566" t="n">
        <v>23.500531</v>
      </c>
    </row>
    <row r="36" ht="15" customHeight="1" s="356">
      <c r="A36" s="557" t="inlineStr">
        <is>
          <t>(=) LTM Net Income</t>
        </is>
      </c>
      <c r="B36" s="571">
        <f>B33+B34-B35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CE2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.69" customWidth="1" style="355" min="1" max="1"/>
    <col width="18.68" customWidth="1" style="355" min="2" max="2"/>
    <col width="9.68" customWidth="1" style="355" min="3" max="3"/>
    <col width="10.84" customWidth="1" style="355" min="6" max="6"/>
    <col width="11.84" customWidth="1" style="355" min="7" max="7"/>
    <col width="10.68" customWidth="1" style="355" min="8" max="8"/>
    <col width="10.68" customWidth="1" style="355" min="10" max="10"/>
    <col width="8.84" customWidth="1" style="355" min="12" max="12"/>
    <col width="8.84" customWidth="1" style="355" min="17" max="17"/>
    <col width="8.84" customWidth="1" style="355" min="19" max="19"/>
    <col width="8.84" customWidth="1" style="355" min="24" max="24"/>
  </cols>
  <sheetData>
    <row r="2" ht="18" customHeight="1" s="356">
      <c r="B2" s="573" t="inlineStr">
        <is>
          <t>Ownership</t>
        </is>
      </c>
      <c r="H2" s="574" t="n"/>
      <c r="I2" s="574" t="n"/>
      <c r="K2" s="575" t="n"/>
      <c r="L2" s="576" t="n"/>
      <c r="M2" s="576" t="n"/>
      <c r="N2" s="576" t="n"/>
      <c r="O2" s="574" t="n"/>
      <c r="P2" s="574" t="n"/>
      <c r="Q2" s="577" t="n"/>
      <c r="R2" s="577" t="n"/>
      <c r="S2" s="577" t="n"/>
      <c r="T2" s="577" t="n"/>
      <c r="U2" s="577" t="n"/>
      <c r="V2" s="577" t="n"/>
      <c r="W2" s="577" t="n"/>
    </row>
    <row r="3" ht="3.75" customHeight="1" s="356">
      <c r="B3" s="578" t="n"/>
      <c r="C3" s="578" t="n"/>
      <c r="D3" s="578" t="n"/>
      <c r="E3" s="578" t="n"/>
      <c r="F3" s="579" t="n"/>
      <c r="G3" s="580" t="n"/>
      <c r="H3" s="580" t="n"/>
      <c r="I3" s="580" t="n"/>
      <c r="K3" s="578" t="n"/>
      <c r="L3" s="578" t="n"/>
      <c r="M3" s="578" t="n"/>
      <c r="N3" s="578" t="n"/>
      <c r="O3" s="579" t="n"/>
      <c r="P3" s="580" t="n"/>
    </row>
    <row r="4" ht="21" customHeight="1" s="356">
      <c r="B4" s="581" t="inlineStr">
        <is>
          <t>Select Insiders</t>
        </is>
      </c>
      <c r="C4" s="581" t="n"/>
      <c r="D4" s="581" t="n"/>
      <c r="E4" s="581" t="n"/>
      <c r="F4" s="582" t="inlineStr">
        <is>
          <t xml:space="preserve">(000s) </t>
        </is>
      </c>
      <c r="G4" s="583" t="inlineStr">
        <is>
          <t xml:space="preserve">% </t>
        </is>
      </c>
      <c r="H4" s="584" t="n"/>
      <c r="I4" s="585" t="n"/>
      <c r="K4" s="586" t="n"/>
      <c r="L4" s="587" t="n"/>
      <c r="M4" s="587" t="n"/>
      <c r="N4" s="587" t="n"/>
      <c r="O4" s="584" t="n"/>
      <c r="P4" s="585" t="n"/>
      <c r="R4" s="578" t="n"/>
      <c r="S4" s="578" t="n"/>
    </row>
    <row r="5" ht="21" customHeight="1" s="356">
      <c r="A5" s="588" t="n">
        <v>1</v>
      </c>
      <c r="B5" s="589">
        <f>_xlfn.XLOOKUP(F5,$I$39:$I$178,$J$39:$J$178)</f>
        <v/>
      </c>
      <c r="F5" s="590">
        <f>LARGE($I$39:$I$65,A5)</f>
        <v/>
      </c>
      <c r="G5" s="591">
        <f>F5/$F$35</f>
        <v/>
      </c>
      <c r="H5" s="592" t="n"/>
      <c r="I5" s="593" t="n"/>
      <c r="K5" s="586" t="n"/>
      <c r="O5" s="594" t="n"/>
      <c r="P5" s="593" t="n"/>
      <c r="S5" s="589" t="n"/>
      <c r="U5" s="595" t="n"/>
    </row>
    <row r="6" ht="21" customHeight="1" s="356">
      <c r="A6" s="588" t="n">
        <v>2</v>
      </c>
      <c r="B6" s="589">
        <f>_xlfn.XLOOKUP(F6,$I$39:$I$178,$J$39:$J$178)</f>
        <v/>
      </c>
      <c r="F6" s="590">
        <f>LARGE($I$39:$I$65,A6)</f>
        <v/>
      </c>
      <c r="G6" s="593">
        <f>F6/$F$35</f>
        <v/>
      </c>
      <c r="H6" s="592" t="n"/>
      <c r="I6" s="593" t="n"/>
      <c r="K6" s="586" t="n"/>
      <c r="O6" s="594" t="n"/>
      <c r="P6" s="593" t="n"/>
      <c r="S6" s="589" t="n"/>
      <c r="U6" s="595" t="n"/>
    </row>
    <row r="7" ht="21" customHeight="1" s="356">
      <c r="A7" s="588" t="n">
        <v>3</v>
      </c>
      <c r="B7" s="589">
        <f>_xlfn.XLOOKUP(F7,$I$39:$I$178,$J$39:$J$178)</f>
        <v/>
      </c>
      <c r="F7" s="590">
        <f>LARGE($I$39:$I$65,A7)</f>
        <v/>
      </c>
      <c r="G7" s="593">
        <f>F7/$F$35</f>
        <v/>
      </c>
      <c r="H7" s="592" t="n"/>
      <c r="I7" s="593" t="n"/>
      <c r="K7" s="596" t="n"/>
      <c r="O7" s="594" t="n"/>
      <c r="P7" s="593" t="n"/>
      <c r="S7" s="589" t="n"/>
      <c r="U7" s="595" t="n"/>
    </row>
    <row r="8" ht="21" customHeight="1" s="356">
      <c r="A8" s="588" t="n">
        <v>4</v>
      </c>
      <c r="B8" s="589">
        <f>_xlfn.XLOOKUP(F8,$I$39:$I$178,$J$39:$J$178)</f>
        <v/>
      </c>
      <c r="F8" s="590">
        <f>LARGE($I$39:$I$65,A8)</f>
        <v/>
      </c>
      <c r="G8" s="593">
        <f>F8/$F$35</f>
        <v/>
      </c>
      <c r="H8" s="592" t="n"/>
      <c r="I8" s="593" t="n"/>
      <c r="K8" s="596" t="n"/>
      <c r="O8" s="594" t="n"/>
      <c r="P8" s="593" t="n"/>
      <c r="S8" s="589" t="n"/>
      <c r="U8" s="595" t="n"/>
    </row>
    <row r="9" ht="21" customHeight="1" s="356">
      <c r="A9" s="588" t="n">
        <v>5</v>
      </c>
      <c r="B9" s="589">
        <f>_xlfn.XLOOKUP(F9,$I$39:$I$178,$J$39:$J$178)</f>
        <v/>
      </c>
      <c r="F9" s="590">
        <f>LARGE($I$39:$I$65,A9)</f>
        <v/>
      </c>
      <c r="G9" s="593">
        <f>F9/$F$35</f>
        <v/>
      </c>
      <c r="H9" s="592" t="n"/>
      <c r="I9" s="593" t="n"/>
      <c r="K9" s="596" t="n"/>
      <c r="O9" s="594" t="n"/>
      <c r="P9" s="593" t="n"/>
      <c r="S9" s="589" t="n"/>
      <c r="U9" s="595" t="n"/>
    </row>
    <row r="10" ht="21" customHeight="1" s="356">
      <c r="A10" s="588" t="n">
        <v>6</v>
      </c>
      <c r="B10" s="589">
        <f>_xlfn.XLOOKUP(F10,$I$39:$I$178,$J$39:$J$178)</f>
        <v/>
      </c>
      <c r="F10" s="590">
        <f>LARGE($I$39:$I$65,A10)</f>
        <v/>
      </c>
      <c r="G10" s="593">
        <f>F10/$F$35</f>
        <v/>
      </c>
      <c r="H10" s="592" t="n"/>
      <c r="I10" s="593" t="n"/>
      <c r="K10" s="596" t="n"/>
      <c r="O10" s="594" t="n"/>
      <c r="P10" s="593" t="n"/>
      <c r="S10" s="589" t="n"/>
      <c r="U10" s="595" t="n"/>
    </row>
    <row r="11" ht="21" customHeight="1" s="356">
      <c r="A11" s="588" t="n">
        <v>7</v>
      </c>
      <c r="B11" s="589">
        <f>_xlfn.XLOOKUP(F11,$I$39:$I$178,$J$39:$J$178)</f>
        <v/>
      </c>
      <c r="F11" s="590">
        <f>LARGE($I$39:$I$65,A11)</f>
        <v/>
      </c>
      <c r="G11" s="593">
        <f>F11/$F$35</f>
        <v/>
      </c>
      <c r="H11" s="592" t="n"/>
      <c r="I11" s="593" t="n"/>
      <c r="K11" s="596" t="n"/>
      <c r="O11" s="594" t="n"/>
      <c r="P11" s="593" t="n"/>
      <c r="S11" s="589" t="n"/>
      <c r="U11" s="595" t="n"/>
    </row>
    <row r="12" ht="21" customHeight="1" s="356">
      <c r="A12" s="588" t="n">
        <v>8</v>
      </c>
      <c r="B12" s="589">
        <f>_xlfn.XLOOKUP(F12,$I$39:$I$178,$J$39:$J$178)</f>
        <v/>
      </c>
      <c r="F12" s="590">
        <f>LARGE($I$39:$I$65,A12)</f>
        <v/>
      </c>
      <c r="G12" s="593">
        <f>F12/$F$35</f>
        <v/>
      </c>
      <c r="H12" s="592" t="n"/>
      <c r="I12" s="593" t="n"/>
      <c r="K12" s="586" t="n"/>
      <c r="O12" s="594" t="n"/>
      <c r="P12" s="593" t="n"/>
      <c r="S12" s="589" t="n"/>
      <c r="U12" s="595" t="n"/>
    </row>
    <row r="13" ht="21" customHeight="1" s="356">
      <c r="A13" s="588" t="n">
        <v>9</v>
      </c>
      <c r="B13" s="589">
        <f>_xlfn.XLOOKUP(F13,$I$39:$I$178,$J$39:$J$178)</f>
        <v/>
      </c>
      <c r="F13" s="590">
        <f>LARGE($I$39:$I$65,A13)</f>
        <v/>
      </c>
      <c r="G13" s="593">
        <f>F13/$F$35</f>
        <v/>
      </c>
      <c r="H13" s="592" t="n"/>
      <c r="I13" s="593" t="n"/>
      <c r="K13" s="586" t="n"/>
      <c r="O13" s="594" t="n"/>
      <c r="P13" s="593" t="n"/>
      <c r="S13" s="589" t="n"/>
      <c r="U13" s="595" t="n"/>
    </row>
    <row r="14" ht="21" customHeight="1" s="356">
      <c r="A14" s="588" t="n">
        <v>10</v>
      </c>
      <c r="B14" s="589">
        <f>_xlfn.XLOOKUP(F14,$I$39:$I$178,$J$39:$J$178)</f>
        <v/>
      </c>
      <c r="F14" s="590">
        <f>LARGE($I$39:$I$65,A14)</f>
        <v/>
      </c>
      <c r="G14" s="593">
        <f>F14/$F$35</f>
        <v/>
      </c>
      <c r="H14" s="592" t="n"/>
      <c r="I14" s="593" t="n"/>
      <c r="K14" s="586" t="n"/>
      <c r="O14" s="594" t="n"/>
      <c r="P14" s="593" t="n"/>
      <c r="S14" s="589" t="n"/>
      <c r="U14" s="595" t="n"/>
    </row>
    <row r="15" ht="21" customHeight="1" s="356">
      <c r="A15" s="588" t="n">
        <v>11</v>
      </c>
      <c r="B15" s="589">
        <f>_xlfn.XLOOKUP(F15,$I$39:$I$178,$J$39:$J$178)</f>
        <v/>
      </c>
      <c r="F15" s="590">
        <f>LARGE($I$39:$I$65,A15)</f>
        <v/>
      </c>
      <c r="G15" s="593">
        <f>F15/$F$35</f>
        <v/>
      </c>
      <c r="H15" s="592" t="n"/>
      <c r="I15" s="593" t="n"/>
      <c r="K15" s="586" t="n"/>
      <c r="O15" s="594" t="n"/>
      <c r="P15" s="593" t="n"/>
      <c r="S15" s="589" t="n"/>
      <c r="U15" s="595" t="n"/>
    </row>
    <row r="16" ht="21" customHeight="1" s="356">
      <c r="A16" s="588" t="n">
        <v>12</v>
      </c>
      <c r="B16" s="589">
        <f>_xlfn.XLOOKUP(F16,$I$39:$I$178,$J$39:$J$178)</f>
        <v/>
      </c>
      <c r="F16" s="590">
        <f>LARGE($I$39:$I$65,A16)</f>
        <v/>
      </c>
      <c r="G16" s="593">
        <f>F16/$F$35</f>
        <v/>
      </c>
      <c r="H16" s="592" t="n"/>
      <c r="I16" s="593" t="n"/>
      <c r="K16" s="597" t="n"/>
      <c r="L16" s="578" t="n"/>
      <c r="M16" s="578" t="n"/>
      <c r="N16" s="578" t="n"/>
      <c r="O16" s="598" t="n"/>
      <c r="P16" s="599" t="n"/>
      <c r="Q16" s="600" t="n"/>
      <c r="S16" s="589" t="n"/>
      <c r="U16" s="595" t="n"/>
    </row>
    <row r="17" ht="21" customHeight="1" s="356">
      <c r="A17" s="588" t="n"/>
      <c r="B17" s="601" t="inlineStr">
        <is>
          <t>Subtotal</t>
        </is>
      </c>
      <c r="C17" s="601" t="n"/>
      <c r="D17" s="601" t="n"/>
      <c r="E17" s="601" t="n"/>
      <c r="F17" s="602">
        <f>SUM(F5:F16)</f>
        <v/>
      </c>
      <c r="G17" s="603">
        <f>F17/$F$35</f>
        <v/>
      </c>
      <c r="H17" s="592" t="n"/>
      <c r="I17" s="593" t="n"/>
      <c r="K17" s="597" t="n"/>
      <c r="L17" s="578" t="n"/>
      <c r="M17" s="578" t="n"/>
      <c r="N17" s="578" t="n"/>
      <c r="O17" s="598" t="n"/>
      <c r="P17" s="599" t="n"/>
      <c r="Q17" s="600" t="n"/>
      <c r="S17" s="589" t="n"/>
      <c r="U17" s="595" t="n"/>
    </row>
    <row r="18" ht="21" customHeight="1" s="356">
      <c r="B18" s="593" t="n"/>
      <c r="C18" s="593" t="n"/>
      <c r="D18" s="593" t="n"/>
      <c r="E18" s="593" t="n"/>
      <c r="F18" s="593" t="n"/>
      <c r="G18" s="593" t="n"/>
      <c r="H18" s="604" t="n"/>
      <c r="I18" s="593" t="n"/>
      <c r="K18" s="586" t="n"/>
      <c r="O18" s="594" t="n"/>
      <c r="P18" s="593" t="n"/>
      <c r="S18" s="589" t="n"/>
      <c r="U18" s="595" t="n"/>
    </row>
    <row r="19" ht="21" customHeight="1" s="356">
      <c r="B19" s="581" t="inlineStr">
        <is>
          <t>Select Institutions</t>
        </is>
      </c>
      <c r="C19" s="581" t="n"/>
      <c r="D19" s="581" t="n"/>
      <c r="E19" s="581" t="n"/>
      <c r="F19" s="582" t="inlineStr">
        <is>
          <t xml:space="preserve">(000s) </t>
        </is>
      </c>
      <c r="G19" s="583" t="inlineStr">
        <is>
          <t xml:space="preserve">% </t>
        </is>
      </c>
      <c r="H19" s="605" t="n"/>
      <c r="I19" s="599" t="n"/>
      <c r="K19" s="606" t="n"/>
      <c r="L19" s="587" t="n"/>
      <c r="M19" s="587" t="n"/>
      <c r="N19" s="587" t="n"/>
      <c r="O19" s="607" t="n"/>
      <c r="P19" s="608" t="n"/>
      <c r="S19" s="595" t="n"/>
      <c r="U19" s="595" t="n"/>
      <c r="W19" s="600" t="n"/>
    </row>
    <row r="20" ht="21" customHeight="1" s="356">
      <c r="A20" s="588" t="n">
        <v>1</v>
      </c>
      <c r="B20" s="589">
        <f>_xlfn.XLOOKUP(F20,$I$39:$I$185,$J$39:$J$185)</f>
        <v/>
      </c>
      <c r="F20" s="590">
        <f>LARGE($I$68:$I$185,A20)</f>
        <v/>
      </c>
      <c r="G20" s="591">
        <f>F20/$F$35</f>
        <v/>
      </c>
      <c r="H20" s="605" t="n"/>
      <c r="I20" s="599" t="n"/>
      <c r="K20" s="606" t="n"/>
      <c r="L20" s="587" t="n"/>
      <c r="M20" s="587" t="n"/>
      <c r="N20" s="587" t="n"/>
      <c r="O20" s="607" t="n"/>
      <c r="P20" s="608" t="n"/>
      <c r="S20" s="595" t="n"/>
      <c r="U20" s="595" t="n"/>
      <c r="W20" s="600" t="n"/>
    </row>
    <row r="21" ht="21" customHeight="1" s="356">
      <c r="A21" s="588" t="n">
        <v>2</v>
      </c>
      <c r="B21" s="589">
        <f>_xlfn.XLOOKUP(F21,$I$39:$I$185,$J$39:$J$185)</f>
        <v/>
      </c>
      <c r="F21" s="590">
        <f>LARGE($I$68:$I$185,A21)</f>
        <v/>
      </c>
      <c r="G21" s="593">
        <f>F21/$F$35</f>
        <v/>
      </c>
      <c r="H21" s="605" t="n"/>
      <c r="I21" s="599" t="n"/>
      <c r="K21" s="606" t="n"/>
      <c r="L21" s="587" t="n"/>
      <c r="M21" s="587" t="n"/>
      <c r="N21" s="587" t="n"/>
      <c r="O21" s="607" t="n"/>
      <c r="P21" s="608" t="n"/>
      <c r="S21" s="595" t="n"/>
      <c r="U21" s="595" t="n"/>
      <c r="W21" s="600" t="n"/>
    </row>
    <row r="22" ht="21" customHeight="1" s="356">
      <c r="A22" s="588" t="n">
        <v>3</v>
      </c>
      <c r="B22" s="589">
        <f>_xlfn.XLOOKUP(F22,$I$39:$I$185,$J$39:$J$185)</f>
        <v/>
      </c>
      <c r="F22" s="590">
        <f>LARGE($I$68:$I$185,A22)</f>
        <v/>
      </c>
      <c r="G22" s="593">
        <f>F22/$F$35</f>
        <v/>
      </c>
      <c r="H22" s="605" t="n"/>
      <c r="I22" s="599" t="n"/>
      <c r="K22" s="606" t="n"/>
      <c r="L22" s="587" t="n"/>
      <c r="M22" s="587" t="n"/>
      <c r="N22" s="587" t="n"/>
      <c r="O22" s="607" t="n"/>
      <c r="P22" s="608" t="n"/>
      <c r="S22" s="595" t="n"/>
      <c r="U22" s="595" t="n"/>
      <c r="W22" s="600" t="n"/>
    </row>
    <row r="23" ht="21" customHeight="1" s="356">
      <c r="A23" s="588" t="n">
        <v>4</v>
      </c>
      <c r="B23" s="589">
        <f>_xlfn.XLOOKUP(F23,$I$39:$I$185,$J$39:$J$185)</f>
        <v/>
      </c>
      <c r="F23" s="590">
        <f>LARGE($I$68:$I$185,A23)</f>
        <v/>
      </c>
      <c r="G23" s="593">
        <f>F23/$F$35</f>
        <v/>
      </c>
      <c r="H23" s="605" t="n"/>
      <c r="I23" s="599" t="n"/>
      <c r="K23" s="606" t="n"/>
      <c r="L23" s="587" t="n"/>
      <c r="M23" s="587" t="n"/>
      <c r="N23" s="587" t="n"/>
      <c r="O23" s="607" t="n"/>
      <c r="P23" s="608" t="n"/>
      <c r="S23" s="595" t="n"/>
      <c r="U23" s="595" t="n"/>
      <c r="W23" s="600" t="n"/>
    </row>
    <row r="24" ht="21" customHeight="1" s="356">
      <c r="A24" s="588" t="n">
        <v>5</v>
      </c>
      <c r="B24" s="589">
        <f>_xlfn.XLOOKUP(F24,$I$39:$I$185,$J$39:$J$185)</f>
        <v/>
      </c>
      <c r="F24" s="590">
        <f>LARGE($I$68:$I$185,A24)</f>
        <v/>
      </c>
      <c r="G24" s="593">
        <f>F24/$F$35</f>
        <v/>
      </c>
      <c r="H24" s="605" t="n"/>
      <c r="I24" s="599" t="n"/>
      <c r="K24" s="606" t="n"/>
      <c r="L24" s="587" t="n"/>
      <c r="M24" s="587" t="n"/>
      <c r="N24" s="587" t="n"/>
      <c r="O24" s="607" t="n"/>
      <c r="P24" s="608" t="n"/>
      <c r="S24" s="595" t="n"/>
      <c r="U24" s="595" t="n"/>
      <c r="W24" s="600" t="n"/>
    </row>
    <row r="25" ht="21" customHeight="1" s="356">
      <c r="A25" s="588" t="n">
        <v>6</v>
      </c>
      <c r="B25" s="589">
        <f>_xlfn.XLOOKUP(F25,$I$39:$I$185,$J$39:$J$185)</f>
        <v/>
      </c>
      <c r="F25" s="590">
        <f>LARGE($I$68:$I$185,A25)</f>
        <v/>
      </c>
      <c r="G25" s="593">
        <f>F25/$F$35</f>
        <v/>
      </c>
      <c r="H25" s="605" t="n"/>
      <c r="I25" s="599" t="n"/>
      <c r="K25" s="606" t="n"/>
      <c r="L25" s="587" t="n"/>
      <c r="M25" s="587" t="n"/>
      <c r="N25" s="587" t="n"/>
      <c r="O25" s="607" t="n"/>
      <c r="P25" s="608" t="n"/>
      <c r="S25" s="595" t="n"/>
      <c r="U25" s="595" t="n"/>
      <c r="W25" s="600" t="n"/>
    </row>
    <row r="26" ht="21" customHeight="1" s="356">
      <c r="A26" s="588" t="n">
        <v>7</v>
      </c>
      <c r="B26" s="589">
        <f>_xlfn.XLOOKUP(F26,$I$39:$I$185,$J$39:$J$185)</f>
        <v/>
      </c>
      <c r="F26" s="590">
        <f>LARGE($I$68:$I$185,A26)</f>
        <v/>
      </c>
      <c r="G26" s="593">
        <f>F26/$F$35</f>
        <v/>
      </c>
      <c r="H26" s="605" t="n"/>
      <c r="I26" s="599" t="n"/>
      <c r="K26" s="606" t="n"/>
      <c r="L26" s="587" t="n"/>
      <c r="M26" s="587" t="n"/>
      <c r="N26" s="587" t="n"/>
      <c r="O26" s="607" t="n"/>
      <c r="P26" s="608" t="n"/>
      <c r="S26" s="595" t="n"/>
      <c r="U26" s="595" t="n"/>
      <c r="W26" s="600" t="n"/>
    </row>
    <row r="27" ht="21" customHeight="1" s="356">
      <c r="A27" s="588" t="n">
        <v>8</v>
      </c>
      <c r="B27" s="589">
        <f>_xlfn.XLOOKUP(F27,$I$39:$I$185,$J$39:$J$185)</f>
        <v/>
      </c>
      <c r="F27" s="590">
        <f>LARGE($I$68:$I$185,A27)</f>
        <v/>
      </c>
      <c r="G27" s="593">
        <f>F27/$F$35</f>
        <v/>
      </c>
      <c r="H27" s="605" t="n"/>
      <c r="I27" s="599" t="n"/>
      <c r="K27" s="606" t="n"/>
      <c r="L27" s="587" t="n"/>
      <c r="M27" s="587" t="n"/>
      <c r="N27" s="587" t="n"/>
      <c r="O27" s="607" t="n"/>
      <c r="P27" s="608" t="n"/>
      <c r="S27" s="595" t="n"/>
      <c r="U27" s="595" t="n"/>
      <c r="W27" s="600" t="n"/>
    </row>
    <row r="28" ht="21" customHeight="1" s="356">
      <c r="A28" s="588" t="n">
        <v>9</v>
      </c>
      <c r="B28" s="589">
        <f>_xlfn.XLOOKUP(F28,$I$39:$I$185,$J$39:$J$185)</f>
        <v/>
      </c>
      <c r="F28" s="590">
        <f>LARGE($I$68:$I$185,A28)</f>
        <v/>
      </c>
      <c r="G28" s="593">
        <f>F28/$F$35</f>
        <v/>
      </c>
      <c r="H28" s="605" t="n"/>
      <c r="I28" s="599" t="n"/>
      <c r="K28" s="606" t="n"/>
      <c r="L28" s="587" t="n"/>
      <c r="M28" s="587" t="n"/>
      <c r="N28" s="587" t="n"/>
      <c r="O28" s="607" t="n"/>
      <c r="P28" s="608" t="n"/>
      <c r="S28" s="595" t="n"/>
      <c r="U28" s="595" t="n"/>
      <c r="W28" s="600" t="n"/>
    </row>
    <row r="29" ht="21" customHeight="1" s="356">
      <c r="A29" s="588" t="n">
        <v>10</v>
      </c>
      <c r="B29" s="589">
        <f>_xlfn.XLOOKUP(F29,$I$39:$I$185,$J$39:$J$185)</f>
        <v/>
      </c>
      <c r="F29" s="590">
        <f>LARGE($I$68:$I$185,A29)</f>
        <v/>
      </c>
      <c r="G29" s="593">
        <f>F29/$F$35</f>
        <v/>
      </c>
      <c r="H29" s="605" t="n"/>
      <c r="I29" s="599" t="n"/>
      <c r="K29" s="606" t="n"/>
      <c r="L29" s="587" t="n"/>
      <c r="M29" s="587" t="n"/>
      <c r="N29" s="587" t="n"/>
      <c r="O29" s="607" t="n"/>
      <c r="P29" s="608" t="n"/>
      <c r="S29" s="595" t="n"/>
      <c r="U29" s="595" t="n"/>
      <c r="W29" s="600" t="n"/>
    </row>
    <row r="30" ht="21" customHeight="1" s="356">
      <c r="A30" s="588" t="n">
        <v>11</v>
      </c>
      <c r="B30" s="589">
        <f>_xlfn.XLOOKUP(F30,$I$39:$I$185,$J$39:$J$185)</f>
        <v/>
      </c>
      <c r="F30" s="590">
        <f>LARGE($I$68:$I$185,A30)</f>
        <v/>
      </c>
      <c r="G30" s="593">
        <f>F30/$F$35</f>
        <v/>
      </c>
      <c r="H30" s="605" t="n"/>
      <c r="I30" s="599" t="n"/>
      <c r="K30" s="606" t="n"/>
      <c r="L30" s="587" t="n"/>
      <c r="M30" s="587" t="n"/>
      <c r="N30" s="587" t="n"/>
      <c r="O30" s="607" t="n"/>
      <c r="P30" s="608" t="n"/>
      <c r="S30" s="595" t="n"/>
      <c r="U30" s="595" t="n"/>
      <c r="W30" s="600" t="n"/>
    </row>
    <row r="31" ht="21" customHeight="1" s="356">
      <c r="A31" s="588" t="n">
        <v>12</v>
      </c>
      <c r="B31" s="589">
        <f>_xlfn.XLOOKUP(F31,$I$39:$I$185,$J$39:$J$185)</f>
        <v/>
      </c>
      <c r="F31" s="590">
        <f>LARGE($I$68:$I$185,A31)</f>
        <v/>
      </c>
      <c r="G31" s="593">
        <f>F31/$F$35</f>
        <v/>
      </c>
      <c r="H31" s="605" t="n"/>
      <c r="I31" s="599" t="n"/>
      <c r="K31" s="606" t="n"/>
      <c r="L31" s="587" t="n"/>
      <c r="M31" s="587" t="n"/>
      <c r="N31" s="587" t="n"/>
      <c r="O31" s="607" t="n"/>
      <c r="P31" s="608" t="n"/>
      <c r="S31" s="595" t="n"/>
      <c r="U31" s="595" t="n"/>
      <c r="W31" s="600" t="n"/>
    </row>
    <row r="32" ht="21" customHeight="1" s="356">
      <c r="B32" s="601" t="inlineStr">
        <is>
          <t>Subtotal</t>
        </is>
      </c>
      <c r="C32" s="601" t="n"/>
      <c r="D32" s="601" t="n"/>
      <c r="E32" s="601" t="n"/>
      <c r="F32" s="602">
        <f>SUM(F20:F31)</f>
        <v/>
      </c>
      <c r="G32" s="603">
        <f>F32/$F$35</f>
        <v/>
      </c>
      <c r="H32" s="605" t="n"/>
      <c r="I32" s="599" t="n"/>
      <c r="K32" s="606" t="n"/>
      <c r="L32" s="587" t="n"/>
      <c r="M32" s="587" t="n"/>
      <c r="N32" s="587" t="n"/>
      <c r="O32" s="607" t="n"/>
      <c r="P32" s="608" t="n"/>
      <c r="S32" s="595" t="n"/>
      <c r="U32" s="595" t="n"/>
      <c r="W32" s="600" t="n"/>
    </row>
    <row r="33" ht="21" customHeight="1" s="356">
      <c r="B33" s="609" t="inlineStr">
        <is>
          <t>Other Shareholders</t>
        </is>
      </c>
      <c r="C33" s="593" t="n"/>
      <c r="D33" s="593" t="n"/>
      <c r="E33" s="593" t="n"/>
      <c r="F33" s="590">
        <f>+F35-F32-F17</f>
        <v/>
      </c>
      <c r="G33" s="593">
        <f>F33/$F$35</f>
        <v/>
      </c>
      <c r="H33" s="605" t="n"/>
      <c r="I33" s="599" t="n"/>
      <c r="K33" s="606" t="n"/>
      <c r="L33" s="587" t="n"/>
      <c r="M33" s="587" t="n"/>
      <c r="N33" s="587" t="n"/>
      <c r="O33" s="607" t="n"/>
      <c r="P33" s="608" t="n"/>
      <c r="S33" s="595" t="n"/>
      <c r="U33" s="595" t="n"/>
      <c r="W33" s="600" t="n"/>
    </row>
    <row r="34" ht="3" customHeight="1" s="356">
      <c r="B34" s="593" t="n"/>
      <c r="C34" s="593" t="n"/>
      <c r="D34" s="593" t="n"/>
      <c r="E34" s="593" t="n"/>
      <c r="F34" s="593" t="n"/>
      <c r="G34" s="593" t="n"/>
      <c r="H34" s="605" t="n"/>
      <c r="I34" s="599" t="n"/>
      <c r="K34" s="606" t="n"/>
      <c r="L34" s="587" t="n"/>
      <c r="M34" s="587" t="n"/>
      <c r="N34" s="587" t="n"/>
      <c r="O34" s="607" t="n"/>
      <c r="P34" s="608" t="n"/>
      <c r="S34" s="595" t="n"/>
      <c r="U34" s="595" t="n"/>
      <c r="W34" s="600" t="n"/>
    </row>
    <row r="35" ht="21" customHeight="1" s="356">
      <c r="B35" s="610" t="inlineStr">
        <is>
          <t>Total Basic Shares Outstanding</t>
        </is>
      </c>
      <c r="C35" s="610" t="n"/>
      <c r="D35" s="610" t="n"/>
      <c r="E35" s="610" t="n"/>
      <c r="F35" s="611">
        <f>captable!F17*1000000</f>
        <v/>
      </c>
      <c r="G35" s="612">
        <f>F35/$F$35</f>
        <v/>
      </c>
      <c r="H35" s="613" t="n"/>
      <c r="I35" s="613" t="n"/>
      <c r="K35" s="586" t="n"/>
      <c r="W35" s="600" t="n"/>
    </row>
    <row r="36" ht="21" customHeight="1" s="356">
      <c r="F36" s="614" t="n"/>
      <c r="G36" s="613" t="n"/>
      <c r="H36" s="613" t="n"/>
      <c r="I36" s="613" t="n"/>
      <c r="K36" s="586" t="n"/>
      <c r="S36" s="589" t="n"/>
      <c r="U36" s="595" t="n"/>
    </row>
    <row r="37" ht="21" customHeight="1" s="356">
      <c r="F37" s="614" t="n"/>
      <c r="G37" s="613" t="n"/>
      <c r="H37" s="613" t="n"/>
      <c r="I37" s="589" t="n"/>
      <c r="K37" s="615" t="n"/>
      <c r="L37" s="615" t="n"/>
      <c r="M37" s="615" t="n"/>
      <c r="N37" s="615" t="n"/>
      <c r="O37" s="616" t="n"/>
      <c r="P37" s="613" t="n"/>
      <c r="S37" s="589" t="n"/>
      <c r="U37" s="595" t="n"/>
    </row>
    <row r="38" ht="14.25" customHeight="1" s="356">
      <c r="B38" s="617" t="inlineStr">
        <is>
          <t>SEDI Name</t>
        </is>
      </c>
      <c r="C38" s="617" t="n"/>
      <c r="D38" s="617" t="n"/>
      <c r="E38" s="617" t="n"/>
      <c r="F38" s="617" t="inlineStr">
        <is>
          <t>Basic</t>
        </is>
      </c>
      <c r="G38" s="617" t="inlineStr">
        <is>
          <t>Date</t>
        </is>
      </c>
      <c r="H38" s="618" t="inlineStr">
        <is>
          <t>Include</t>
        </is>
      </c>
      <c r="I38" s="617" t="inlineStr">
        <is>
          <t>Adj. #</t>
        </is>
      </c>
      <c r="J38" s="617" t="inlineStr">
        <is>
          <t>Adj. Name</t>
        </is>
      </c>
      <c r="K38" s="617" t="n"/>
      <c r="L38" s="617" t="n"/>
      <c r="M38" s="617" t="n"/>
      <c r="N38" s="617" t="n"/>
      <c r="O38" s="619" t="n"/>
      <c r="S38" s="589" t="n"/>
      <c r="U38" s="595" t="n"/>
    </row>
    <row r="39" ht="14.25" customHeight="1" s="356">
      <c r="B39" s="620" t="inlineStr">
        <is>
          <t>Ahluwalia, Sarika</t>
        </is>
      </c>
      <c r="F39" s="621">
        <f>25067+27592</f>
        <v/>
      </c>
      <c r="G39" s="622" t="n">
        <v>45833</v>
      </c>
      <c r="H39" s="623" t="n">
        <v>1</v>
      </c>
      <c r="I39" s="624">
        <f>H39*F39</f>
        <v/>
      </c>
      <c r="J39" s="620" t="inlineStr">
        <is>
          <t>Sarika Ahluwalia (SVP &amp; Chief Compliance Officer)</t>
        </is>
      </c>
      <c r="O39" s="614" t="n"/>
      <c r="S39" s="589" t="n"/>
      <c r="U39" s="595" t="n"/>
    </row>
    <row r="40" ht="14.25" customHeight="1" s="356">
      <c r="B40" s="620" t="inlineStr">
        <is>
          <t>Anderson, Peter W.</t>
        </is>
      </c>
      <c r="F40" s="621" t="n">
        <v>90000</v>
      </c>
      <c r="G40" s="622" t="n">
        <v>46091</v>
      </c>
      <c r="H40" s="623" t="n">
        <v>1</v>
      </c>
      <c r="I40" s="624">
        <f>H40*F40</f>
        <v/>
      </c>
      <c r="J40" s="620" t="inlineStr">
        <is>
          <t>Peter Anderson (Director)</t>
        </is>
      </c>
      <c r="O40" s="614" t="n"/>
    </row>
    <row r="41" ht="14.25" customHeight="1" s="356">
      <c r="B41" s="620" t="inlineStr">
        <is>
          <t>Buchman, Noah</t>
        </is>
      </c>
      <c r="F41" s="621">
        <f>826865+200000</f>
        <v/>
      </c>
      <c r="G41" s="622" t="n">
        <v>45887</v>
      </c>
      <c r="H41" s="623" t="n">
        <v>1</v>
      </c>
      <c r="I41" s="624">
        <f>H41*F41</f>
        <v/>
      </c>
      <c r="J41" s="620" t="inlineStr">
        <is>
          <t>Noah Buchman (Co-Founder, President &amp; CRO)</t>
        </is>
      </c>
      <c r="O41" s="614" t="n"/>
    </row>
    <row r="42" ht="14.25" customHeight="1" s="356">
      <c r="B42" s="620" t="inlineStr">
        <is>
          <t>Edelstein, Gary</t>
        </is>
      </c>
      <c r="F42" s="621">
        <f>0+938675</f>
        <v/>
      </c>
      <c r="G42" s="622" t="n">
        <v>46090</v>
      </c>
      <c r="H42" s="623" t="n">
        <v>1</v>
      </c>
      <c r="I42" s="624">
        <f>H42*F42</f>
        <v/>
      </c>
      <c r="J42" s="620" t="inlineStr">
        <is>
          <t>Gary Edelstein (President &amp; COO)</t>
        </is>
      </c>
      <c r="O42" s="614" t="n"/>
    </row>
    <row r="43" ht="14.25" customHeight="1" s="356">
      <c r="B43" s="620" t="inlineStr">
        <is>
          <t>Goler, Jonathan Ari</t>
        </is>
      </c>
      <c r="F43" s="621" t="n">
        <v>755299</v>
      </c>
      <c r="G43" s="622" t="n">
        <v>46094</v>
      </c>
      <c r="H43" s="623" t="n">
        <v>1</v>
      </c>
      <c r="I43" s="624">
        <f>H43*F43</f>
        <v/>
      </c>
      <c r="J43" s="620" t="inlineStr">
        <is>
          <t>Jonathan Goler (Co-Founder &amp; Chief Risk Officer)</t>
        </is>
      </c>
      <c r="O43" s="614" t="n"/>
    </row>
    <row r="44" ht="14.25" customHeight="1" s="356">
      <c r="B44" s="620" t="inlineStr">
        <is>
          <t>Greenwade, Geoffrey Don</t>
        </is>
      </c>
      <c r="F44" s="621" t="n">
        <v>15384</v>
      </c>
      <c r="G44" s="622" t="n">
        <v>44483</v>
      </c>
      <c r="H44" s="623" t="n">
        <v>1</v>
      </c>
      <c r="I44" s="624">
        <f>H44*F44</f>
        <v/>
      </c>
      <c r="J44" s="620" t="inlineStr">
        <is>
          <t>Geoff Greenwade (Director)</t>
        </is>
      </c>
      <c r="O44" s="614" t="n"/>
      <c r="U44" s="614" t="n"/>
    </row>
    <row r="45" ht="14.25" customHeight="1" s="356">
      <c r="B45" s="620" t="inlineStr">
        <is>
          <t>Kinross, Clive</t>
        </is>
      </c>
      <c r="F45" s="621">
        <f>0+2550000+0</f>
        <v/>
      </c>
      <c r="G45" s="622" t="n">
        <v>46168</v>
      </c>
      <c r="H45" s="623" t="n">
        <v>1</v>
      </c>
      <c r="I45" s="624">
        <f>H45*F45</f>
        <v/>
      </c>
      <c r="J45" s="620" t="inlineStr">
        <is>
          <t>Clive Kinross (Co-Founder, CEO &amp; Director)</t>
        </is>
      </c>
      <c r="O45" s="614" t="n"/>
    </row>
    <row r="46" ht="14.25" customHeight="1" s="356">
      <c r="B46" s="620" t="inlineStr">
        <is>
          <t>Krauklis, Jonathan</t>
        </is>
      </c>
      <c r="F46" s="621" t="n">
        <v>35000</v>
      </c>
      <c r="G46" s="622" t="n">
        <v>45828</v>
      </c>
      <c r="H46" s="623" t="n">
        <v>1</v>
      </c>
      <c r="I46" s="624">
        <f>H46*F46</f>
        <v/>
      </c>
      <c r="J46" s="620" t="inlineStr">
        <is>
          <t>Jonathan Krauklis (VP, Operations)</t>
        </is>
      </c>
      <c r="O46" s="614" t="n"/>
    </row>
    <row r="47" ht="14.25" customHeight="1" s="356">
      <c r="B47" s="620" t="inlineStr">
        <is>
          <t>Martin, Karen Lynne</t>
        </is>
      </c>
      <c r="F47" s="621" t="n">
        <v>12256</v>
      </c>
      <c r="G47" s="622" t="n">
        <v>45429</v>
      </c>
      <c r="H47" s="623" t="n">
        <v>1</v>
      </c>
      <c r="I47" s="624">
        <f>H47*F47</f>
        <v/>
      </c>
      <c r="J47" s="620" t="inlineStr">
        <is>
          <t>Karen Martin (Director)</t>
        </is>
      </c>
      <c r="O47" s="614" t="n"/>
    </row>
    <row r="48" ht="14.25" customHeight="1" s="356">
      <c r="B48" s="620" t="inlineStr">
        <is>
          <t>Monaco, Anthony Peter</t>
        </is>
      </c>
      <c r="F48" s="621" t="n">
        <v>0</v>
      </c>
      <c r="G48" s="625" t="n"/>
      <c r="H48" s="623" t="n">
        <v>1</v>
      </c>
      <c r="I48" s="624">
        <f>H48*F48</f>
        <v/>
      </c>
      <c r="J48" s="620" t="inlineStr">
        <is>
          <t>Peter Monaco (Director)</t>
        </is>
      </c>
      <c r="O48" s="614" t="n"/>
    </row>
    <row r="49" ht="14.25" customHeight="1" s="356">
      <c r="B49" s="620" t="inlineStr">
        <is>
          <t>Puri, Poonam</t>
        </is>
      </c>
      <c r="F49" s="621" t="n">
        <v>10000</v>
      </c>
      <c r="G49" s="622" t="n">
        <v>44483</v>
      </c>
      <c r="H49" s="623" t="n">
        <v>1</v>
      </c>
      <c r="I49" s="624">
        <f>H49*F49</f>
        <v/>
      </c>
      <c r="J49" s="620" t="inlineStr">
        <is>
          <t>Poonam Puri (Director)</t>
        </is>
      </c>
      <c r="O49" s="614" t="n"/>
    </row>
    <row r="50" ht="14.25" customHeight="1" s="356">
      <c r="B50" s="620" t="inlineStr">
        <is>
          <t>Saidakovsky, Sheldon</t>
        </is>
      </c>
      <c r="F50" s="621" t="n">
        <v>698910</v>
      </c>
      <c r="G50" s="622" t="n">
        <v>46093</v>
      </c>
      <c r="H50" s="623" t="n">
        <v>1</v>
      </c>
      <c r="I50" s="624">
        <f>H50*F50</f>
        <v/>
      </c>
      <c r="J50" s="620" t="inlineStr">
        <is>
          <t>Sheldon Saidakovsky (Co-Founder &amp; CFO)</t>
        </is>
      </c>
      <c r="O50" s="614" t="n"/>
    </row>
    <row r="51" ht="14.25" customHeight="1" s="356">
      <c r="B51" s="620" t="inlineStr">
        <is>
          <t>Sherk, Bradley</t>
        </is>
      </c>
      <c r="F51" s="621" t="n">
        <v>47799</v>
      </c>
      <c r="G51" s="622" t="n">
        <v>46169</v>
      </c>
      <c r="H51" s="623" t="n">
        <v>1</v>
      </c>
      <c r="I51" s="624">
        <f>H51*F51</f>
        <v/>
      </c>
      <c r="J51" s="620" t="inlineStr">
        <is>
          <t>Brad Sherk (VP, Operations &amp; Shared Services)</t>
        </is>
      </c>
      <c r="O51" s="614" t="n"/>
    </row>
    <row r="52" ht="14.25" customHeight="1" s="356">
      <c r="B52" s="620" t="inlineStr">
        <is>
          <t>Stein, Michael</t>
        </is>
      </c>
      <c r="F52" s="621">
        <f>50000+4253800+170000</f>
        <v/>
      </c>
      <c r="G52" s="622" t="n">
        <v>46168</v>
      </c>
      <c r="H52" s="623" t="n">
        <v>1</v>
      </c>
      <c r="I52" s="624">
        <f>H52*F52</f>
        <v/>
      </c>
      <c r="J52" s="620" t="inlineStr">
        <is>
          <t>Michael Stein (Chairman)</t>
        </is>
      </c>
      <c r="O52" s="614" t="n"/>
    </row>
    <row r="53" ht="14.25" customHeight="1" s="356">
      <c r="B53" s="620" t="inlineStr">
        <is>
          <t>Usprech, Cindy</t>
        </is>
      </c>
      <c r="F53" s="621" t="n">
        <v>0</v>
      </c>
      <c r="G53" s="622" t="n">
        <v>46169</v>
      </c>
      <c r="H53" s="623" t="n">
        <v>1</v>
      </c>
      <c r="I53" s="624">
        <f>H53*F53</f>
        <v/>
      </c>
      <c r="J53" s="620" t="inlineStr">
        <is>
          <t>Cindy Usprech (SVP, People &amp; Culture)</t>
        </is>
      </c>
      <c r="O53" s="614" t="n"/>
    </row>
    <row r="54" ht="14.25" customHeight="1" s="356">
      <c r="B54" s="620" t="inlineStr">
        <is>
          <t>Vaghela, Jay</t>
        </is>
      </c>
      <c r="F54" s="621" t="n">
        <v>343207</v>
      </c>
      <c r="G54" s="622" t="n">
        <v>46093</v>
      </c>
      <c r="H54" s="623" t="n">
        <v>1</v>
      </c>
      <c r="I54" s="624">
        <f>H54*F54</f>
        <v/>
      </c>
      <c r="J54" s="620" t="inlineStr">
        <is>
          <t>Jay Vaghela (SVP, General Counsel)</t>
        </is>
      </c>
      <c r="O54" s="614" t="n"/>
    </row>
    <row r="55" ht="14.25" customHeight="1" s="356">
      <c r="F55" s="595" t="n"/>
      <c r="G55" s="625" t="n"/>
      <c r="H55" s="623" t="n">
        <v>1</v>
      </c>
      <c r="I55" s="624">
        <f>H55*F55</f>
        <v/>
      </c>
      <c r="O55" s="614" t="n"/>
    </row>
    <row r="56" ht="14.25" customHeight="1" s="356">
      <c r="F56" s="595" t="n"/>
      <c r="G56" s="625" t="n"/>
      <c r="H56" s="623" t="n">
        <v>1</v>
      </c>
      <c r="I56" s="624">
        <f>H56*F56</f>
        <v/>
      </c>
      <c r="O56" s="614" t="n"/>
    </row>
    <row r="57" ht="14.25" customHeight="1" s="356">
      <c r="F57" s="595" t="n"/>
      <c r="G57" s="625" t="n"/>
      <c r="H57" s="623" t="n">
        <v>1</v>
      </c>
      <c r="I57" s="624">
        <f>H57*F57</f>
        <v/>
      </c>
      <c r="O57" s="614" t="n"/>
    </row>
    <row r="58" ht="14.25" customHeight="1" s="356">
      <c r="F58" s="595" t="n"/>
      <c r="G58" s="625" t="n"/>
      <c r="H58" s="626" t="n">
        <v>1</v>
      </c>
      <c r="I58" s="624">
        <f>H58*F58</f>
        <v/>
      </c>
      <c r="O58" s="614" t="n"/>
    </row>
    <row r="59" ht="14.25" customHeight="1" s="356">
      <c r="F59" s="595" t="n"/>
      <c r="G59" s="625" t="n"/>
      <c r="H59" s="626" t="n">
        <v>1</v>
      </c>
      <c r="I59" s="624">
        <f>H59*F59</f>
        <v/>
      </c>
      <c r="O59" s="614" t="n"/>
    </row>
    <row r="60" ht="14.25" customHeight="1" s="356">
      <c r="F60" s="595" t="n"/>
      <c r="G60" s="625" t="n"/>
      <c r="H60" s="626" t="n">
        <v>1</v>
      </c>
      <c r="I60" s="624">
        <f>H60*F60</f>
        <v/>
      </c>
      <c r="O60" s="614" t="n"/>
    </row>
    <row r="61" ht="14.25" customHeight="1" s="356">
      <c r="F61" s="595" t="n"/>
      <c r="G61" s="625" t="n"/>
      <c r="H61" s="626" t="n">
        <v>1</v>
      </c>
      <c r="I61" s="624">
        <f>H61*F61</f>
        <v/>
      </c>
      <c r="O61" s="614" t="n"/>
    </row>
    <row r="62" ht="14.25" customHeight="1" s="356">
      <c r="F62" s="595" t="n"/>
      <c r="G62" s="625" t="n"/>
      <c r="H62" s="626" t="n">
        <v>1</v>
      </c>
      <c r="I62" s="624">
        <f>H62*F62</f>
        <v/>
      </c>
      <c r="O62" s="614" t="n"/>
    </row>
    <row r="63" ht="14.25" customHeight="1" s="356">
      <c r="F63" s="595" t="n"/>
      <c r="G63" s="625" t="n"/>
      <c r="H63" s="626" t="n">
        <v>1</v>
      </c>
      <c r="I63" s="624">
        <f>H63*F63</f>
        <v/>
      </c>
      <c r="O63" s="614" t="n"/>
    </row>
    <row r="64" ht="14.25" customHeight="1" s="356">
      <c r="F64" s="595" t="n"/>
      <c r="G64" s="625" t="n"/>
      <c r="H64" s="626" t="n">
        <v>1</v>
      </c>
      <c r="I64" s="624">
        <f>H64*F64</f>
        <v/>
      </c>
      <c r="O64" s="614" t="n"/>
    </row>
    <row r="65" ht="14.25" customHeight="1" s="356">
      <c r="F65" s="595" t="n"/>
      <c r="G65" s="625" t="n"/>
      <c r="H65" s="626" t="n">
        <v>1</v>
      </c>
      <c r="I65" s="624">
        <f>H65*F65</f>
        <v/>
      </c>
      <c r="O65" s="614" t="n"/>
    </row>
    <row r="66" ht="14.25" customHeight="1" s="356">
      <c r="F66" s="595" t="n"/>
      <c r="G66" s="625" t="n"/>
      <c r="H66" s="589" t="n"/>
      <c r="I66" s="624" t="n"/>
      <c r="O66" s="614" t="n"/>
    </row>
    <row r="67" ht="14.25" customHeight="1" s="356">
      <c r="B67" s="627" t="inlineStr">
        <is>
          <t>From Bloomberg</t>
        </is>
      </c>
      <c r="C67" s="627" t="n"/>
      <c r="D67" s="627" t="n"/>
      <c r="E67" s="627" t="n"/>
      <c r="F67" s="627" t="inlineStr">
        <is>
          <t>Basic</t>
        </is>
      </c>
      <c r="G67" s="627" t="inlineStr">
        <is>
          <t>Date</t>
        </is>
      </c>
      <c r="H67" s="628" t="inlineStr">
        <is>
          <t>Include</t>
        </is>
      </c>
      <c r="I67" s="627" t="inlineStr">
        <is>
          <t>Adj. #</t>
        </is>
      </c>
      <c r="J67" s="627" t="inlineStr">
        <is>
          <t>Adj. Name</t>
        </is>
      </c>
      <c r="K67" s="629" t="n"/>
      <c r="L67" s="629" t="n"/>
      <c r="M67" s="629" t="n"/>
      <c r="N67" s="629" t="n"/>
      <c r="O67" s="614" t="n"/>
    </row>
    <row r="68" ht="14.25" customHeight="1" s="356">
      <c r="B68" s="630">
        <f>'Bloomberg Output'!C14</f>
        <v/>
      </c>
      <c r="C68" s="630" t="n"/>
      <c r="D68" s="630" t="n"/>
      <c r="E68" s="630" t="n"/>
      <c r="F68" s="631">
        <f>+_xlfn.XLOOKUP($B68,'Bloomberg Output'!$C$14:$C$131,'Bloomberg Output'!$L$14:$L$131)</f>
        <v/>
      </c>
      <c r="G68" s="631">
        <f>+_xlfn.XLOOKUP($B68,'Bloomberg Output'!$C$14:$C$131,'Bloomberg Output'!$N$14:$N$131)</f>
        <v/>
      </c>
      <c r="H68" s="632" t="n">
        <v>0</v>
      </c>
      <c r="I68" s="633">
        <f>H68*F68</f>
        <v/>
      </c>
      <c r="J68" s="634" t="inlineStr">
        <is>
          <t>MPI Capital</t>
        </is>
      </c>
      <c r="K68" s="635" t="n"/>
      <c r="L68" s="635" t="n"/>
      <c r="M68" s="635" t="n"/>
      <c r="N68" s="635" t="n"/>
      <c r="O68" s="624" t="n"/>
      <c r="P68" s="635" t="n"/>
      <c r="Q68" s="635" t="n"/>
      <c r="R68" s="635" t="n"/>
      <c r="S68" s="635" t="n"/>
      <c r="T68" s="635" t="n"/>
      <c r="U68" s="635" t="n"/>
      <c r="V68" s="635" t="n"/>
      <c r="W68" s="635" t="n"/>
      <c r="X68" s="635" t="n"/>
      <c r="Y68" s="635" t="n"/>
      <c r="Z68" s="635" t="n"/>
      <c r="AA68" s="635" t="n"/>
      <c r="AB68" s="635" t="n"/>
      <c r="AC68" s="635" t="n"/>
      <c r="AD68" s="635" t="n"/>
      <c r="AE68" s="635" t="n"/>
      <c r="AF68" s="635" t="n"/>
      <c r="AG68" s="635" t="n"/>
      <c r="AH68" s="635" t="n"/>
      <c r="AI68" s="635" t="n"/>
      <c r="AJ68" s="635" t="n"/>
      <c r="AK68" s="635" t="n"/>
      <c r="AL68" s="635" t="n"/>
      <c r="AM68" s="635" t="n"/>
      <c r="AN68" s="635" t="n"/>
      <c r="AO68" s="635" t="n"/>
      <c r="AP68" s="635" t="n"/>
      <c r="AQ68" s="635" t="n"/>
      <c r="AR68" s="635" t="n"/>
      <c r="AS68" s="635" t="n"/>
      <c r="AT68" s="635" t="n"/>
      <c r="AU68" s="635" t="n"/>
      <c r="AV68" s="635" t="n"/>
      <c r="AW68" s="635" t="n"/>
      <c r="AX68" s="635" t="n"/>
      <c r="AY68" s="635" t="n"/>
      <c r="AZ68" s="635" t="n"/>
      <c r="BA68" s="635" t="n"/>
      <c r="BB68" s="635" t="n"/>
      <c r="BC68" s="635" t="n"/>
      <c r="BD68" s="635" t="n"/>
      <c r="BE68" s="635" t="n"/>
      <c r="BF68" s="635" t="n"/>
      <c r="BG68" s="635" t="n"/>
      <c r="BH68" s="635" t="n"/>
      <c r="BI68" s="635" t="n"/>
      <c r="BJ68" s="635" t="n"/>
      <c r="BK68" s="635" t="n"/>
      <c r="BL68" s="635" t="n"/>
      <c r="BM68" s="635" t="n"/>
      <c r="BN68" s="635" t="n"/>
      <c r="BO68" s="635" t="n"/>
      <c r="BP68" s="635" t="n"/>
      <c r="BQ68" s="635" t="n"/>
      <c r="BR68" s="635" t="n"/>
      <c r="BS68" s="635" t="n"/>
      <c r="BT68" s="635" t="n"/>
      <c r="BU68" s="635" t="n"/>
      <c r="BV68" s="635" t="n"/>
      <c r="BW68" s="635" t="n"/>
      <c r="BX68" s="635" t="n"/>
      <c r="BY68" s="635" t="n"/>
      <c r="BZ68" s="635" t="n"/>
      <c r="CA68" s="635" t="n"/>
      <c r="CB68" s="635" t="n"/>
      <c r="CC68" s="635" t="n"/>
      <c r="CD68" s="635" t="n"/>
      <c r="CE68" s="635" t="n"/>
    </row>
    <row r="69" ht="14.25" customHeight="1" s="356">
      <c r="B69" s="630">
        <f>'Bloomberg Output'!C15</f>
        <v/>
      </c>
      <c r="C69" s="630" t="n"/>
      <c r="D69" s="630" t="n"/>
      <c r="E69" s="630" t="n"/>
      <c r="F69" s="631">
        <f>+_xlfn.XLOOKUP($B69,'Bloomberg Output'!$C$14:$C$131,'Bloomberg Output'!$L$14:$L$131)</f>
        <v/>
      </c>
      <c r="G69" s="631">
        <f>+_xlfn.XLOOKUP($B69,'Bloomberg Output'!$C$14:$C$131,'Bloomberg Output'!$N$14:$N$131)</f>
        <v/>
      </c>
      <c r="H69" s="636" t="n">
        <v>0</v>
      </c>
      <c r="I69" s="624">
        <f>H69*F69</f>
        <v/>
      </c>
      <c r="J69" s="634" t="inlineStr">
        <is>
          <t>Kinross Clive</t>
        </is>
      </c>
    </row>
    <row r="70" ht="14.25" customHeight="1" s="356">
      <c r="B70" s="630">
        <f>'Bloomberg Output'!C16</f>
        <v/>
      </c>
      <c r="C70" s="630" t="n"/>
      <c r="D70" s="630" t="n"/>
      <c r="E70" s="630" t="n"/>
      <c r="F70" s="631">
        <f>+_xlfn.XLOOKUP($B70,'Bloomberg Output'!$C$14:$C$131,'Bloomberg Output'!$L$14:$L$131)</f>
        <v/>
      </c>
      <c r="G70" s="631">
        <f>+_xlfn.XLOOKUP($B70,'Bloomberg Output'!$C$14:$C$131,'Bloomberg Output'!$N$14:$N$131)</f>
        <v/>
      </c>
      <c r="H70" s="637" t="n">
        <v>0</v>
      </c>
      <c r="I70" s="624">
        <f>H70*F70</f>
        <v/>
      </c>
      <c r="J70" s="634" t="inlineStr">
        <is>
          <t>Buchman Noah</t>
        </is>
      </c>
    </row>
    <row r="71" ht="14.25" customHeight="1" s="356">
      <c r="B71" s="630">
        <f>'Bloomberg Output'!C17</f>
        <v/>
      </c>
      <c r="C71" s="630" t="n"/>
      <c r="D71" s="630" t="n"/>
      <c r="E71" s="630" t="n"/>
      <c r="F71" s="631">
        <f>+_xlfn.XLOOKUP($B71,'Bloomberg Output'!$C$14:$C$131,'Bloomberg Output'!$L$14:$L$131)</f>
        <v/>
      </c>
      <c r="G71" s="631">
        <f>+_xlfn.XLOOKUP($B71,'Bloomberg Output'!$C$14:$C$131,'Bloomberg Output'!$N$14:$N$131)</f>
        <v/>
      </c>
      <c r="H71" s="637" t="n">
        <v>0</v>
      </c>
      <c r="I71" s="624">
        <f>H71*F71</f>
        <v/>
      </c>
      <c r="J71" s="634" t="inlineStr">
        <is>
          <t>LEAGA</t>
        </is>
      </c>
    </row>
    <row r="72" ht="14.25" customHeight="1" s="356">
      <c r="B72" s="630">
        <f>'Bloomberg Output'!C18</f>
        <v/>
      </c>
      <c r="C72" s="630" t="n"/>
      <c r="D72" s="630" t="n"/>
      <c r="E72" s="630" t="n"/>
      <c r="F72" s="631">
        <f>+_xlfn.XLOOKUP($B72,'Bloomberg Output'!$C$14:$C$131,'Bloomberg Output'!$L$14:$L$131)</f>
        <v/>
      </c>
      <c r="G72" s="631">
        <f>+_xlfn.XLOOKUP($B72,'Bloomberg Output'!$C$14:$C$131,'Bloomberg Output'!$N$14:$N$131)</f>
        <v/>
      </c>
      <c r="H72" s="637" t="n">
        <v>0</v>
      </c>
      <c r="I72" s="624">
        <f>H72*F72</f>
        <v/>
      </c>
      <c r="J72" s="634" t="inlineStr">
        <is>
          <t>Goler Jonathan</t>
        </is>
      </c>
    </row>
    <row r="73" ht="14.25" customHeight="1" s="356">
      <c r="B73" s="630">
        <f>'Bloomberg Output'!C19</f>
        <v/>
      </c>
      <c r="C73" s="630" t="n"/>
      <c r="D73" s="630" t="n"/>
      <c r="E73" s="630" t="n"/>
      <c r="F73" s="631">
        <f>+_xlfn.XLOOKUP($B73,'Bloomberg Output'!$C$14:$C$131,'Bloomberg Output'!$L$14:$L$131)</f>
        <v/>
      </c>
      <c r="G73" s="631">
        <f>+_xlfn.XLOOKUP($B73,'Bloomberg Output'!$C$14:$C$131,'Bloomberg Output'!$N$14:$N$131)</f>
        <v/>
      </c>
      <c r="H73" s="637" t="n">
        <v>0</v>
      </c>
      <c r="I73" s="624">
        <f>H73*F73</f>
        <v/>
      </c>
      <c r="J73" s="634" t="inlineStr">
        <is>
          <t>Saidakovsky Sheldon</t>
        </is>
      </c>
    </row>
    <row r="74" ht="14.25" customHeight="1" s="356">
      <c r="B74" s="630">
        <f>'Bloomberg Output'!C20</f>
        <v/>
      </c>
      <c r="C74" s="630" t="n"/>
      <c r="D74" s="630" t="n"/>
      <c r="E74" s="630" t="n"/>
      <c r="F74" s="631">
        <f>+_xlfn.XLOOKUP($B74,'Bloomberg Output'!$C$14:$C$131,'Bloomberg Output'!$L$14:$L$131)</f>
        <v/>
      </c>
      <c r="G74" s="631">
        <f>+_xlfn.XLOOKUP($B74,'Bloomberg Output'!$C$14:$C$131,'Bloomberg Output'!$N$14:$N$131)</f>
        <v/>
      </c>
      <c r="H74" s="638" t="n">
        <v>1</v>
      </c>
      <c r="I74" s="624">
        <f>H74*F74</f>
        <v/>
      </c>
      <c r="J74" s="634" t="inlineStr">
        <is>
          <t>CI Financial</t>
        </is>
      </c>
    </row>
    <row r="75" ht="14.25" customHeight="1" s="356">
      <c r="B75" s="630">
        <f>'Bloomberg Output'!C21</f>
        <v/>
      </c>
      <c r="C75" s="630" t="n"/>
      <c r="D75" s="630" t="n"/>
      <c r="E75" s="630" t="n"/>
      <c r="F75" s="631">
        <f>+_xlfn.XLOOKUP($B75,'Bloomberg Output'!$C$14:$C$131,'Bloomberg Output'!$L$14:$L$131)</f>
        <v/>
      </c>
      <c r="G75" s="631">
        <f>+_xlfn.XLOOKUP($B75,'Bloomberg Output'!$C$14:$C$131,'Bloomberg Output'!$N$14:$N$131)</f>
        <v/>
      </c>
      <c r="H75" s="637" t="n">
        <v>0</v>
      </c>
      <c r="I75" s="624">
        <f>H75*F75</f>
        <v/>
      </c>
      <c r="J75" s="634" t="inlineStr">
        <is>
          <t>Vaghela Jay</t>
        </is>
      </c>
    </row>
    <row r="76" ht="14.25" customHeight="1" s="356">
      <c r="B76" s="630">
        <f>'Bloomberg Output'!C22</f>
        <v/>
      </c>
      <c r="C76" s="630" t="n"/>
      <c r="D76" s="630" t="n"/>
      <c r="E76" s="630" t="n"/>
      <c r="F76" s="631">
        <f>+_xlfn.XLOOKUP($B76,'Bloomberg Output'!$C$14:$C$131,'Bloomberg Output'!$L$14:$L$131)</f>
        <v/>
      </c>
      <c r="G76" s="631">
        <f>+_xlfn.XLOOKUP($B76,'Bloomberg Output'!$C$14:$C$131,'Bloomberg Output'!$N$14:$N$131)</f>
        <v/>
      </c>
      <c r="H76" s="638" t="n">
        <v>1</v>
      </c>
      <c r="I76" s="624">
        <f>H76*F76</f>
        <v/>
      </c>
      <c r="J76" s="634" t="inlineStr">
        <is>
          <t>Toronto-Dominion Bank</t>
        </is>
      </c>
    </row>
    <row r="77" ht="14.25" customHeight="1" s="356">
      <c r="B77" s="630">
        <f>'Bloomberg Output'!C23</f>
        <v/>
      </c>
      <c r="C77" s="630" t="n"/>
      <c r="D77" s="630" t="n"/>
      <c r="E77" s="630" t="n"/>
      <c r="F77" s="631">
        <f>+_xlfn.XLOOKUP($B77,'Bloomberg Output'!$C$14:$C$131,'Bloomberg Output'!$L$14:$L$131)</f>
        <v/>
      </c>
      <c r="G77" s="631">
        <f>+_xlfn.XLOOKUP($B77,'Bloomberg Output'!$C$14:$C$131,'Bloomberg Output'!$N$14:$N$131)</f>
        <v/>
      </c>
      <c r="H77" s="638" t="n">
        <v>1</v>
      </c>
      <c r="I77" s="624">
        <f>H77*F77</f>
        <v/>
      </c>
      <c r="J77" s="634" t="inlineStr">
        <is>
          <t>Franklin Resources</t>
        </is>
      </c>
    </row>
    <row r="78" ht="14.25" customHeight="1" s="356">
      <c r="B78" s="630">
        <f>'Bloomberg Output'!C24</f>
        <v/>
      </c>
      <c r="C78" s="630" t="n"/>
      <c r="D78" s="630" t="n"/>
      <c r="E78" s="630" t="n"/>
      <c r="F78" s="631">
        <f>+_xlfn.XLOOKUP($B78,'Bloomberg Output'!$C$14:$C$131,'Bloomberg Output'!$L$14:$L$131)</f>
        <v/>
      </c>
      <c r="G78" s="631">
        <f>+_xlfn.XLOOKUP($B78,'Bloomberg Output'!$C$14:$C$131,'Bloomberg Output'!$N$14:$N$131)</f>
        <v/>
      </c>
      <c r="H78" s="638" t="n">
        <v>1</v>
      </c>
      <c r="I78" s="624">
        <f>H78*F78</f>
        <v/>
      </c>
      <c r="J78" s="634" t="inlineStr">
        <is>
          <t>Bank of Montreal</t>
        </is>
      </c>
    </row>
    <row r="79" ht="14.25" customHeight="1" s="356">
      <c r="B79" s="630">
        <f>'Bloomberg Output'!C25</f>
        <v/>
      </c>
      <c r="C79" s="630" t="n"/>
      <c r="D79" s="630" t="n"/>
      <c r="E79" s="630" t="n"/>
      <c r="F79" s="631">
        <f>+_xlfn.XLOOKUP($B79,'Bloomberg Output'!$C$14:$C$131,'Bloomberg Output'!$L$14:$L$131)</f>
        <v/>
      </c>
      <c r="G79" s="631">
        <f>+_xlfn.XLOOKUP($B79,'Bloomberg Output'!$C$14:$C$131,'Bloomberg Output'!$N$14:$N$131)</f>
        <v/>
      </c>
      <c r="H79" s="637" t="n">
        <v>0</v>
      </c>
      <c r="I79" s="624">
        <f>H79*F79</f>
        <v/>
      </c>
      <c r="J79" s="634" t="inlineStr">
        <is>
          <t>Stein Michael L</t>
        </is>
      </c>
    </row>
    <row r="80" ht="14.25" customHeight="1" s="356">
      <c r="B80" s="630">
        <f>'Bloomberg Output'!C26</f>
        <v/>
      </c>
      <c r="C80" s="630" t="n"/>
      <c r="D80" s="630" t="n"/>
      <c r="E80" s="630" t="n"/>
      <c r="F80" s="631">
        <f>+_xlfn.XLOOKUP($B80,'Bloomberg Output'!$C$14:$C$131,'Bloomberg Output'!$L$14:$L$131)</f>
        <v/>
      </c>
      <c r="G80" s="631">
        <f>+_xlfn.XLOOKUP($B80,'Bloomberg Output'!$C$14:$C$131,'Bloomberg Output'!$N$14:$N$131)</f>
        <v/>
      </c>
      <c r="H80" s="638" t="n">
        <v>1</v>
      </c>
      <c r="I80" s="624">
        <f>H80*F80</f>
        <v/>
      </c>
      <c r="J80" s="634" t="inlineStr">
        <is>
          <t>AGF Management</t>
        </is>
      </c>
    </row>
    <row r="81" ht="14.25" customHeight="1" s="356">
      <c r="B81" s="630">
        <f>'Bloomberg Output'!C27</f>
        <v/>
      </c>
      <c r="C81" s="630" t="n"/>
      <c r="D81" s="630" t="n"/>
      <c r="E81" s="630" t="n"/>
      <c r="F81" s="631">
        <f>+_xlfn.XLOOKUP($B81,'Bloomberg Output'!$C$14:$C$131,'Bloomberg Output'!$L$14:$L$131)</f>
        <v/>
      </c>
      <c r="G81" s="631">
        <f>+_xlfn.XLOOKUP($B81,'Bloomberg Output'!$C$14:$C$131,'Bloomberg Output'!$N$14:$N$131)</f>
        <v/>
      </c>
      <c r="H81" s="638" t="n">
        <v>1</v>
      </c>
      <c r="I81" s="624">
        <f>H81*F81</f>
        <v/>
      </c>
      <c r="J81" s="634" t="inlineStr">
        <is>
          <t>Brompton</t>
        </is>
      </c>
    </row>
    <row r="82" ht="14.25" customHeight="1" s="356">
      <c r="B82" s="630">
        <f>'Bloomberg Output'!C28</f>
        <v/>
      </c>
      <c r="C82" s="630" t="n"/>
      <c r="D82" s="630" t="n"/>
      <c r="E82" s="630" t="n"/>
      <c r="F82" s="631">
        <f>+_xlfn.XLOOKUP($B82,'Bloomberg Output'!$C$14:$C$131,'Bloomberg Output'!$L$14:$L$131)</f>
        <v/>
      </c>
      <c r="G82" s="631">
        <f>+_xlfn.XLOOKUP($B82,'Bloomberg Output'!$C$14:$C$131,'Bloomberg Output'!$N$14:$N$131)</f>
        <v/>
      </c>
      <c r="H82" s="638" t="n">
        <v>1</v>
      </c>
      <c r="I82" s="624">
        <f>H82*F82</f>
        <v/>
      </c>
      <c r="J82" s="634" t="inlineStr">
        <is>
          <t>Dimensional Fund Advisors</t>
        </is>
      </c>
    </row>
    <row r="83" ht="14.25" customHeight="1" s="356">
      <c r="B83" s="630">
        <f>'Bloomberg Output'!C29</f>
        <v/>
      </c>
      <c r="C83" s="630" t="n"/>
      <c r="D83" s="630" t="n"/>
      <c r="E83" s="630" t="n"/>
      <c r="F83" s="631">
        <f>+_xlfn.XLOOKUP($B83,'Bloomberg Output'!$C$14:$C$131,'Bloomberg Output'!$L$14:$L$131)</f>
        <v/>
      </c>
      <c r="G83" s="631">
        <f>+_xlfn.XLOOKUP($B83,'Bloomberg Output'!$C$14:$C$131,'Bloomberg Output'!$N$14:$N$131)</f>
        <v/>
      </c>
      <c r="H83" s="638" t="n">
        <v>1</v>
      </c>
      <c r="I83" s="624">
        <f>H83*F83</f>
        <v/>
      </c>
      <c r="J83" s="634" t="inlineStr">
        <is>
          <t>Canadian Imperial Bank of Commerce</t>
        </is>
      </c>
    </row>
    <row r="84" ht="14.25" customHeight="1" s="356">
      <c r="B84" s="630">
        <f>'Bloomberg Output'!C30</f>
        <v/>
      </c>
      <c r="C84" s="630" t="n"/>
      <c r="D84" s="630" t="n"/>
      <c r="E84" s="630" t="n"/>
      <c r="F84" s="631">
        <f>+_xlfn.XLOOKUP($B84,'Bloomberg Output'!$C$14:$C$131,'Bloomberg Output'!$L$14:$L$131)</f>
        <v/>
      </c>
      <c r="G84" s="631">
        <f>+_xlfn.XLOOKUP($B84,'Bloomberg Output'!$C$14:$C$131,'Bloomberg Output'!$N$14:$N$131)</f>
        <v/>
      </c>
      <c r="H84" s="638" t="n">
        <v>1</v>
      </c>
      <c r="I84" s="624">
        <f>H84*F84</f>
        <v/>
      </c>
      <c r="J84" s="634" t="inlineStr">
        <is>
          <t>BlackRock</t>
        </is>
      </c>
    </row>
    <row r="85" ht="14.25" customHeight="1" s="356">
      <c r="B85" s="630">
        <f>'Bloomberg Output'!C31</f>
        <v/>
      </c>
      <c r="C85" s="630" t="n"/>
      <c r="D85" s="630" t="n"/>
      <c r="E85" s="630" t="n"/>
      <c r="F85" s="631">
        <f>+_xlfn.XLOOKUP($B85,'Bloomberg Output'!$C$14:$C$131,'Bloomberg Output'!$L$14:$L$131)</f>
        <v/>
      </c>
      <c r="G85" s="631">
        <f>+_xlfn.XLOOKUP($B85,'Bloomberg Output'!$C$14:$C$131,'Bloomberg Output'!$N$14:$N$131)</f>
        <v/>
      </c>
      <c r="H85" s="637" t="n">
        <v>0</v>
      </c>
      <c r="I85" s="624">
        <f>H85*F85</f>
        <v/>
      </c>
      <c r="J85" s="634" t="inlineStr">
        <is>
          <t>Anderson Peter W</t>
        </is>
      </c>
    </row>
    <row r="86" ht="14.25" customHeight="1" s="356">
      <c r="B86" s="630">
        <f>'Bloomberg Output'!C32</f>
        <v/>
      </c>
      <c r="C86" s="630" t="n"/>
      <c r="D86" s="630" t="n"/>
      <c r="E86" s="630" t="n"/>
      <c r="F86" s="631">
        <f>+_xlfn.XLOOKUP($B86,'Bloomberg Output'!$C$14:$C$131,'Bloomberg Output'!$L$14:$L$131)</f>
        <v/>
      </c>
      <c r="G86" s="631">
        <f>+_xlfn.XLOOKUP($B86,'Bloomberg Output'!$C$14:$C$131,'Bloomberg Output'!$N$14:$N$131)</f>
        <v/>
      </c>
      <c r="H86" s="638" t="n">
        <v>1</v>
      </c>
      <c r="I86" s="624">
        <f>H86*F86</f>
        <v/>
      </c>
      <c r="J86" s="634" t="inlineStr">
        <is>
          <t>American Century</t>
        </is>
      </c>
    </row>
    <row r="87" ht="14.25" customHeight="1" s="356">
      <c r="B87" s="630">
        <f>'Bloomberg Output'!C33</f>
        <v/>
      </c>
      <c r="C87" s="630" t="n"/>
      <c r="D87" s="630" t="n"/>
      <c r="E87" s="630" t="n"/>
      <c r="F87" s="631">
        <f>+_xlfn.XLOOKUP($B87,'Bloomberg Output'!$C$14:$C$131,'Bloomberg Output'!$L$14:$L$131)</f>
        <v/>
      </c>
      <c r="G87" s="631">
        <f>+_xlfn.XLOOKUP($B87,'Bloomberg Output'!$C$14:$C$131,'Bloomberg Output'!$N$14:$N$131)</f>
        <v/>
      </c>
      <c r="H87" s="637" t="n">
        <v>0</v>
      </c>
      <c r="I87" s="624">
        <f>H87*F87</f>
        <v/>
      </c>
      <c r="J87" s="634" t="inlineStr">
        <is>
          <t>Ahluwalia Sarika</t>
        </is>
      </c>
    </row>
    <row r="88" ht="14.25" customHeight="1" s="356">
      <c r="B88" s="630">
        <f>'Bloomberg Output'!C34</f>
        <v/>
      </c>
      <c r="C88" s="630" t="n"/>
      <c r="D88" s="630" t="n"/>
      <c r="E88" s="630" t="n"/>
      <c r="F88" s="631">
        <f>+_xlfn.XLOOKUP($B88,'Bloomberg Output'!$C$14:$C$131,'Bloomberg Output'!$L$14:$L$131)</f>
        <v/>
      </c>
      <c r="G88" s="631">
        <f>+_xlfn.XLOOKUP($B88,'Bloomberg Output'!$C$14:$C$131,'Bloomberg Output'!$N$14:$N$131)</f>
        <v/>
      </c>
      <c r="H88" s="637" t="n">
        <v>0</v>
      </c>
      <c r="I88" s="624">
        <f>H88*F88</f>
        <v/>
      </c>
      <c r="J88" s="634" t="inlineStr">
        <is>
          <t>Sherk Bradley</t>
        </is>
      </c>
    </row>
    <row r="89" ht="14.25" customHeight="1" s="356">
      <c r="B89" s="630">
        <f>'Bloomberg Output'!C35</f>
        <v/>
      </c>
      <c r="C89" s="630" t="n"/>
      <c r="D89" s="630" t="n"/>
      <c r="E89" s="630" t="n"/>
      <c r="F89" s="631">
        <f>+_xlfn.XLOOKUP($B89,'Bloomberg Output'!$C$14:$C$131,'Bloomberg Output'!$L$14:$L$131)</f>
        <v/>
      </c>
      <c r="G89" s="631">
        <f>+_xlfn.XLOOKUP($B89,'Bloomberg Output'!$C$14:$C$131,'Bloomberg Output'!$N$14:$N$131)</f>
        <v/>
      </c>
      <c r="H89" s="638" t="n">
        <v>1</v>
      </c>
      <c r="I89" s="624">
        <f>H89*F89</f>
        <v/>
      </c>
      <c r="J89" s="634" t="inlineStr">
        <is>
          <t>Arrow Capital Management</t>
        </is>
      </c>
    </row>
    <row r="90" ht="14.25" customHeight="1" s="356">
      <c r="B90" s="630">
        <f>'Bloomberg Output'!C36</f>
        <v/>
      </c>
      <c r="C90" s="630" t="n"/>
      <c r="D90" s="630" t="n"/>
      <c r="E90" s="630" t="n"/>
      <c r="F90" s="631">
        <f>+_xlfn.XLOOKUP($B90,'Bloomberg Output'!$C$14:$C$131,'Bloomberg Output'!$L$14:$L$131)</f>
        <v/>
      </c>
      <c r="G90" s="631">
        <f>+_xlfn.XLOOKUP($B90,'Bloomberg Output'!$C$14:$C$131,'Bloomberg Output'!$N$14:$N$131)</f>
        <v/>
      </c>
      <c r="H90" s="637" t="n">
        <v>0</v>
      </c>
      <c r="I90" s="624">
        <f>H90*F90</f>
        <v/>
      </c>
      <c r="J90" s="634" t="inlineStr">
        <is>
          <t>Krauklis Jonathan</t>
        </is>
      </c>
    </row>
    <row r="91" ht="14.25" customHeight="1" s="356">
      <c r="B91" s="630">
        <f>'Bloomberg Output'!C37</f>
        <v/>
      </c>
      <c r="C91" s="630" t="n"/>
      <c r="D91" s="630" t="n"/>
      <c r="E91" s="630" t="n"/>
      <c r="F91" s="631">
        <f>+_xlfn.XLOOKUP($B91,'Bloomberg Output'!$C$14:$C$131,'Bloomberg Output'!$L$14:$L$131)</f>
        <v/>
      </c>
      <c r="G91" s="631">
        <f>+_xlfn.XLOOKUP($B91,'Bloomberg Output'!$C$14:$C$131,'Bloomberg Output'!$N$14:$N$131)</f>
        <v/>
      </c>
      <c r="H91" s="638" t="n">
        <v>1</v>
      </c>
      <c r="I91" s="624">
        <f>H91*F91</f>
        <v/>
      </c>
      <c r="J91" s="634" t="inlineStr">
        <is>
          <t>Power Corp of Canada</t>
        </is>
      </c>
    </row>
    <row r="92" ht="14.25" customHeight="1" s="356">
      <c r="B92" s="630">
        <f>'Bloomberg Output'!C38</f>
        <v/>
      </c>
      <c r="C92" s="630" t="n"/>
      <c r="D92" s="630" t="n"/>
      <c r="E92" s="630" t="n"/>
      <c r="F92" s="631">
        <f>+_xlfn.XLOOKUP($B92,'Bloomberg Output'!$C$14:$C$131,'Bloomberg Output'!$L$14:$L$131)</f>
        <v/>
      </c>
      <c r="G92" s="631">
        <f>+_xlfn.XLOOKUP($B92,'Bloomberg Output'!$C$14:$C$131,'Bloomberg Output'!$N$14:$N$131)</f>
        <v/>
      </c>
      <c r="H92" s="638" t="n">
        <v>1</v>
      </c>
      <c r="I92" s="624">
        <f>H92*F92</f>
        <v/>
      </c>
      <c r="J92" s="634" t="inlineStr">
        <is>
          <t>Vanguard</t>
        </is>
      </c>
    </row>
    <row r="93" ht="14.25" customHeight="1" s="356">
      <c r="B93" s="630">
        <f>'Bloomberg Output'!C39</f>
        <v/>
      </c>
      <c r="C93" s="630" t="n"/>
      <c r="D93" s="630" t="n"/>
      <c r="E93" s="630" t="n"/>
      <c r="F93" s="631">
        <f>+_xlfn.XLOOKUP($B93,'Bloomberg Output'!$C$14:$C$131,'Bloomberg Output'!$L$14:$L$131)</f>
        <v/>
      </c>
      <c r="G93" s="631">
        <f>+_xlfn.XLOOKUP($B93,'Bloomberg Output'!$C$14:$C$131,'Bloomberg Output'!$N$14:$N$131)</f>
        <v/>
      </c>
      <c r="H93" s="638" t="n">
        <v>1</v>
      </c>
      <c r="I93" s="624">
        <f>H93*F93</f>
        <v/>
      </c>
      <c r="J93" s="634" t="inlineStr">
        <is>
          <t>State Street</t>
        </is>
      </c>
    </row>
    <row r="94" ht="14.25" customHeight="1" s="356">
      <c r="B94" s="630">
        <f>'Bloomberg Output'!C40</f>
        <v/>
      </c>
      <c r="C94" s="630" t="n"/>
      <c r="D94" s="630" t="n"/>
      <c r="E94" s="630" t="n"/>
      <c r="F94" s="631">
        <f>+_xlfn.XLOOKUP($B94,'Bloomberg Output'!$C$14:$C$131,'Bloomberg Output'!$L$14:$L$131)</f>
        <v/>
      </c>
      <c r="G94" s="631">
        <f>+_xlfn.XLOOKUP($B94,'Bloomberg Output'!$C$14:$C$131,'Bloomberg Output'!$N$14:$N$131)</f>
        <v/>
      </c>
      <c r="H94" s="638" t="n">
        <v>1</v>
      </c>
      <c r="I94" s="624">
        <f>H94*F94</f>
        <v/>
      </c>
      <c r="J94" s="634" t="inlineStr">
        <is>
          <t>UBS</t>
        </is>
      </c>
    </row>
    <row r="95" ht="14.25" customHeight="1" s="356">
      <c r="B95" s="630">
        <f>'Bloomberg Output'!C41</f>
        <v/>
      </c>
      <c r="C95" s="630" t="n"/>
      <c r="D95" s="630" t="n"/>
      <c r="E95" s="630" t="n"/>
      <c r="F95" s="631">
        <f>+_xlfn.XLOOKUP($B95,'Bloomberg Output'!$C$14:$C$131,'Bloomberg Output'!$L$14:$L$131)</f>
        <v/>
      </c>
      <c r="G95" s="631">
        <f>+_xlfn.XLOOKUP($B95,'Bloomberg Output'!$C$14:$C$131,'Bloomberg Output'!$N$14:$N$131)</f>
        <v/>
      </c>
      <c r="H95" s="638" t="n">
        <v>1</v>
      </c>
      <c r="I95" s="624">
        <f>H95*F95</f>
        <v/>
      </c>
      <c r="J95" s="634" t="inlineStr">
        <is>
          <t>Northern Trust</t>
        </is>
      </c>
    </row>
    <row r="96" ht="14.25" customHeight="1" s="356">
      <c r="B96" s="630">
        <f>'Bloomberg Output'!C42</f>
        <v/>
      </c>
      <c r="C96" s="630" t="n"/>
      <c r="D96" s="630" t="n"/>
      <c r="E96" s="630" t="n"/>
      <c r="F96" s="631">
        <f>+_xlfn.XLOOKUP($B96,'Bloomberg Output'!$C$14:$C$131,'Bloomberg Output'!$L$14:$L$131)</f>
        <v/>
      </c>
      <c r="G96" s="631">
        <f>+_xlfn.XLOOKUP($B96,'Bloomberg Output'!$C$14:$C$131,'Bloomberg Output'!$N$14:$N$131)</f>
        <v/>
      </c>
      <c r="H96" s="638" t="n">
        <v>1</v>
      </c>
      <c r="I96" s="624">
        <f>H96*F96</f>
        <v/>
      </c>
      <c r="J96" s="634" t="inlineStr">
        <is>
          <t>Teachers Insurance &amp; Annuity Assoc</t>
        </is>
      </c>
    </row>
    <row r="97" ht="14.25" customHeight="1" s="356">
      <c r="B97" s="630">
        <f>'Bloomberg Output'!C43</f>
        <v/>
      </c>
      <c r="C97" s="630" t="n"/>
      <c r="D97" s="630" t="n"/>
      <c r="E97" s="630" t="n"/>
      <c r="F97" s="631">
        <f>+_xlfn.XLOOKUP($B97,'Bloomberg Output'!$C$14:$C$131,'Bloomberg Output'!$L$14:$L$131)</f>
        <v/>
      </c>
      <c r="G97" s="631">
        <f>+_xlfn.XLOOKUP($B97,'Bloomberg Output'!$C$14:$C$131,'Bloomberg Output'!$N$14:$N$131)</f>
        <v/>
      </c>
      <c r="H97" s="637" t="n">
        <v>0</v>
      </c>
      <c r="I97" s="624">
        <f>H97*F97</f>
        <v/>
      </c>
      <c r="J97" s="634" t="inlineStr">
        <is>
          <t>Greenwade Geoff</t>
        </is>
      </c>
    </row>
    <row r="98" ht="14.25" customHeight="1" s="356">
      <c r="B98" s="630">
        <f>'Bloomberg Output'!C44</f>
        <v/>
      </c>
      <c r="C98" s="630" t="n"/>
      <c r="D98" s="630" t="n"/>
      <c r="E98" s="630" t="n"/>
      <c r="F98" s="631">
        <f>+_xlfn.XLOOKUP($B98,'Bloomberg Output'!$C$14:$C$131,'Bloomberg Output'!$L$14:$L$131)</f>
        <v/>
      </c>
      <c r="G98" s="631">
        <f>+_xlfn.XLOOKUP($B98,'Bloomberg Output'!$C$14:$C$131,'Bloomberg Output'!$N$14:$N$131)</f>
        <v/>
      </c>
      <c r="H98" s="637" t="n">
        <v>0</v>
      </c>
      <c r="I98" s="624">
        <f>H98*F98</f>
        <v/>
      </c>
      <c r="J98" s="634" t="inlineStr">
        <is>
          <t>Martin Karen L</t>
        </is>
      </c>
    </row>
    <row r="99" ht="14.25" customHeight="1" s="356">
      <c r="B99" s="630">
        <f>'Bloomberg Output'!C45</f>
        <v/>
      </c>
      <c r="C99" s="630" t="n"/>
      <c r="D99" s="630" t="n"/>
      <c r="E99" s="630" t="n"/>
      <c r="F99" s="631">
        <f>+_xlfn.XLOOKUP($B99,'Bloomberg Output'!$C$14:$C$131,'Bloomberg Output'!$L$14:$L$131)</f>
        <v/>
      </c>
      <c r="G99" s="631">
        <f>+_xlfn.XLOOKUP($B99,'Bloomberg Output'!$C$14:$C$131,'Bloomberg Output'!$N$14:$N$131)</f>
        <v/>
      </c>
      <c r="H99" s="638" t="n">
        <v>1</v>
      </c>
      <c r="I99" s="624">
        <f>H99*F99</f>
        <v/>
      </c>
      <c r="J99" s="634" t="inlineStr">
        <is>
          <t>1832 Asset Management</t>
        </is>
      </c>
    </row>
    <row r="100" ht="14.25" customHeight="1" s="356">
      <c r="B100" s="630">
        <f>'Bloomberg Output'!C46</f>
        <v/>
      </c>
      <c r="C100" s="630" t="n"/>
      <c r="D100" s="630" t="n"/>
      <c r="E100" s="630" t="n"/>
      <c r="F100" s="631">
        <f>+_xlfn.XLOOKUP($B100,'Bloomberg Output'!$C$14:$C$131,'Bloomberg Output'!$L$14:$L$131)</f>
        <v/>
      </c>
      <c r="G100" s="631">
        <f>+_xlfn.XLOOKUP($B100,'Bloomberg Output'!$C$14:$C$131,'Bloomberg Output'!$N$14:$N$131)</f>
        <v/>
      </c>
      <c r="H100" s="638" t="n">
        <v>1</v>
      </c>
      <c r="I100" s="624">
        <f>H100*F100</f>
        <v/>
      </c>
      <c r="J100" s="634" t="inlineStr">
        <is>
          <t>Desjardins</t>
        </is>
      </c>
    </row>
    <row r="101" ht="14.25" customHeight="1" s="356">
      <c r="B101" s="630">
        <f>'Bloomberg Output'!C47</f>
        <v/>
      </c>
      <c r="C101" s="630" t="n"/>
      <c r="D101" s="630" t="n"/>
      <c r="E101" s="630" t="n"/>
      <c r="F101" s="631">
        <f>+_xlfn.XLOOKUP($B101,'Bloomberg Output'!$C$14:$C$131,'Bloomberg Output'!$L$14:$L$131)</f>
        <v/>
      </c>
      <c r="G101" s="631">
        <f>+_xlfn.XLOOKUP($B101,'Bloomberg Output'!$C$14:$C$131,'Bloomberg Output'!$N$14:$N$131)</f>
        <v/>
      </c>
      <c r="H101" s="638" t="n">
        <v>1</v>
      </c>
      <c r="I101" s="624">
        <f>H101*F101</f>
        <v/>
      </c>
      <c r="J101" s="634" t="inlineStr">
        <is>
          <t>Axxion</t>
        </is>
      </c>
    </row>
    <row r="102" ht="14.25" customHeight="1" s="356">
      <c r="B102" s="630">
        <f>'Bloomberg Output'!C48</f>
        <v/>
      </c>
      <c r="C102" s="630" t="n"/>
      <c r="D102" s="630" t="n"/>
      <c r="E102" s="630" t="n"/>
      <c r="F102" s="631">
        <f>+_xlfn.XLOOKUP($B102,'Bloomberg Output'!$C$14:$C$131,'Bloomberg Output'!$L$14:$L$131)</f>
        <v/>
      </c>
      <c r="G102" s="631">
        <f>+_xlfn.XLOOKUP($B102,'Bloomberg Output'!$C$14:$C$131,'Bloomberg Output'!$N$14:$N$131)</f>
        <v/>
      </c>
      <c r="H102" s="637" t="n">
        <v>0</v>
      </c>
      <c r="I102" s="624">
        <f>H102*F102</f>
        <v/>
      </c>
      <c r="J102" s="634" t="inlineStr">
        <is>
          <t>Puri Poonam</t>
        </is>
      </c>
    </row>
    <row r="103" ht="14.25" customHeight="1" s="356">
      <c r="B103" s="630">
        <f>'Bloomberg Output'!C49</f>
        <v/>
      </c>
      <c r="C103" s="630" t="n"/>
      <c r="D103" s="630" t="n"/>
      <c r="E103" s="630" t="n"/>
      <c r="F103" s="631">
        <f>+_xlfn.XLOOKUP($B103,'Bloomberg Output'!$C$14:$C$131,'Bloomberg Output'!$L$14:$L$131)</f>
        <v/>
      </c>
      <c r="G103" s="631">
        <f>+_xlfn.XLOOKUP($B103,'Bloomberg Output'!$C$14:$C$131,'Bloomberg Output'!$N$14:$N$131)</f>
        <v/>
      </c>
      <c r="H103" s="638" t="n">
        <v>1</v>
      </c>
      <c r="I103" s="624">
        <f>H103*F103</f>
        <v/>
      </c>
      <c r="J103" s="634" t="inlineStr">
        <is>
          <t>Zuercher Kantonalbank</t>
        </is>
      </c>
    </row>
    <row r="104" ht="14.25" customHeight="1" s="356">
      <c r="B104" s="630">
        <f>'Bloomberg Output'!C50</f>
        <v/>
      </c>
      <c r="C104" s="630" t="n"/>
      <c r="D104" s="630" t="n"/>
      <c r="E104" s="630" t="n"/>
      <c r="F104" s="631">
        <f>+_xlfn.XLOOKUP($B104,'Bloomberg Output'!$C$14:$C$131,'Bloomberg Output'!$L$14:$L$131)</f>
        <v/>
      </c>
      <c r="G104" s="631">
        <f>+_xlfn.XLOOKUP($B104,'Bloomberg Output'!$C$14:$C$131,'Bloomberg Output'!$N$14:$N$131)</f>
        <v/>
      </c>
      <c r="H104" s="638" t="n">
        <v>1</v>
      </c>
      <c r="I104" s="624">
        <f>H104*F104</f>
        <v/>
      </c>
      <c r="J104" s="634" t="inlineStr">
        <is>
          <t>FMR</t>
        </is>
      </c>
    </row>
    <row r="105" ht="14.25" customHeight="1" s="356">
      <c r="B105" s="630">
        <f>'Bloomberg Output'!C51</f>
        <v/>
      </c>
      <c r="C105" s="630" t="n"/>
      <c r="D105" s="630" t="n"/>
      <c r="E105" s="630" t="n"/>
      <c r="F105" s="631">
        <f>+_xlfn.XLOOKUP($B105,'Bloomberg Output'!$C$14:$C$131,'Bloomberg Output'!$L$14:$L$131)</f>
        <v/>
      </c>
      <c r="G105" s="631">
        <f>+_xlfn.XLOOKUP($B105,'Bloomberg Output'!$C$14:$C$131,'Bloomberg Output'!$N$14:$N$131)</f>
        <v/>
      </c>
      <c r="H105" s="638" t="n">
        <v>1</v>
      </c>
      <c r="I105" s="624">
        <f>H105*F105</f>
        <v/>
      </c>
      <c r="J105" s="634" t="inlineStr">
        <is>
          <t>Marsh &amp; McLennan Cos</t>
        </is>
      </c>
    </row>
    <row r="106" ht="14.25" customHeight="1" s="356">
      <c r="B106" s="630">
        <f>'Bloomberg Output'!C52</f>
        <v/>
      </c>
      <c r="C106" s="630" t="n"/>
      <c r="D106" s="630" t="n"/>
      <c r="E106" s="630" t="n"/>
      <c r="F106" s="631">
        <f>+_xlfn.XLOOKUP($B106,'Bloomberg Output'!$C$14:$C$131,'Bloomberg Output'!$L$14:$L$131)</f>
        <v/>
      </c>
      <c r="G106" s="631">
        <f>+_xlfn.XLOOKUP($B106,'Bloomberg Output'!$C$14:$C$131,'Bloomberg Output'!$N$14:$N$131)</f>
        <v/>
      </c>
      <c r="H106" s="638" t="n">
        <v>1</v>
      </c>
      <c r="I106" s="624">
        <f>H106*F106</f>
        <v/>
      </c>
      <c r="J106" s="634" t="inlineStr">
        <is>
          <t>Kommunal Landspensjonskasse Gjensi</t>
        </is>
      </c>
    </row>
    <row r="107" ht="14.25" customHeight="1" s="356">
      <c r="B107" s="630">
        <f>'Bloomberg Output'!C53</f>
        <v/>
      </c>
      <c r="C107" s="630" t="n"/>
      <c r="D107" s="630" t="n"/>
      <c r="E107" s="630" t="n"/>
      <c r="F107" s="631">
        <f>+_xlfn.XLOOKUP($B107,'Bloomberg Output'!$C$14:$C$131,'Bloomberg Output'!$L$14:$L$131)</f>
        <v/>
      </c>
      <c r="G107" s="631">
        <f>+_xlfn.XLOOKUP($B107,'Bloomberg Output'!$C$14:$C$131,'Bloomberg Output'!$N$14:$N$131)</f>
        <v/>
      </c>
      <c r="H107" s="638" t="n">
        <v>1</v>
      </c>
      <c r="I107" s="624">
        <f>H107*F107</f>
        <v/>
      </c>
      <c r="J107" s="634" t="inlineStr">
        <is>
          <t>Andbank</t>
        </is>
      </c>
    </row>
    <row r="108" ht="14.25" customHeight="1" s="356">
      <c r="B108" s="630">
        <f>'Bloomberg Output'!C54</f>
        <v/>
      </c>
      <c r="C108" s="630" t="n"/>
      <c r="D108" s="630" t="n"/>
      <c r="E108" s="630" t="n"/>
      <c r="F108" s="631">
        <f>+_xlfn.XLOOKUP($B108,'Bloomberg Output'!$C$14:$C$131,'Bloomberg Output'!$L$14:$L$131)</f>
        <v/>
      </c>
      <c r="G108" s="631">
        <f>+_xlfn.XLOOKUP($B108,'Bloomberg Output'!$C$14:$C$131,'Bloomberg Output'!$N$14:$N$131)</f>
        <v/>
      </c>
      <c r="H108" s="638" t="n">
        <v>1</v>
      </c>
      <c r="I108" s="624">
        <f>H108*F108</f>
        <v/>
      </c>
      <c r="J108" s="634" t="inlineStr">
        <is>
          <t>Esfera Capital Gestion SGIIC SA/Sp</t>
        </is>
      </c>
    </row>
    <row r="109" ht="14.25" customHeight="1" s="356">
      <c r="B109" s="630">
        <f>'Bloomberg Output'!C55</f>
        <v/>
      </c>
      <c r="C109" s="630" t="n"/>
      <c r="D109" s="630" t="n"/>
      <c r="E109" s="630" t="n"/>
      <c r="F109" s="631">
        <f>+_xlfn.XLOOKUP($B109,'Bloomberg Output'!$C$14:$C$131,'Bloomberg Output'!$L$14:$L$131)</f>
        <v/>
      </c>
      <c r="G109" s="631">
        <f>+_xlfn.XLOOKUP($B109,'Bloomberg Output'!$C$14:$C$131,'Bloomberg Output'!$N$14:$N$131)</f>
        <v/>
      </c>
      <c r="H109" s="638" t="n">
        <v>1</v>
      </c>
      <c r="I109" s="624">
        <f>H109*F109</f>
        <v/>
      </c>
      <c r="J109" s="634" t="inlineStr">
        <is>
          <t>Banca March</t>
        </is>
      </c>
    </row>
    <row r="110" ht="14.25" customHeight="1" s="356">
      <c r="B110" s="630">
        <f>'Bloomberg Output'!C56</f>
        <v/>
      </c>
      <c r="C110" s="630" t="n"/>
      <c r="D110" s="630" t="n"/>
      <c r="E110" s="630" t="n"/>
      <c r="F110" s="631">
        <f>+_xlfn.XLOOKUP($B110,'Bloomberg Output'!$C$14:$C$131,'Bloomberg Output'!$L$14:$L$131)</f>
        <v/>
      </c>
      <c r="G110" s="631">
        <f>+_xlfn.XLOOKUP($B110,'Bloomberg Output'!$C$14:$C$131,'Bloomberg Output'!$N$14:$N$131)</f>
        <v/>
      </c>
      <c r="H110" s="638" t="n">
        <v>1</v>
      </c>
      <c r="I110" s="624">
        <f>H110*F110</f>
        <v/>
      </c>
      <c r="J110" s="634" t="inlineStr">
        <is>
          <t>Pictet &amp; Cie Group SCA</t>
        </is>
      </c>
    </row>
    <row r="111" ht="14.25" customHeight="1" s="356">
      <c r="B111" s="630">
        <f>'Bloomberg Output'!C57</f>
        <v/>
      </c>
      <c r="C111" s="630" t="n"/>
      <c r="D111" s="630" t="n"/>
      <c r="E111" s="630" t="n"/>
      <c r="F111" s="631">
        <f>+_xlfn.XLOOKUP($B111,'Bloomberg Output'!$C$14:$C$131,'Bloomberg Output'!$L$14:$L$131)</f>
        <v/>
      </c>
      <c r="G111" s="631">
        <f>+_xlfn.XLOOKUP($B111,'Bloomberg Output'!$C$14:$C$131,'Bloomberg Output'!$N$14:$N$131)</f>
        <v/>
      </c>
      <c r="H111" s="638" t="n">
        <v>1</v>
      </c>
      <c r="I111" s="624">
        <f>H111*F111</f>
        <v/>
      </c>
      <c r="J111" s="634" t="inlineStr">
        <is>
          <t>Swiss Life</t>
        </is>
      </c>
    </row>
    <row r="112" ht="14.25" customHeight="1" s="356">
      <c r="B112" s="630">
        <f>'Bloomberg Output'!C58</f>
        <v/>
      </c>
      <c r="C112" s="630" t="n"/>
      <c r="D112" s="630" t="n"/>
      <c r="E112" s="630" t="n"/>
      <c r="F112" s="631">
        <f>+_xlfn.XLOOKUP($B112,'Bloomberg Output'!$C$14:$C$131,'Bloomberg Output'!$L$14:$L$131)</f>
        <v/>
      </c>
      <c r="G112" s="631">
        <f>+_xlfn.XLOOKUP($B112,'Bloomberg Output'!$C$14:$C$131,'Bloomberg Output'!$N$14:$N$131)</f>
        <v/>
      </c>
      <c r="H112" s="638" t="n">
        <v>1</v>
      </c>
      <c r="I112" s="624">
        <f>H112*F112</f>
        <v/>
      </c>
      <c r="J112" s="634" t="inlineStr">
        <is>
          <t>Credit Agricole</t>
        </is>
      </c>
    </row>
    <row r="113" ht="14.25" customHeight="1" s="356">
      <c r="B113" s="630">
        <f>'Bloomberg Output'!C59</f>
        <v/>
      </c>
      <c r="C113" s="630" t="n"/>
      <c r="D113" s="630" t="n"/>
      <c r="E113" s="630" t="n"/>
      <c r="F113" s="631">
        <f>+_xlfn.XLOOKUP($B113,'Bloomberg Output'!$C$14:$C$131,'Bloomberg Output'!$L$14:$L$131)</f>
        <v/>
      </c>
      <c r="G113" s="631">
        <f>+_xlfn.XLOOKUP($B113,'Bloomberg Output'!$C$14:$C$131,'Bloomberg Output'!$N$14:$N$131)</f>
        <v/>
      </c>
      <c r="H113" s="638" t="n">
        <v>1</v>
      </c>
      <c r="I113" s="624">
        <f>H113*F113</f>
        <v/>
      </c>
      <c r="J113" s="634" t="inlineStr">
        <is>
          <t>Insignia Financial</t>
        </is>
      </c>
    </row>
    <row r="114" ht="14.25" customHeight="1" s="356">
      <c r="B114" s="630">
        <f>'Bloomberg Output'!C60</f>
        <v/>
      </c>
      <c r="C114" s="630" t="n"/>
      <c r="D114" s="630" t="n"/>
      <c r="E114" s="630" t="n"/>
      <c r="F114" s="631">
        <f>+_xlfn.XLOOKUP($B114,'Bloomberg Output'!$C$14:$C$131,'Bloomberg Output'!$L$14:$L$131)</f>
        <v/>
      </c>
      <c r="G114" s="631">
        <f>+_xlfn.XLOOKUP($B114,'Bloomberg Output'!$C$14:$C$131,'Bloomberg Output'!$N$14:$N$131)</f>
        <v/>
      </c>
      <c r="H114" s="638" t="n">
        <v>1</v>
      </c>
      <c r="I114" s="624">
        <f>H114*F114</f>
        <v/>
      </c>
      <c r="J114" s="634" t="inlineStr">
        <is>
          <t>Deutsche Bank</t>
        </is>
      </c>
    </row>
    <row r="115" ht="14.25" customHeight="1" s="356">
      <c r="B115" s="630">
        <f>'Bloomberg Output'!C61</f>
        <v/>
      </c>
      <c r="C115" s="630" t="n"/>
      <c r="D115" s="630" t="n"/>
      <c r="E115" s="630" t="n"/>
      <c r="F115" s="631">
        <f>+_xlfn.XLOOKUP($B115,'Bloomberg Output'!$C$14:$C$131,'Bloomberg Output'!$L$14:$L$131)</f>
        <v/>
      </c>
      <c r="G115" s="631">
        <f>+_xlfn.XLOOKUP($B115,'Bloomberg Output'!$C$14:$C$131,'Bloomberg Output'!$N$14:$N$131)</f>
        <v/>
      </c>
      <c r="H115" s="638" t="n">
        <v>1</v>
      </c>
      <c r="I115" s="624">
        <f>H115*F115</f>
        <v/>
      </c>
      <c r="J115" s="634" t="inlineStr">
        <is>
          <t>Goldman Sachs</t>
        </is>
      </c>
    </row>
    <row r="116" ht="14.25" customHeight="1" s="356">
      <c r="B116" s="630">
        <f>'Bloomberg Output'!C62</f>
        <v/>
      </c>
      <c r="C116" s="630" t="n"/>
      <c r="D116" s="630" t="n"/>
      <c r="E116" s="630" t="n"/>
      <c r="F116" s="631">
        <f>+_xlfn.XLOOKUP($B116,'Bloomberg Output'!$C$14:$C$131,'Bloomberg Output'!$L$14:$L$131)</f>
        <v/>
      </c>
      <c r="G116" s="631">
        <f>+_xlfn.XLOOKUP($B116,'Bloomberg Output'!$C$14:$C$131,'Bloomberg Output'!$N$14:$N$131)</f>
        <v/>
      </c>
      <c r="H116" s="638" t="n">
        <v>1</v>
      </c>
      <c r="I116" s="624">
        <f>H116*F116</f>
        <v/>
      </c>
      <c r="J116" s="634" t="inlineStr">
        <is>
          <t>DNB Bank ASA</t>
        </is>
      </c>
    </row>
    <row r="117" ht="14.25" customHeight="1" s="356">
      <c r="B117" s="630">
        <f>'Bloomberg Output'!C63</f>
        <v/>
      </c>
      <c r="C117" s="630" t="n"/>
      <c r="D117" s="630" t="n"/>
      <c r="E117" s="630" t="n"/>
      <c r="F117" s="631">
        <f>+_xlfn.XLOOKUP($B117,'Bloomberg Output'!$C$14:$C$131,'Bloomberg Output'!$L$14:$L$131)</f>
        <v/>
      </c>
      <c r="G117" s="631">
        <f>+_xlfn.XLOOKUP($B117,'Bloomberg Output'!$C$14:$C$131,'Bloomberg Output'!$N$14:$N$131)</f>
        <v/>
      </c>
      <c r="H117" s="637" t="n">
        <v>0</v>
      </c>
      <c r="I117" s="624">
        <f>H117*F117</f>
        <v/>
      </c>
      <c r="J117" s="634" t="inlineStr">
        <is>
          <t>Edelstein Gary</t>
        </is>
      </c>
    </row>
    <row r="118" ht="14.25" customHeight="1" s="356">
      <c r="B118" s="630">
        <f>'Bloomberg Output'!C64</f>
        <v/>
      </c>
      <c r="C118" s="630" t="n"/>
      <c r="D118" s="630" t="n"/>
      <c r="E118" s="630" t="n"/>
      <c r="F118" s="631">
        <f>+_xlfn.XLOOKUP($B118,'Bloomberg Output'!$C$14:$C$131,'Bloomberg Output'!$L$14:$L$131)</f>
        <v/>
      </c>
      <c r="G118" s="631">
        <f>+_xlfn.XLOOKUP($B118,'Bloomberg Output'!$C$14:$C$131,'Bloomberg Output'!$N$14:$N$131)</f>
        <v/>
      </c>
      <c r="H118" s="638" t="n">
        <v>1</v>
      </c>
      <c r="I118" s="624">
        <f>H118*F118</f>
        <v/>
      </c>
      <c r="J118" s="634" t="inlineStr">
        <is>
          <t>Forge First Asset Management</t>
        </is>
      </c>
    </row>
    <row r="119" ht="14.25" customHeight="1" s="356">
      <c r="B119" s="630" t="n"/>
      <c r="C119" s="630" t="n"/>
      <c r="D119" s="630" t="n"/>
      <c r="E119" s="630" t="n"/>
      <c r="F119" s="631" t="n"/>
      <c r="G119" s="631" t="n"/>
      <c r="H119" s="638" t="n">
        <v>0</v>
      </c>
      <c r="I119" s="624">
        <f>H119*F119</f>
        <v/>
      </c>
      <c r="J119" s="639" t="n"/>
    </row>
    <row r="120" ht="14.25" customHeight="1" s="356">
      <c r="B120" s="630" t="n"/>
      <c r="C120" s="630" t="n"/>
      <c r="D120" s="630" t="n"/>
      <c r="E120" s="630" t="n"/>
      <c r="F120" s="631" t="n"/>
      <c r="G120" s="631" t="n"/>
      <c r="H120" s="638" t="n">
        <v>0</v>
      </c>
      <c r="I120" s="624">
        <f>H120*F120</f>
        <v/>
      </c>
      <c r="J120" s="639" t="n"/>
    </row>
    <row r="121" ht="14.25" customHeight="1" s="356">
      <c r="B121" s="630" t="n"/>
      <c r="C121" s="630" t="n"/>
      <c r="D121" s="630" t="n"/>
      <c r="E121" s="630" t="n"/>
      <c r="F121" s="631" t="n"/>
      <c r="G121" s="631" t="n"/>
      <c r="H121" s="638" t="n">
        <v>0</v>
      </c>
      <c r="I121" s="624">
        <f>H121*F121</f>
        <v/>
      </c>
      <c r="J121" s="639" t="n"/>
    </row>
    <row r="122" ht="14.25" customHeight="1" s="356">
      <c r="B122" s="630" t="n"/>
      <c r="C122" s="630" t="n"/>
      <c r="D122" s="630" t="n"/>
      <c r="E122" s="630" t="n"/>
      <c r="F122" s="631" t="n"/>
      <c r="G122" s="631" t="n"/>
      <c r="H122" s="638" t="n">
        <v>0</v>
      </c>
      <c r="I122" s="624">
        <f>H122*F122</f>
        <v/>
      </c>
      <c r="J122" s="639" t="n"/>
    </row>
    <row r="123" ht="14.25" customHeight="1" s="356">
      <c r="B123" s="630" t="n"/>
      <c r="C123" s="630" t="n"/>
      <c r="D123" s="630" t="n"/>
      <c r="E123" s="630" t="n"/>
      <c r="F123" s="631" t="n"/>
      <c r="G123" s="631" t="n"/>
      <c r="H123" s="638" t="n">
        <v>0</v>
      </c>
      <c r="I123" s="624">
        <f>H123*F123</f>
        <v/>
      </c>
      <c r="J123" s="639" t="n"/>
    </row>
    <row r="124" ht="14.25" customHeight="1" s="356">
      <c r="B124" s="630" t="n"/>
      <c r="C124" s="630" t="n"/>
      <c r="D124" s="630" t="n"/>
      <c r="E124" s="630" t="n"/>
      <c r="F124" s="631" t="n"/>
      <c r="G124" s="631" t="n"/>
      <c r="H124" s="638" t="n">
        <v>0</v>
      </c>
      <c r="I124" s="624">
        <f>H124*F124</f>
        <v/>
      </c>
      <c r="J124" s="639" t="n"/>
    </row>
    <row r="125" ht="14.25" customHeight="1" s="356">
      <c r="B125" s="630" t="n"/>
      <c r="C125" s="630" t="n"/>
      <c r="D125" s="630" t="n"/>
      <c r="E125" s="630" t="n"/>
      <c r="F125" s="631" t="n"/>
      <c r="G125" s="631" t="n"/>
      <c r="H125" s="638" t="n">
        <v>0</v>
      </c>
      <c r="I125" s="624">
        <f>H125*F125</f>
        <v/>
      </c>
      <c r="J125" s="639" t="n"/>
    </row>
    <row r="126" ht="14.25" customHeight="1" s="356">
      <c r="B126" s="630" t="n"/>
      <c r="C126" s="630" t="n"/>
      <c r="D126" s="630" t="n"/>
      <c r="E126" s="630" t="n"/>
      <c r="F126" s="631" t="n"/>
      <c r="G126" s="631" t="n"/>
      <c r="H126" s="638" t="n">
        <v>0</v>
      </c>
      <c r="I126" s="624">
        <f>H126*F126</f>
        <v/>
      </c>
      <c r="J126" s="639" t="n"/>
    </row>
    <row r="127" ht="14.25" customHeight="1" s="356">
      <c r="B127" s="630" t="n"/>
      <c r="C127" s="630" t="n"/>
      <c r="D127" s="630" t="n"/>
      <c r="E127" s="630" t="n"/>
      <c r="F127" s="631" t="n"/>
      <c r="G127" s="631" t="n"/>
      <c r="H127" s="638" t="n">
        <v>0</v>
      </c>
      <c r="I127" s="624">
        <f>H127*F127</f>
        <v/>
      </c>
      <c r="J127" s="639" t="n"/>
    </row>
    <row r="128" ht="14.25" customHeight="1" s="356">
      <c r="B128" s="630" t="n"/>
      <c r="C128" s="630" t="n"/>
      <c r="D128" s="630" t="n"/>
      <c r="E128" s="630" t="n"/>
      <c r="F128" s="631" t="n"/>
      <c r="G128" s="631" t="n"/>
      <c r="H128" s="638" t="n">
        <v>0</v>
      </c>
      <c r="I128" s="624">
        <f>H128*F128</f>
        <v/>
      </c>
      <c r="J128" s="639" t="n"/>
    </row>
    <row r="129" ht="14.25" customHeight="1" s="356">
      <c r="B129" s="630" t="n"/>
      <c r="C129" s="630" t="n"/>
      <c r="D129" s="630" t="n"/>
      <c r="E129" s="630" t="n"/>
      <c r="F129" s="631" t="n"/>
      <c r="G129" s="631" t="n"/>
      <c r="H129" s="638" t="n">
        <v>0</v>
      </c>
      <c r="I129" s="624">
        <f>H129*F129</f>
        <v/>
      </c>
      <c r="J129" s="639" t="n"/>
    </row>
    <row r="130" ht="14.25" customHeight="1" s="356">
      <c r="B130" s="630" t="n"/>
      <c r="C130" s="630" t="n"/>
      <c r="D130" s="630" t="n"/>
      <c r="E130" s="630" t="n"/>
      <c r="F130" s="631" t="n"/>
      <c r="G130" s="631" t="n"/>
      <c r="H130" s="638" t="n">
        <v>0</v>
      </c>
      <c r="I130" s="624">
        <f>H130*F130</f>
        <v/>
      </c>
      <c r="J130" s="639" t="n"/>
    </row>
    <row r="131" ht="14.25" customHeight="1" s="356">
      <c r="B131" s="630" t="n"/>
      <c r="C131" s="630" t="n"/>
      <c r="D131" s="630" t="n"/>
      <c r="E131" s="630" t="n"/>
      <c r="F131" s="631" t="n"/>
      <c r="G131" s="631" t="n"/>
      <c r="H131" s="638" t="n">
        <v>0</v>
      </c>
      <c r="I131" s="624">
        <f>H131*F131</f>
        <v/>
      </c>
      <c r="J131" s="639" t="n"/>
    </row>
    <row r="132" ht="14.25" customHeight="1" s="356">
      <c r="B132" s="630" t="n"/>
      <c r="C132" s="630" t="n"/>
      <c r="D132" s="630" t="n"/>
      <c r="E132" s="630" t="n"/>
      <c r="F132" s="631" t="n"/>
      <c r="G132" s="631" t="n"/>
      <c r="H132" s="638" t="n">
        <v>0</v>
      </c>
      <c r="I132" s="624">
        <f>H132*F132</f>
        <v/>
      </c>
      <c r="J132" s="639" t="n"/>
    </row>
    <row r="133" ht="14.25" customHeight="1" s="356">
      <c r="B133" s="630" t="n"/>
      <c r="C133" s="630" t="n"/>
      <c r="D133" s="630" t="n"/>
      <c r="E133" s="630" t="n"/>
      <c r="F133" s="631" t="n"/>
      <c r="G133" s="631" t="n"/>
      <c r="H133" s="638" t="n">
        <v>0</v>
      </c>
      <c r="I133" s="624">
        <f>H133*F133</f>
        <v/>
      </c>
      <c r="J133" s="639" t="n"/>
    </row>
    <row r="134" ht="14.25" customHeight="1" s="356">
      <c r="B134" s="630" t="n"/>
      <c r="C134" s="630" t="n"/>
      <c r="D134" s="630" t="n"/>
      <c r="E134" s="630" t="n"/>
      <c r="F134" s="631" t="n"/>
      <c r="G134" s="631" t="n"/>
      <c r="H134" s="638" t="n">
        <v>0</v>
      </c>
      <c r="I134" s="624">
        <f>H134*F134</f>
        <v/>
      </c>
      <c r="J134" s="639" t="n"/>
    </row>
    <row r="135" ht="14.25" customHeight="1" s="356">
      <c r="B135" s="630" t="n"/>
      <c r="C135" s="630" t="n"/>
      <c r="D135" s="630" t="n"/>
      <c r="E135" s="630" t="n"/>
      <c r="F135" s="631" t="n"/>
      <c r="G135" s="631" t="n"/>
      <c r="H135" s="638" t="n">
        <v>0</v>
      </c>
      <c r="I135" s="624">
        <f>H135*F135</f>
        <v/>
      </c>
      <c r="J135" s="639" t="n"/>
    </row>
    <row r="136" ht="14.25" customHeight="1" s="356">
      <c r="B136" s="630" t="n"/>
      <c r="C136" s="630" t="n"/>
      <c r="D136" s="630" t="n"/>
      <c r="E136" s="630" t="n"/>
      <c r="F136" s="631" t="n"/>
      <c r="G136" s="631" t="n"/>
      <c r="H136" s="638" t="n">
        <v>0</v>
      </c>
      <c r="I136" s="624">
        <f>H136*F136</f>
        <v/>
      </c>
      <c r="J136" s="639" t="n"/>
    </row>
    <row r="137" ht="14.25" customHeight="1" s="356">
      <c r="B137" s="630" t="n"/>
      <c r="C137" s="630" t="n"/>
      <c r="D137" s="630" t="n"/>
      <c r="E137" s="630" t="n"/>
      <c r="F137" s="631" t="n"/>
      <c r="G137" s="631" t="n"/>
      <c r="H137" s="638" t="n">
        <v>0</v>
      </c>
      <c r="I137" s="624">
        <f>H137*F137</f>
        <v/>
      </c>
      <c r="J137" s="639" t="n"/>
    </row>
    <row r="138" ht="14.25" customHeight="1" s="356">
      <c r="B138" s="630" t="n"/>
      <c r="C138" s="630" t="n"/>
      <c r="D138" s="630" t="n"/>
      <c r="E138" s="630" t="n"/>
      <c r="F138" s="631" t="n"/>
      <c r="G138" s="631" t="n"/>
      <c r="H138" s="638" t="n">
        <v>0</v>
      </c>
      <c r="I138" s="624">
        <f>H138*F138</f>
        <v/>
      </c>
      <c r="J138" s="639" t="n"/>
    </row>
    <row r="139" ht="14.25" customHeight="1" s="356">
      <c r="B139" s="630" t="n"/>
      <c r="C139" s="630" t="n"/>
      <c r="D139" s="630" t="n"/>
      <c r="E139" s="630" t="n"/>
      <c r="F139" s="631" t="n"/>
      <c r="G139" s="631" t="n"/>
      <c r="H139" s="638" t="n">
        <v>0</v>
      </c>
      <c r="I139" s="624">
        <f>H139*F139</f>
        <v/>
      </c>
      <c r="J139" s="639" t="n"/>
    </row>
    <row r="140" ht="14.25" customHeight="1" s="356">
      <c r="B140" s="630" t="n"/>
      <c r="C140" s="630" t="n"/>
      <c r="D140" s="630" t="n"/>
      <c r="E140" s="630" t="n"/>
      <c r="F140" s="631" t="n"/>
      <c r="G140" s="631" t="n"/>
      <c r="H140" s="638" t="n">
        <v>0</v>
      </c>
      <c r="I140" s="624">
        <f>H140*F140</f>
        <v/>
      </c>
      <c r="J140" s="639" t="n"/>
    </row>
    <row r="141" ht="14.25" customHeight="1" s="356">
      <c r="B141" s="630" t="n"/>
      <c r="C141" s="630" t="n"/>
      <c r="D141" s="630" t="n"/>
      <c r="E141" s="630" t="n"/>
      <c r="F141" s="631" t="n"/>
      <c r="G141" s="631" t="n"/>
      <c r="H141" s="638" t="n">
        <v>0</v>
      </c>
      <c r="I141" s="624">
        <f>H141*F141</f>
        <v/>
      </c>
      <c r="J141" s="639" t="n"/>
    </row>
    <row r="142" ht="14.25" customHeight="1" s="356">
      <c r="B142" s="630" t="n"/>
      <c r="C142" s="630" t="n"/>
      <c r="D142" s="630" t="n"/>
      <c r="E142" s="630" t="n"/>
      <c r="F142" s="631" t="n"/>
      <c r="G142" s="631" t="n"/>
      <c r="H142" s="638" t="n">
        <v>0</v>
      </c>
      <c r="I142" s="624">
        <f>H142*F142</f>
        <v/>
      </c>
      <c r="J142" s="639" t="n"/>
    </row>
    <row r="143" ht="14.25" customHeight="1" s="356">
      <c r="B143" s="630" t="n"/>
      <c r="C143" s="630" t="n"/>
      <c r="D143" s="630" t="n"/>
      <c r="E143" s="630" t="n"/>
      <c r="F143" s="631" t="n"/>
      <c r="G143" s="631" t="n"/>
      <c r="H143" s="638" t="n">
        <v>0</v>
      </c>
      <c r="I143" s="624">
        <f>H143*F143</f>
        <v/>
      </c>
      <c r="J143" s="639" t="n"/>
    </row>
    <row r="144" ht="14.25" customHeight="1" s="356">
      <c r="B144" s="630" t="n"/>
      <c r="C144" s="630" t="n"/>
      <c r="D144" s="630" t="n"/>
      <c r="E144" s="630" t="n"/>
      <c r="F144" s="631" t="n"/>
      <c r="G144" s="631" t="n"/>
      <c r="H144" s="638" t="n">
        <v>0</v>
      </c>
      <c r="I144" s="624">
        <f>H144*F144</f>
        <v/>
      </c>
      <c r="J144" s="639" t="n"/>
    </row>
    <row r="145" ht="14.25" customHeight="1" s="356">
      <c r="B145" s="630" t="n"/>
      <c r="C145" s="630" t="n"/>
      <c r="D145" s="630" t="n"/>
      <c r="E145" s="630" t="n"/>
      <c r="F145" s="631" t="n"/>
      <c r="G145" s="631" t="n"/>
      <c r="H145" s="638" t="n">
        <v>0</v>
      </c>
      <c r="I145" s="624">
        <f>H145*F145</f>
        <v/>
      </c>
      <c r="J145" s="639" t="n"/>
    </row>
    <row r="146" ht="14.25" customHeight="1" s="356">
      <c r="B146" s="630" t="n"/>
      <c r="C146" s="630" t="n"/>
      <c r="D146" s="630" t="n"/>
      <c r="E146" s="630" t="n"/>
      <c r="F146" s="631" t="n"/>
      <c r="G146" s="631" t="n"/>
      <c r="H146" s="638" t="n">
        <v>0</v>
      </c>
      <c r="I146" s="624">
        <f>H146*F146</f>
        <v/>
      </c>
      <c r="J146" s="639" t="n"/>
    </row>
    <row r="147" ht="14.25" customHeight="1" s="356">
      <c r="B147" s="630" t="n"/>
      <c r="C147" s="630" t="n"/>
      <c r="D147" s="630" t="n"/>
      <c r="E147" s="630" t="n"/>
      <c r="F147" s="631" t="n"/>
      <c r="G147" s="631" t="n"/>
      <c r="H147" s="638" t="n">
        <v>0</v>
      </c>
      <c r="I147" s="624">
        <f>H147*F147</f>
        <v/>
      </c>
      <c r="J147" s="639" t="n"/>
    </row>
    <row r="148" ht="14.25" customHeight="1" s="356">
      <c r="B148" s="630" t="n"/>
      <c r="C148" s="630" t="n"/>
      <c r="D148" s="630" t="n"/>
      <c r="E148" s="630" t="n"/>
      <c r="F148" s="631" t="n"/>
      <c r="G148" s="631" t="n"/>
      <c r="H148" s="638" t="n">
        <v>0</v>
      </c>
      <c r="I148" s="624">
        <f>H148*F148</f>
        <v/>
      </c>
      <c r="J148" s="639" t="n"/>
    </row>
    <row r="149" ht="14.25" customHeight="1" s="356">
      <c r="B149" s="630" t="n"/>
      <c r="C149" s="630" t="n"/>
      <c r="D149" s="630" t="n"/>
      <c r="E149" s="630" t="n"/>
      <c r="F149" s="631" t="n"/>
      <c r="G149" s="631" t="n"/>
      <c r="H149" s="638" t="n">
        <v>0</v>
      </c>
      <c r="I149" s="624">
        <f>H149*F149</f>
        <v/>
      </c>
      <c r="J149" s="639" t="n"/>
    </row>
    <row r="150" ht="14.25" customHeight="1" s="356">
      <c r="B150" s="630" t="n"/>
      <c r="C150" s="630" t="n"/>
      <c r="D150" s="630" t="n"/>
      <c r="E150" s="630" t="n"/>
      <c r="F150" s="631" t="n"/>
      <c r="G150" s="631" t="n"/>
      <c r="H150" s="623" t="n">
        <v>0</v>
      </c>
      <c r="I150" s="624">
        <f>H150*F150</f>
        <v/>
      </c>
      <c r="J150" s="639" t="n"/>
    </row>
    <row r="151" ht="14.25" customHeight="1" s="356">
      <c r="B151" s="630" t="n"/>
      <c r="C151" s="630" t="n"/>
      <c r="D151" s="630" t="n"/>
      <c r="E151" s="630" t="n"/>
      <c r="F151" s="631" t="n"/>
      <c r="G151" s="631" t="n"/>
      <c r="H151" s="623" t="n">
        <v>0</v>
      </c>
      <c r="I151" s="624">
        <f>H151*F151</f>
        <v/>
      </c>
      <c r="J151" s="639" t="n"/>
    </row>
    <row r="152" ht="14.25" customHeight="1" s="356">
      <c r="B152" s="630" t="n"/>
      <c r="C152" s="630" t="n"/>
      <c r="D152" s="630" t="n"/>
      <c r="E152" s="630" t="n"/>
      <c r="F152" s="631" t="n"/>
      <c r="G152" s="631" t="n"/>
      <c r="H152" s="623" t="n">
        <v>0</v>
      </c>
      <c r="I152" s="624">
        <f>H152*F152</f>
        <v/>
      </c>
      <c r="J152" s="639" t="n"/>
    </row>
    <row r="153" ht="14.25" customHeight="1" s="356">
      <c r="B153" s="630" t="n"/>
      <c r="C153" s="630" t="n"/>
      <c r="D153" s="630" t="n"/>
      <c r="E153" s="630" t="n"/>
      <c r="F153" s="631" t="n"/>
      <c r="G153" s="631" t="n"/>
      <c r="H153" s="623" t="n">
        <v>0</v>
      </c>
      <c r="I153" s="624">
        <f>H153*F153</f>
        <v/>
      </c>
      <c r="J153" s="639" t="n"/>
    </row>
    <row r="154" ht="14.25" customHeight="1" s="356">
      <c r="B154" s="630" t="n"/>
      <c r="C154" s="630" t="n"/>
      <c r="D154" s="630" t="n"/>
      <c r="E154" s="630" t="n"/>
      <c r="F154" s="631" t="n"/>
      <c r="G154" s="631" t="n"/>
      <c r="H154" s="623" t="n">
        <v>0</v>
      </c>
      <c r="I154" s="624">
        <f>H154*F154</f>
        <v/>
      </c>
      <c r="J154" s="639" t="n"/>
    </row>
    <row r="155" ht="14.25" customHeight="1" s="356">
      <c r="B155" s="630" t="n"/>
      <c r="C155" s="630" t="n"/>
      <c r="D155" s="630" t="n"/>
      <c r="E155" s="630" t="n"/>
      <c r="F155" s="631" t="n"/>
      <c r="G155" s="631" t="n"/>
      <c r="H155" s="623" t="n">
        <v>0</v>
      </c>
      <c r="I155" s="624">
        <f>H155*F155</f>
        <v/>
      </c>
      <c r="J155" s="639" t="n"/>
    </row>
    <row r="156" ht="14.25" customHeight="1" s="356">
      <c r="B156" s="630" t="n"/>
      <c r="C156" s="630" t="n"/>
      <c r="D156" s="630" t="n"/>
      <c r="E156" s="630" t="n"/>
      <c r="F156" s="631" t="n"/>
      <c r="G156" s="631" t="n"/>
      <c r="H156" s="623" t="n">
        <v>0</v>
      </c>
      <c r="I156" s="624">
        <f>H156*F156</f>
        <v/>
      </c>
      <c r="J156" s="639" t="n"/>
    </row>
    <row r="157" ht="14.25" customHeight="1" s="356">
      <c r="B157" s="630" t="n"/>
      <c r="C157" s="630" t="n"/>
      <c r="D157" s="630" t="n"/>
      <c r="E157" s="630" t="n"/>
      <c r="F157" s="631" t="n"/>
      <c r="G157" s="631" t="n"/>
      <c r="H157" s="623" t="n">
        <v>0</v>
      </c>
      <c r="I157" s="624">
        <f>H157*F157</f>
        <v/>
      </c>
      <c r="J157" s="639" t="n"/>
    </row>
    <row r="158" ht="14.25" customHeight="1" s="356">
      <c r="B158" s="630" t="n"/>
      <c r="C158" s="630" t="n"/>
      <c r="D158" s="630" t="n"/>
      <c r="E158" s="630" t="n"/>
      <c r="F158" s="631" t="n"/>
      <c r="G158" s="631" t="n"/>
      <c r="H158" s="623" t="n">
        <v>0</v>
      </c>
      <c r="I158" s="624">
        <f>H158*F158</f>
        <v/>
      </c>
      <c r="J158" s="639" t="n"/>
    </row>
    <row r="159" ht="14.25" customHeight="1" s="356">
      <c r="B159" s="630" t="n"/>
      <c r="C159" s="630" t="n"/>
      <c r="D159" s="630" t="n"/>
      <c r="E159" s="630" t="n"/>
      <c r="F159" s="631" t="n"/>
      <c r="G159" s="631" t="n"/>
      <c r="H159" s="623" t="n">
        <v>0</v>
      </c>
      <c r="I159" s="624">
        <f>H159*F159</f>
        <v/>
      </c>
      <c r="J159" s="639" t="n"/>
    </row>
    <row r="160" ht="14.25" customHeight="1" s="356">
      <c r="B160" s="630" t="n"/>
      <c r="C160" s="630" t="n"/>
      <c r="D160" s="630" t="n"/>
      <c r="E160" s="630" t="n"/>
      <c r="F160" s="631" t="n"/>
      <c r="G160" s="631" t="n"/>
      <c r="H160" s="623" t="n">
        <v>0</v>
      </c>
      <c r="I160" s="624">
        <f>H160*F160</f>
        <v/>
      </c>
      <c r="J160" s="639" t="n"/>
    </row>
    <row r="161" ht="14.25" customHeight="1" s="356">
      <c r="B161" s="630" t="n"/>
      <c r="C161" s="630" t="n"/>
      <c r="D161" s="630" t="n"/>
      <c r="E161" s="630" t="n"/>
      <c r="F161" s="631" t="n"/>
      <c r="G161" s="631" t="n"/>
      <c r="H161" s="623" t="n">
        <v>0</v>
      </c>
      <c r="I161" s="624">
        <f>H161*F161</f>
        <v/>
      </c>
      <c r="J161" s="639" t="n"/>
    </row>
    <row r="162" ht="14.25" customHeight="1" s="356">
      <c r="B162" s="630" t="n"/>
      <c r="C162" s="630" t="n"/>
      <c r="D162" s="630" t="n"/>
      <c r="E162" s="630" t="n"/>
      <c r="F162" s="631" t="n"/>
      <c r="G162" s="631" t="n"/>
      <c r="H162" s="623" t="n">
        <v>0</v>
      </c>
      <c r="I162" s="624">
        <f>H162*F162</f>
        <v/>
      </c>
      <c r="J162" s="639" t="n"/>
    </row>
    <row r="163" ht="14.25" customHeight="1" s="356">
      <c r="B163" s="630" t="n"/>
      <c r="C163" s="630" t="n"/>
      <c r="D163" s="630" t="n"/>
      <c r="E163" s="630" t="n"/>
      <c r="F163" s="631" t="n"/>
      <c r="G163" s="631" t="n"/>
      <c r="H163" s="623" t="n">
        <v>0</v>
      </c>
      <c r="I163" s="624">
        <f>H163*F163</f>
        <v/>
      </c>
      <c r="J163" s="639" t="n"/>
    </row>
    <row r="164" ht="14.25" customHeight="1" s="356">
      <c r="B164" s="630" t="n"/>
      <c r="C164" s="630" t="n"/>
      <c r="D164" s="630" t="n"/>
      <c r="E164" s="630" t="n"/>
      <c r="F164" s="631" t="n"/>
      <c r="G164" s="631" t="n"/>
      <c r="H164" s="623" t="n">
        <v>0</v>
      </c>
      <c r="I164" s="624">
        <f>H164*F164</f>
        <v/>
      </c>
      <c r="J164" s="639" t="n"/>
    </row>
    <row r="165" ht="14.25" customHeight="1" s="356">
      <c r="B165" s="630" t="n"/>
      <c r="C165" s="630" t="n"/>
      <c r="D165" s="630" t="n"/>
      <c r="E165" s="630" t="n"/>
      <c r="F165" s="631" t="n"/>
      <c r="G165" s="631" t="n"/>
      <c r="H165" s="623" t="n">
        <v>0</v>
      </c>
      <c r="I165" s="624">
        <f>H165*F165</f>
        <v/>
      </c>
      <c r="J165" s="639" t="n"/>
    </row>
    <row r="166" ht="14.25" customHeight="1" s="356">
      <c r="B166" s="630" t="n"/>
      <c r="C166" s="630" t="n"/>
      <c r="D166" s="630" t="n"/>
      <c r="E166" s="630" t="n"/>
      <c r="F166" s="631" t="n"/>
      <c r="G166" s="631" t="n"/>
      <c r="H166" s="623" t="n">
        <v>0</v>
      </c>
      <c r="I166" s="624">
        <f>H166*F166</f>
        <v/>
      </c>
      <c r="J166" s="639" t="n"/>
    </row>
    <row r="167" ht="14.25" customHeight="1" s="356">
      <c r="B167" s="630" t="n"/>
      <c r="C167" s="630" t="n"/>
      <c r="D167" s="630" t="n"/>
      <c r="E167" s="630" t="n"/>
      <c r="F167" s="631" t="n"/>
      <c r="G167" s="631" t="n"/>
      <c r="H167" s="623" t="n">
        <v>0</v>
      </c>
      <c r="I167" s="624">
        <f>H167*F167</f>
        <v/>
      </c>
      <c r="J167" s="639" t="n"/>
    </row>
    <row r="168" ht="14.25" customHeight="1" s="356">
      <c r="B168" s="630" t="n"/>
      <c r="C168" s="630" t="n"/>
      <c r="D168" s="630" t="n"/>
      <c r="E168" s="630" t="n"/>
      <c r="F168" s="631" t="n"/>
      <c r="G168" s="631" t="n"/>
      <c r="H168" s="623" t="n">
        <v>0</v>
      </c>
      <c r="I168" s="624">
        <f>H168*F168</f>
        <v/>
      </c>
      <c r="J168" s="639" t="n"/>
    </row>
    <row r="169" ht="14.25" customHeight="1" s="356">
      <c r="B169" s="630" t="n"/>
      <c r="C169" s="630" t="n"/>
      <c r="D169" s="630" t="n"/>
      <c r="E169" s="630" t="n"/>
      <c r="F169" s="631" t="n"/>
      <c r="G169" s="631" t="n"/>
      <c r="H169" s="623" t="n">
        <v>0</v>
      </c>
      <c r="I169" s="624">
        <f>H169*F169</f>
        <v/>
      </c>
      <c r="J169" s="639" t="n"/>
    </row>
    <row r="170" ht="14.25" customHeight="1" s="356">
      <c r="B170" s="630" t="n"/>
      <c r="C170" s="630" t="n"/>
      <c r="D170" s="630" t="n"/>
      <c r="E170" s="630" t="n"/>
      <c r="F170" s="631" t="n"/>
      <c r="G170" s="631" t="n"/>
      <c r="H170" s="623" t="n">
        <v>0</v>
      </c>
      <c r="I170" s="624">
        <f>H170*F170</f>
        <v/>
      </c>
      <c r="J170" s="639" t="n"/>
    </row>
    <row r="171" ht="14.25" customHeight="1" s="356">
      <c r="B171" s="630" t="n"/>
      <c r="C171" s="630" t="n"/>
      <c r="D171" s="630" t="n"/>
      <c r="E171" s="630" t="n"/>
      <c r="F171" s="631" t="n"/>
      <c r="G171" s="631" t="n"/>
      <c r="H171" s="623" t="n">
        <v>0</v>
      </c>
      <c r="I171" s="624">
        <f>H171*F171</f>
        <v/>
      </c>
      <c r="J171" s="639" t="n"/>
    </row>
    <row r="172" ht="14.25" customHeight="1" s="356">
      <c r="B172" s="630" t="n"/>
      <c r="C172" s="630" t="n"/>
      <c r="D172" s="630" t="n"/>
      <c r="E172" s="630" t="n"/>
      <c r="F172" s="631" t="n"/>
      <c r="G172" s="631" t="n"/>
      <c r="H172" s="623" t="n">
        <v>0</v>
      </c>
      <c r="I172" s="624">
        <f>H172*F172</f>
        <v/>
      </c>
      <c r="J172" s="639" t="n"/>
    </row>
    <row r="173" ht="14.25" customHeight="1" s="356">
      <c r="B173" s="630" t="n"/>
      <c r="C173" s="630" t="n"/>
      <c r="D173" s="630" t="n"/>
      <c r="E173" s="630" t="n"/>
      <c r="F173" s="631" t="n"/>
      <c r="G173" s="631" t="n"/>
      <c r="H173" s="623" t="n">
        <v>0</v>
      </c>
      <c r="I173" s="624">
        <f>H173*F173</f>
        <v/>
      </c>
      <c r="J173" s="639" t="n"/>
    </row>
    <row r="174" ht="14.25" customHeight="1" s="356">
      <c r="B174" s="630" t="n"/>
      <c r="C174" s="630" t="n"/>
      <c r="D174" s="630" t="n"/>
      <c r="E174" s="630" t="n"/>
      <c r="F174" s="631" t="n"/>
      <c r="G174" s="631" t="n"/>
      <c r="H174" s="623" t="n">
        <v>0</v>
      </c>
      <c r="I174" s="624">
        <f>H174*F174</f>
        <v/>
      </c>
      <c r="J174" s="639" t="n"/>
    </row>
    <row r="175" ht="14.25" customHeight="1" s="356">
      <c r="B175" s="630" t="n"/>
      <c r="C175" s="630" t="n"/>
      <c r="D175" s="630" t="n"/>
      <c r="E175" s="630" t="n"/>
      <c r="F175" s="631" t="n"/>
      <c r="G175" s="631" t="n"/>
      <c r="H175" s="623" t="n">
        <v>0</v>
      </c>
      <c r="I175" s="624">
        <f>H175*F175</f>
        <v/>
      </c>
      <c r="J175" s="639" t="n"/>
    </row>
    <row r="176" ht="14.25" customHeight="1" s="356">
      <c r="B176" s="630" t="n"/>
      <c r="C176" s="630" t="n"/>
      <c r="D176" s="630" t="n"/>
      <c r="E176" s="630" t="n"/>
      <c r="F176" s="631" t="n"/>
      <c r="G176" s="631" t="n"/>
      <c r="H176" s="623" t="n">
        <v>0</v>
      </c>
      <c r="I176" s="624">
        <f>H176*F176</f>
        <v/>
      </c>
      <c r="J176" s="639" t="n"/>
    </row>
    <row r="177" ht="14.25" customHeight="1" s="356">
      <c r="B177" s="630" t="n"/>
      <c r="C177" s="630" t="n"/>
      <c r="D177" s="630" t="n"/>
      <c r="E177" s="630" t="n"/>
      <c r="F177" s="631" t="n"/>
      <c r="G177" s="631" t="n"/>
      <c r="H177" s="623" t="n">
        <v>0</v>
      </c>
      <c r="I177" s="624">
        <f>H177*F177</f>
        <v/>
      </c>
      <c r="J177" s="639" t="n"/>
    </row>
    <row r="178" ht="14.25" customHeight="1" s="356">
      <c r="B178" s="630" t="n"/>
      <c r="C178" s="630" t="n"/>
      <c r="D178" s="630" t="n"/>
      <c r="E178" s="630" t="n"/>
      <c r="F178" s="631" t="n"/>
      <c r="G178" s="631" t="n"/>
      <c r="H178" s="623" t="n">
        <v>0</v>
      </c>
      <c r="I178" s="624">
        <f>H178*F178</f>
        <v/>
      </c>
      <c r="J178" s="639" t="n"/>
    </row>
    <row r="179" ht="14.25" customHeight="1" s="356">
      <c r="B179" s="630" t="n"/>
      <c r="C179" s="630" t="n"/>
      <c r="D179" s="630" t="n"/>
      <c r="E179" s="630" t="n"/>
      <c r="F179" s="631" t="n"/>
      <c r="G179" s="631" t="n"/>
      <c r="H179" s="623" t="n">
        <v>0</v>
      </c>
      <c r="I179" s="624">
        <f>H179*F179</f>
        <v/>
      </c>
    </row>
    <row r="180" ht="14.25" customHeight="1" s="356">
      <c r="B180" s="630" t="n"/>
      <c r="C180" s="630" t="n"/>
      <c r="D180" s="630" t="n"/>
      <c r="E180" s="630" t="n"/>
      <c r="F180" s="631" t="n"/>
      <c r="G180" s="631" t="n"/>
      <c r="H180" s="623" t="n">
        <v>0</v>
      </c>
      <c r="I180" s="624">
        <f>H180*F180</f>
        <v/>
      </c>
    </row>
    <row r="181" ht="14.25" customHeight="1" s="356">
      <c r="B181" s="630" t="n"/>
      <c r="C181" s="630" t="n"/>
      <c r="D181" s="630" t="n"/>
      <c r="E181" s="630" t="n"/>
      <c r="F181" s="631" t="n"/>
      <c r="G181" s="631" t="n"/>
      <c r="H181" s="623" t="n">
        <v>0</v>
      </c>
      <c r="I181" s="624">
        <f>H181*F181</f>
        <v/>
      </c>
    </row>
    <row r="182" ht="14.25" customHeight="1" s="356">
      <c r="B182" s="630" t="n"/>
      <c r="C182" s="630" t="n"/>
      <c r="D182" s="630" t="n"/>
      <c r="E182" s="630" t="n"/>
      <c r="F182" s="631" t="n"/>
      <c r="G182" s="631" t="n"/>
      <c r="H182" s="623" t="n">
        <v>0</v>
      </c>
      <c r="I182" s="624">
        <f>H182*F182</f>
        <v/>
      </c>
    </row>
    <row r="183" ht="14.25" customHeight="1" s="356">
      <c r="B183" s="630" t="n"/>
      <c r="C183" s="630" t="n"/>
      <c r="D183" s="630" t="n"/>
      <c r="E183" s="630" t="n"/>
      <c r="F183" s="631" t="n"/>
      <c r="G183" s="631" t="n"/>
      <c r="H183" s="623" t="n">
        <v>0</v>
      </c>
      <c r="I183" s="624">
        <f>H183*F183</f>
        <v/>
      </c>
    </row>
    <row r="184" ht="14.25" customHeight="1" s="356">
      <c r="B184" s="630" t="n"/>
      <c r="C184" s="630" t="n"/>
      <c r="D184" s="630" t="n"/>
      <c r="E184" s="630" t="n"/>
      <c r="F184" s="631" t="n"/>
      <c r="G184" s="631" t="n"/>
      <c r="H184" s="623" t="n">
        <v>0</v>
      </c>
      <c r="I184" s="624">
        <f>H184*F184</f>
        <v/>
      </c>
    </row>
    <row r="185" ht="14.25" customHeight="1" s="356">
      <c r="B185" s="630" t="n"/>
      <c r="C185" s="630" t="n"/>
      <c r="D185" s="630" t="n"/>
      <c r="E185" s="630" t="n"/>
      <c r="F185" s="631" t="n"/>
      <c r="G185" s="631" t="n"/>
      <c r="H185" s="623" t="n">
        <v>0</v>
      </c>
      <c r="I185" s="624">
        <f>H185*F185</f>
        <v/>
      </c>
    </row>
    <row r="186" ht="14.25" customHeight="1" s="356">
      <c r="B186" s="640" t="n"/>
      <c r="C186" s="640" t="n"/>
      <c r="D186" s="640" t="n"/>
      <c r="E186" s="640" t="n"/>
      <c r="F186" s="640" t="n"/>
      <c r="G186" s="640" t="n"/>
      <c r="H186" s="640" t="n"/>
      <c r="I186" s="640" t="n"/>
    </row>
    <row r="187" ht="14.25" customHeight="1" s="356">
      <c r="B187" s="640" t="n"/>
      <c r="C187" s="640" t="n"/>
      <c r="D187" s="640" t="n"/>
      <c r="E187" s="640" t="n"/>
      <c r="F187" s="640" t="n"/>
      <c r="G187" s="640" t="n"/>
      <c r="H187" s="640" t="n"/>
      <c r="I187" s="640" t="n"/>
    </row>
    <row r="188" ht="14.25" customHeight="1" s="356">
      <c r="B188" s="640" t="n"/>
      <c r="C188" s="640" t="n"/>
      <c r="D188" s="640" t="n"/>
      <c r="E188" s="640" t="n"/>
      <c r="F188" s="640" t="n"/>
      <c r="G188" s="640" t="n"/>
      <c r="H188" s="640" t="n"/>
      <c r="I188" s="640" t="n"/>
    </row>
    <row r="189" ht="14.25" customHeight="1" s="356">
      <c r="B189" s="640" t="n"/>
      <c r="C189" s="640" t="n"/>
      <c r="D189" s="640" t="n"/>
      <c r="E189" s="640" t="n"/>
      <c r="F189" s="640" t="n"/>
      <c r="G189" s="640" t="n"/>
      <c r="H189" s="640" t="n"/>
      <c r="I189" s="640" t="n"/>
    </row>
    <row r="190" ht="14.25" customHeight="1" s="356">
      <c r="B190" s="640" t="n"/>
      <c r="C190" s="640" t="n"/>
      <c r="D190" s="640" t="n"/>
      <c r="E190" s="640" t="n"/>
      <c r="F190" s="640" t="n"/>
      <c r="G190" s="640" t="n"/>
      <c r="H190" s="640" t="n"/>
      <c r="I190" s="640" t="n"/>
    </row>
    <row r="191" ht="14.25" customHeight="1" s="356">
      <c r="B191" s="640" t="n"/>
      <c r="C191" s="640" t="n"/>
      <c r="D191" s="640" t="n"/>
      <c r="E191" s="640" t="n"/>
      <c r="F191" s="640" t="n"/>
      <c r="G191" s="640" t="n"/>
      <c r="H191" s="640" t="n"/>
      <c r="I191" s="640" t="n"/>
    </row>
    <row r="192" ht="14.25" customHeight="1" s="356">
      <c r="B192" s="640" t="n"/>
      <c r="C192" s="640" t="n"/>
      <c r="D192" s="640" t="n"/>
      <c r="E192" s="640" t="n"/>
      <c r="F192" s="640" t="n"/>
      <c r="G192" s="640" t="n"/>
      <c r="H192" s="640" t="n"/>
      <c r="I192" s="640" t="n"/>
    </row>
    <row r="193" ht="14.25" customHeight="1" s="356">
      <c r="B193" s="640" t="n"/>
      <c r="C193" s="640" t="n"/>
      <c r="D193" s="640" t="n"/>
      <c r="E193" s="640" t="n"/>
      <c r="F193" s="640" t="n"/>
      <c r="G193" s="640" t="n"/>
      <c r="H193" s="640" t="n"/>
      <c r="I193" s="640" t="n"/>
    </row>
    <row r="194" ht="14.25" customHeight="1" s="356">
      <c r="B194" s="640" t="n"/>
      <c r="C194" s="640" t="n"/>
      <c r="D194" s="640" t="n"/>
      <c r="E194" s="640" t="n"/>
      <c r="F194" s="640" t="n"/>
      <c r="G194" s="640" t="n"/>
      <c r="H194" s="640" t="n"/>
      <c r="I194" s="640" t="n"/>
    </row>
    <row r="195" ht="14.25" customHeight="1" s="356">
      <c r="B195" s="640" t="n"/>
      <c r="C195" s="640" t="n"/>
      <c r="D195" s="640" t="n"/>
      <c r="E195" s="640" t="n"/>
      <c r="F195" s="640" t="n"/>
      <c r="G195" s="640" t="n"/>
      <c r="H195" s="640" t="n"/>
      <c r="I195" s="640" t="n"/>
    </row>
    <row r="196" ht="14.25" customHeight="1" s="356">
      <c r="B196" s="640" t="n"/>
      <c r="C196" s="640" t="n"/>
      <c r="D196" s="640" t="n"/>
      <c r="E196" s="640" t="n"/>
      <c r="F196" s="640" t="n"/>
      <c r="G196" s="640" t="n"/>
      <c r="H196" s="640" t="n"/>
      <c r="I196" s="640" t="n"/>
    </row>
    <row r="197" ht="14.25" customHeight="1" s="356">
      <c r="B197" s="640" t="n"/>
      <c r="C197" s="640" t="n"/>
      <c r="D197" s="640" t="n"/>
      <c r="E197" s="640" t="n"/>
      <c r="F197" s="640" t="n"/>
      <c r="G197" s="640" t="n"/>
      <c r="H197" s="640" t="n"/>
      <c r="I197" s="640" t="n"/>
    </row>
    <row r="198" ht="14.25" customHeight="1" s="356">
      <c r="B198" s="640" t="n"/>
      <c r="C198" s="640" t="n"/>
      <c r="D198" s="640" t="n"/>
      <c r="E198" s="640" t="n"/>
      <c r="F198" s="640" t="n"/>
      <c r="G198" s="640" t="n"/>
      <c r="H198" s="640" t="n"/>
      <c r="I198" s="640" t="n"/>
    </row>
    <row r="199" ht="14.25" customHeight="1" s="356">
      <c r="B199" s="640" t="n"/>
      <c r="C199" s="640" t="n"/>
      <c r="D199" s="640" t="n"/>
      <c r="E199" s="640" t="n"/>
      <c r="F199" s="640" t="n"/>
      <c r="G199" s="640" t="n"/>
      <c r="H199" s="640" t="n"/>
      <c r="I199" s="640" t="n"/>
    </row>
    <row r="200" ht="14.25" customHeight="1" s="356">
      <c r="B200" s="640" t="n"/>
      <c r="C200" s="640" t="n"/>
      <c r="D200" s="640" t="n"/>
      <c r="E200" s="640" t="n"/>
      <c r="F200" s="640" t="n"/>
      <c r="G200" s="640" t="n"/>
      <c r="H200" s="640" t="n"/>
      <c r="I200" s="640" t="n"/>
    </row>
    <row r="201" ht="14.25" customHeight="1" s="356">
      <c r="B201" s="640" t="n"/>
      <c r="C201" s="640" t="n"/>
      <c r="D201" s="640" t="n"/>
      <c r="E201" s="640" t="n"/>
      <c r="F201" s="640" t="n"/>
      <c r="G201" s="640" t="n"/>
      <c r="H201" s="640" t="n"/>
      <c r="I201" s="640" t="n"/>
    </row>
    <row r="202" ht="14.25" customHeight="1" s="356">
      <c r="B202" s="640" t="n"/>
      <c r="C202" s="640" t="n"/>
      <c r="D202" s="640" t="n"/>
      <c r="E202" s="640" t="n"/>
      <c r="F202" s="640" t="n"/>
      <c r="G202" s="640" t="n"/>
      <c r="H202" s="640" t="n"/>
      <c r="I202" s="640" t="n"/>
    </row>
    <row r="203" ht="14.25" customHeight="1" s="356">
      <c r="B203" s="640" t="n"/>
      <c r="C203" s="640" t="n"/>
      <c r="D203" s="640" t="n"/>
      <c r="E203" s="640" t="n"/>
      <c r="F203" s="640" t="n"/>
      <c r="G203" s="640" t="n"/>
      <c r="H203" s="640" t="n"/>
      <c r="I203" s="640" t="n"/>
    </row>
    <row r="204" ht="14.25" customHeight="1" s="356">
      <c r="B204" s="640" t="n"/>
      <c r="C204" s="640" t="n"/>
      <c r="D204" s="640" t="n"/>
      <c r="E204" s="640" t="n"/>
      <c r="F204" s="640" t="n"/>
      <c r="G204" s="640" t="n"/>
      <c r="H204" s="640" t="n"/>
      <c r="I204" s="640" t="n"/>
    </row>
    <row r="205" ht="14.25" customHeight="1" s="356">
      <c r="B205" s="640" t="n"/>
      <c r="C205" s="640" t="n"/>
      <c r="D205" s="640" t="n"/>
      <c r="E205" s="640" t="n"/>
      <c r="F205" s="640" t="n"/>
      <c r="G205" s="640" t="n"/>
      <c r="H205" s="640" t="n"/>
      <c r="I205" s="640" t="n"/>
    </row>
    <row r="206" ht="14.25" customHeight="1" s="356">
      <c r="B206" s="640" t="n"/>
      <c r="C206" s="640" t="n"/>
      <c r="D206" s="640" t="n"/>
      <c r="E206" s="640" t="n"/>
      <c r="F206" s="640" t="n"/>
      <c r="G206" s="640" t="n"/>
      <c r="H206" s="640" t="n"/>
      <c r="I206" s="640" t="n"/>
    </row>
    <row r="207" ht="14.25" customHeight="1" s="356">
      <c r="B207" s="640" t="n"/>
      <c r="C207" s="640" t="n"/>
      <c r="D207" s="640" t="n"/>
      <c r="E207" s="640" t="n"/>
      <c r="F207" s="640" t="n"/>
      <c r="G207" s="640" t="n"/>
      <c r="H207" s="640" t="n"/>
      <c r="I207" s="640" t="n"/>
    </row>
    <row r="208" ht="15" customHeight="1" s="356">
      <c r="B208" s="640" t="n"/>
      <c r="C208" s="640" t="n"/>
      <c r="D208" s="640" t="n"/>
      <c r="E208" s="640" t="n"/>
      <c r="F208" s="640" t="n"/>
      <c r="G208" s="640" t="n"/>
      <c r="H208" s="640" t="n"/>
      <c r="I208" s="640" t="n"/>
    </row>
    <row r="209" ht="15" customHeight="1" s="356">
      <c r="B209" s="640" t="n"/>
      <c r="C209" s="640" t="n"/>
      <c r="D209" s="640" t="n"/>
      <c r="E209" s="640" t="n"/>
      <c r="F209" s="640" t="n"/>
      <c r="G209" s="640" t="n"/>
      <c r="H209" s="640" t="n"/>
      <c r="I209" s="640" t="n"/>
    </row>
    <row r="210" ht="15" customHeight="1" s="356">
      <c r="B210" s="640" t="n"/>
      <c r="C210" s="640" t="n"/>
      <c r="D210" s="640" t="n"/>
      <c r="E210" s="640" t="n"/>
      <c r="F210" s="640" t="n"/>
      <c r="G210" s="640" t="n"/>
      <c r="H210" s="640" t="n"/>
      <c r="I210" s="640" t="n"/>
    </row>
    <row r="211" ht="15" customHeight="1" s="356">
      <c r="B211" s="640" t="n"/>
      <c r="C211" s="640" t="n"/>
      <c r="D211" s="640" t="n"/>
      <c r="E211" s="640" t="n"/>
      <c r="F211" s="640" t="n"/>
      <c r="G211" s="640" t="n"/>
      <c r="H211" s="640" t="n"/>
      <c r="I211" s="640" t="n"/>
    </row>
    <row r="212" ht="15" customHeight="1" s="356">
      <c r="B212" s="640" t="n"/>
      <c r="C212" s="640" t="n"/>
      <c r="D212" s="640" t="n"/>
      <c r="E212" s="640" t="n"/>
      <c r="F212" s="640" t="n"/>
      <c r="G212" s="640" t="n"/>
      <c r="H212" s="640" t="n"/>
      <c r="I212" s="640" t="n"/>
    </row>
    <row r="213" ht="15" customHeight="1" s="356">
      <c r="B213" s="640" t="n"/>
      <c r="C213" s="640" t="n"/>
      <c r="D213" s="640" t="n"/>
      <c r="E213" s="640" t="n"/>
      <c r="F213" s="640" t="n"/>
      <c r="G213" s="640" t="n"/>
      <c r="H213" s="640" t="n"/>
      <c r="I213" s="640" t="n"/>
    </row>
    <row r="214" ht="15" customHeight="1" s="356">
      <c r="B214" s="640" t="n"/>
      <c r="C214" s="640" t="n"/>
      <c r="D214" s="640" t="n"/>
      <c r="E214" s="640" t="n"/>
      <c r="F214" s="640" t="n"/>
      <c r="G214" s="640" t="n"/>
      <c r="H214" s="640" t="n"/>
      <c r="I214" s="640" t="n"/>
    </row>
  </sheetData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7:AC1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.69" customWidth="1" style="355" min="1" max="1"/>
    <col width="7.69" customWidth="1" style="355" min="3" max="3"/>
    <col width="10.68" customWidth="1" style="355" min="4" max="4"/>
    <col width="13.26" customWidth="1" style="355" min="5" max="5"/>
    <col width="7.69" customWidth="1" style="355" min="7" max="7"/>
    <col width="13.26" customWidth="1" style="355" min="9" max="9"/>
    <col width="14.68" customWidth="1" style="355" min="11" max="11"/>
    <col width="13.26" customWidth="1" style="355" min="12" max="12"/>
    <col width="20.69" customWidth="1" style="355" min="19" max="19"/>
    <col width="15.69" customWidth="1" style="355" min="22" max="22"/>
    <col width="13.26" customWidth="1" style="355" min="23" max="23"/>
  </cols>
  <sheetData>
    <row r="1" ht="4.5" customHeight="1" s="356"/>
    <row r="2" ht="15" customHeight="1" s="356"/>
    <row r="3" ht="15" customHeight="1" s="356"/>
    <row r="4" ht="15" customHeight="1" s="356"/>
    <row r="5" ht="4.5" customHeight="1" s="356"/>
    <row r="6" ht="4.5" customHeight="1" s="356"/>
    <row r="7" ht="15" customHeight="1" s="356">
      <c r="C7" s="641" t="inlineStr">
        <is>
          <t>Name</t>
        </is>
      </c>
      <c r="D7" s="642" t="n"/>
      <c r="E7" s="643" t="inlineStr">
        <is>
          <t>Propel Holdings Inc</t>
        </is>
      </c>
    </row>
    <row r="8" ht="4.5" customHeight="1" s="356"/>
    <row r="9" ht="15" customHeight="1" s="356">
      <c r="C9" s="641" t="inlineStr">
        <is>
          <t>Ticker</t>
        </is>
      </c>
      <c r="D9" s="642" t="n"/>
      <c r="E9" s="644" t="inlineStr">
        <is>
          <t>PRL CN EQUITY</t>
        </is>
      </c>
      <c r="F9" s="645" t="n"/>
      <c r="G9" s="646" t="inlineStr">
        <is>
          <t>View</t>
        </is>
      </c>
      <c r="H9" s="642" t="n"/>
      <c r="I9" s="647" t="inlineStr">
        <is>
          <t>Summary</t>
        </is>
      </c>
      <c r="J9" s="648" t="n"/>
    </row>
    <row r="10" ht="4.5" customHeight="1" s="356">
      <c r="B10" s="649" t="n"/>
      <c r="C10" s="650" t="n"/>
      <c r="D10" s="650" t="n"/>
      <c r="E10" s="651" t="n"/>
      <c r="F10" s="651" t="n"/>
      <c r="G10" s="650" t="n"/>
      <c r="H10" s="650" t="n"/>
      <c r="I10" s="651" t="n"/>
      <c r="J10" s="651" t="n"/>
      <c r="K10" s="650" t="n"/>
      <c r="L10" s="651" t="n"/>
      <c r="M10" s="651" t="n"/>
    </row>
    <row r="11" ht="15" customHeight="1" s="356">
      <c r="C11" s="641" t="inlineStr">
        <is>
          <t>Sort By</t>
        </is>
      </c>
      <c r="D11" s="642" t="n"/>
      <c r="E11" s="644" t="inlineStr">
        <is>
          <t>Position</t>
        </is>
      </c>
      <c r="F11" s="645" t="n"/>
      <c r="G11" s="646" t="inlineStr">
        <is>
          <t>Order</t>
        </is>
      </c>
      <c r="H11" s="642" t="n"/>
      <c r="I11" s="647" t="inlineStr">
        <is>
          <t>Descending</t>
        </is>
      </c>
      <c r="J11" s="648" t="n"/>
    </row>
    <row r="12" ht="4.5" customHeight="1" s="356"/>
    <row r="13" ht="15" customHeight="1" s="356">
      <c r="C13" s="652" t="inlineStr">
        <is>
          <t>Holder Name</t>
        </is>
      </c>
      <c r="D13" s="653" t="n"/>
      <c r="E13" s="653" t="n"/>
      <c r="F13" s="654" t="n"/>
      <c r="G13" s="655" t="inlineStr">
        <is>
          <t>Portfolio Name</t>
        </is>
      </c>
      <c r="H13" s="656" t="n"/>
      <c r="I13" s="656" t="n"/>
      <c r="J13" s="656" t="n"/>
      <c r="K13" s="645" t="n"/>
      <c r="L13" s="657" t="inlineStr">
        <is>
          <t>Position</t>
        </is>
      </c>
      <c r="M13" s="657" t="inlineStr">
        <is>
          <t>Latest Chg</t>
        </is>
      </c>
      <c r="N13" s="657" t="inlineStr">
        <is>
          <t>Filing Date</t>
        </is>
      </c>
      <c r="O13" s="657" t="inlineStr">
        <is>
          <t>Source</t>
        </is>
      </c>
      <c r="P13" s="657" t="inlineStr">
        <is>
          <t>% Out</t>
        </is>
      </c>
      <c r="Q13" s="657" t="inlineStr">
        <is>
          <t>% Portfolio</t>
        </is>
      </c>
      <c r="R13" s="657" t="inlineStr">
        <is>
          <t>Insider Status</t>
        </is>
      </c>
      <c r="S13" s="657" t="inlineStr">
        <is>
          <t>Institution Type</t>
        </is>
      </c>
      <c r="T13" s="657" t="inlineStr">
        <is>
          <t>Metro Area</t>
        </is>
      </c>
      <c r="U13" s="658" t="inlineStr">
        <is>
          <t>Country</t>
        </is>
      </c>
      <c r="V13" s="657" t="inlineStr">
        <is>
          <t>Market Value</t>
        </is>
      </c>
      <c r="W13" s="657" t="inlineStr">
        <is>
          <t>Hold Period</t>
        </is>
      </c>
      <c r="X13" s="657" t="inlineStr">
        <is>
          <t>Cost (FIFO)</t>
        </is>
      </c>
      <c r="Y13" s="657" t="inlineStr">
        <is>
          <t>Cost (LIFO)</t>
        </is>
      </c>
      <c r="Z13" s="657" t="inlineStr">
        <is>
          <t>Cost (Avg.)</t>
        </is>
      </c>
      <c r="AA13" s="657" t="inlineStr">
        <is>
          <t>Ret % (FIFO)</t>
        </is>
      </c>
      <c r="AB13" s="657" t="inlineStr">
        <is>
          <t>Ret % (LIFO)</t>
        </is>
      </c>
      <c r="AC13" s="659" t="inlineStr">
        <is>
          <t>Ret % (Avg)</t>
        </is>
      </c>
    </row>
    <row r="14" ht="15" customHeight="1" s="356">
      <c r="B14" s="660" t="n">
        <v>1</v>
      </c>
      <c r="C14" s="661" t="inlineStr">
        <is>
          <t>MPI Capital Inc</t>
        </is>
      </c>
      <c r="D14" s="662" t="n"/>
      <c r="E14" s="662" t="n"/>
      <c r="F14" s="662" t="n"/>
      <c r="G14" s="663" t="inlineStr">
        <is>
          <t>--</t>
        </is>
      </c>
      <c r="H14" s="662" t="n"/>
      <c r="I14" s="662" t="n"/>
      <c r="J14" s="662" t="n"/>
      <c r="K14" s="662" t="n"/>
      <c r="L14" s="664" t="n">
        <v>4253800</v>
      </c>
      <c r="M14" s="664" t="n">
        <v>-450000</v>
      </c>
      <c r="N14" s="665" t="n">
        <v>46171</v>
      </c>
      <c r="O14" s="666" t="inlineStr">
        <is>
          <t>SEDI</t>
        </is>
      </c>
      <c r="P14" s="667" t="n">
        <v>10.8</v>
      </c>
      <c r="Q14" s="667" t="n">
        <v>0</v>
      </c>
      <c r="R14" s="666" t="inlineStr">
        <is>
          <t>N-P</t>
        </is>
      </c>
      <c r="S14" s="666" t="inlineStr">
        <is>
          <t>Other</t>
        </is>
      </c>
      <c r="T14" s="666" t="inlineStr">
        <is>
          <t>Montreal</t>
        </is>
      </c>
      <c r="U14" s="666" t="inlineStr">
        <is>
          <t>Canada</t>
        </is>
      </c>
      <c r="V14" s="664" t="n">
        <v>106004696</v>
      </c>
      <c r="W14" s="667" t="n">
        <v>4.75</v>
      </c>
      <c r="X14" s="667" t="n">
        <v>9.73</v>
      </c>
      <c r="Y14" s="667" t="n">
        <v>9.73</v>
      </c>
      <c r="Z14" s="667" t="n">
        <v>9.73</v>
      </c>
      <c r="AA14" s="667" t="n">
        <v>156.1</v>
      </c>
      <c r="AB14" s="667" t="n">
        <v>156.1</v>
      </c>
      <c r="AC14" s="668" t="n">
        <v>156.1</v>
      </c>
    </row>
    <row r="15" ht="15" customHeight="1" s="356">
      <c r="B15" s="660" t="n">
        <v>2</v>
      </c>
      <c r="C15" s="669" t="inlineStr">
        <is>
          <t>Kinross Clive</t>
        </is>
      </c>
      <c r="D15" s="670" t="n"/>
      <c r="E15" s="670" t="n"/>
      <c r="F15" s="670" t="n"/>
      <c r="G15" s="671" t="inlineStr">
        <is>
          <t>--</t>
        </is>
      </c>
      <c r="H15" s="670" t="n"/>
      <c r="I15" s="670" t="n"/>
      <c r="J15" s="670" t="n"/>
      <c r="K15" s="670" t="n"/>
      <c r="L15" s="672" t="n">
        <v>2550000</v>
      </c>
      <c r="M15" s="672" t="n">
        <v>-150000</v>
      </c>
      <c r="N15" s="673" t="n">
        <v>46171</v>
      </c>
      <c r="O15" s="674" t="inlineStr">
        <is>
          <t>SEDI</t>
        </is>
      </c>
      <c r="P15" s="675" t="n">
        <v>6.48</v>
      </c>
      <c r="Q15" s="675" t="n">
        <v>0</v>
      </c>
      <c r="R15" s="674" t="inlineStr">
        <is>
          <t>Y</t>
        </is>
      </c>
      <c r="S15" s="674" t="inlineStr">
        <is>
          <t>Unclassified</t>
        </is>
      </c>
      <c r="T15" s="674" t="inlineStr">
        <is>
          <t>Unclassified</t>
        </is>
      </c>
      <c r="U15" s="674" t="inlineStr">
        <is>
          <t>n/a</t>
        </is>
      </c>
      <c r="V15" s="672" t="n">
        <v>63546000</v>
      </c>
      <c r="W15" s="675" t="n">
        <v>4.75</v>
      </c>
      <c r="X15" s="675" t="n">
        <v>9.73</v>
      </c>
      <c r="Y15" s="675" t="n">
        <v>9.73</v>
      </c>
      <c r="Z15" s="675" t="n">
        <v>9.73</v>
      </c>
      <c r="AA15" s="675" t="n">
        <v>156.1</v>
      </c>
      <c r="AB15" s="675" t="n">
        <v>156.1</v>
      </c>
      <c r="AC15" s="676" t="n">
        <v>156.1</v>
      </c>
    </row>
    <row r="16" ht="15" customHeight="1" s="356">
      <c r="B16" s="660" t="n">
        <v>3</v>
      </c>
      <c r="C16" s="669" t="inlineStr">
        <is>
          <t>Buchman Noah</t>
        </is>
      </c>
      <c r="D16" s="670" t="n"/>
      <c r="E16" s="670" t="n"/>
      <c r="F16" s="670" t="n"/>
      <c r="G16" s="671" t="inlineStr">
        <is>
          <t>--</t>
        </is>
      </c>
      <c r="H16" s="670" t="n"/>
      <c r="I16" s="670" t="n"/>
      <c r="J16" s="670" t="n"/>
      <c r="K16" s="670" t="n"/>
      <c r="L16" s="672" t="n">
        <v>1026865</v>
      </c>
      <c r="M16" s="672" t="n">
        <v>53319</v>
      </c>
      <c r="N16" s="673" t="n">
        <v>45891</v>
      </c>
      <c r="O16" s="674" t="inlineStr">
        <is>
          <t>SEDI</t>
        </is>
      </c>
      <c r="P16" s="675" t="n">
        <v>2.61</v>
      </c>
      <c r="Q16" s="675" t="n">
        <v>0</v>
      </c>
      <c r="R16" s="674" t="inlineStr">
        <is>
          <t>Y</t>
        </is>
      </c>
      <c r="S16" s="674" t="inlineStr">
        <is>
          <t>Unclassified</t>
        </is>
      </c>
      <c r="T16" s="674" t="inlineStr">
        <is>
          <t>Unclassified</t>
        </is>
      </c>
      <c r="U16" s="674" t="inlineStr">
        <is>
          <t>n/a</t>
        </is>
      </c>
      <c r="V16" s="672" t="n">
        <v>25589475.8</v>
      </c>
      <c r="W16" s="675" t="n">
        <v>4.75</v>
      </c>
      <c r="X16" s="675" t="n">
        <v>12.7</v>
      </c>
      <c r="Y16" s="675" t="n">
        <v>12.67</v>
      </c>
      <c r="Z16" s="675" t="n">
        <v>12.7</v>
      </c>
      <c r="AA16" s="675" t="n">
        <v>96.15000000000001</v>
      </c>
      <c r="AB16" s="675" t="n">
        <v>96.61</v>
      </c>
      <c r="AC16" s="676" t="n">
        <v>96.16</v>
      </c>
    </row>
    <row r="17" ht="15" customHeight="1" s="356">
      <c r="B17" s="660" t="n">
        <v>4</v>
      </c>
      <c r="C17" s="669" t="inlineStr">
        <is>
          <t>LEAGA HOLDINGS INC</t>
        </is>
      </c>
      <c r="D17" s="670" t="n"/>
      <c r="E17" s="670" t="n"/>
      <c r="F17" s="670" t="n"/>
      <c r="G17" s="671" t="inlineStr">
        <is>
          <t>--</t>
        </is>
      </c>
      <c r="H17" s="670" t="n"/>
      <c r="I17" s="670" t="n"/>
      <c r="J17" s="670" t="n"/>
      <c r="K17" s="670" t="n"/>
      <c r="L17" s="672" t="n">
        <v>908675</v>
      </c>
      <c r="M17" s="672" t="n">
        <v>-30000</v>
      </c>
      <c r="N17" s="673" t="n">
        <v>46188</v>
      </c>
      <c r="O17" s="674" t="inlineStr">
        <is>
          <t>SEDI</t>
        </is>
      </c>
      <c r="P17" s="675" t="n">
        <v>2.31</v>
      </c>
      <c r="Q17" s="675" t="n">
        <v>0</v>
      </c>
      <c r="R17" s="674" t="inlineStr">
        <is>
          <t>N-P</t>
        </is>
      </c>
      <c r="S17" s="674" t="inlineStr">
        <is>
          <t>Other</t>
        </is>
      </c>
      <c r="T17" s="674" t="inlineStr">
        <is>
          <t>Toronto</t>
        </is>
      </c>
      <c r="U17" s="674" t="inlineStr">
        <is>
          <t>Canada</t>
        </is>
      </c>
      <c r="V17" s="672" t="n">
        <v>22644181</v>
      </c>
      <c r="W17" s="675" t="n">
        <v>0.5</v>
      </c>
      <c r="X17" s="675" t="n">
        <v>21.19</v>
      </c>
      <c r="Y17" s="675" t="n">
        <v>21.19</v>
      </c>
      <c r="Z17" s="675" t="n">
        <v>21.19</v>
      </c>
      <c r="AA17" s="675" t="n">
        <v>17.6</v>
      </c>
      <c r="AB17" s="675" t="n">
        <v>17.6</v>
      </c>
      <c r="AC17" s="676" t="n">
        <v>17.6</v>
      </c>
    </row>
    <row r="18" ht="15" customHeight="1" s="356">
      <c r="B18" s="660" t="n">
        <v>5</v>
      </c>
      <c r="C18" s="669" t="inlineStr">
        <is>
          <t>Goler Jonathan</t>
        </is>
      </c>
      <c r="D18" s="670" t="n"/>
      <c r="E18" s="670" t="n"/>
      <c r="F18" s="670" t="n"/>
      <c r="G18" s="671" t="inlineStr">
        <is>
          <t>--</t>
        </is>
      </c>
      <c r="H18" s="670" t="n"/>
      <c r="I18" s="670" t="n"/>
      <c r="J18" s="670" t="n"/>
      <c r="K18" s="670" t="n"/>
      <c r="L18" s="672" t="n">
        <v>755299</v>
      </c>
      <c r="M18" s="672" t="n">
        <v>1000</v>
      </c>
      <c r="N18" s="673" t="n">
        <v>46099</v>
      </c>
      <c r="O18" s="674" t="inlineStr">
        <is>
          <t>SEDI</t>
        </is>
      </c>
      <c r="P18" s="675" t="n">
        <v>1.92</v>
      </c>
      <c r="Q18" s="675" t="n">
        <v>0</v>
      </c>
      <c r="R18" s="674" t="inlineStr">
        <is>
          <t>Y</t>
        </is>
      </c>
      <c r="S18" s="674" t="inlineStr">
        <is>
          <t>Unclassified</t>
        </is>
      </c>
      <c r="T18" s="674" t="inlineStr">
        <is>
          <t>Unclassified</t>
        </is>
      </c>
      <c r="U18" s="674" t="inlineStr">
        <is>
          <t>n/a</t>
        </is>
      </c>
      <c r="V18" s="672" t="n">
        <v>18822051.08</v>
      </c>
      <c r="W18" s="675" t="n">
        <v>4.75</v>
      </c>
      <c r="X18" s="675" t="n">
        <v>12.11</v>
      </c>
      <c r="Y18" s="675" t="n">
        <v>12.12</v>
      </c>
      <c r="Z18" s="675" t="n">
        <v>12.11</v>
      </c>
      <c r="AA18" s="675" t="n">
        <v>105.77</v>
      </c>
      <c r="AB18" s="675" t="n">
        <v>105.69</v>
      </c>
      <c r="AC18" s="676" t="n">
        <v>105.76</v>
      </c>
    </row>
    <row r="19" ht="15" customHeight="1" s="356">
      <c r="B19" s="660" t="n">
        <v>6</v>
      </c>
      <c r="C19" s="669" t="inlineStr">
        <is>
          <t>Saidakovsky Sheldon</t>
        </is>
      </c>
      <c r="D19" s="670" t="n"/>
      <c r="E19" s="670" t="n"/>
      <c r="F19" s="670" t="n"/>
      <c r="G19" s="671" t="inlineStr">
        <is>
          <t>--</t>
        </is>
      </c>
      <c r="H19" s="670" t="n"/>
      <c r="I19" s="670" t="n"/>
      <c r="J19" s="670" t="n"/>
      <c r="K19" s="670" t="n"/>
      <c r="L19" s="672" t="n">
        <v>698910</v>
      </c>
      <c r="M19" s="672" t="n">
        <v>545</v>
      </c>
      <c r="N19" s="673" t="n">
        <v>46097</v>
      </c>
      <c r="O19" s="674" t="inlineStr">
        <is>
          <t>SEDI</t>
        </is>
      </c>
      <c r="P19" s="675" t="n">
        <v>1.78</v>
      </c>
      <c r="Q19" s="675" t="n">
        <v>0</v>
      </c>
      <c r="R19" s="674" t="inlineStr">
        <is>
          <t>Y</t>
        </is>
      </c>
      <c r="S19" s="674" t="inlineStr">
        <is>
          <t>Unclassified</t>
        </is>
      </c>
      <c r="T19" s="674" t="inlineStr">
        <is>
          <t>Unclassified</t>
        </is>
      </c>
      <c r="U19" s="674" t="inlineStr">
        <is>
          <t>n/a</t>
        </is>
      </c>
      <c r="V19" s="672" t="n">
        <v>17416837.2</v>
      </c>
      <c r="W19" s="675" t="n">
        <v>4.75</v>
      </c>
      <c r="X19" s="675" t="n">
        <v>13.56</v>
      </c>
      <c r="Y19" s="675" t="n">
        <v>13.56</v>
      </c>
      <c r="Z19" s="675" t="n">
        <v>13.56</v>
      </c>
      <c r="AA19" s="675" t="n">
        <v>83.78</v>
      </c>
      <c r="AB19" s="675" t="n">
        <v>83.78</v>
      </c>
      <c r="AC19" s="676" t="n">
        <v>83.78</v>
      </c>
    </row>
    <row r="20" ht="15" customHeight="1" s="356">
      <c r="B20" s="660" t="n">
        <v>7</v>
      </c>
      <c r="C20" s="669" t="inlineStr">
        <is>
          <t>CI Financial Corp</t>
        </is>
      </c>
      <c r="D20" s="670" t="n"/>
      <c r="E20" s="670" t="n"/>
      <c r="F20" s="670" t="n"/>
      <c r="G20" s="671" t="inlineStr">
        <is>
          <t>--</t>
        </is>
      </c>
      <c r="H20" s="670" t="n"/>
      <c r="I20" s="670" t="n"/>
      <c r="J20" s="670" t="n"/>
      <c r="K20" s="670" t="n"/>
      <c r="L20" s="672" t="n">
        <v>606669</v>
      </c>
      <c r="M20" s="672" t="n">
        <v>39769</v>
      </c>
      <c r="N20" s="673" t="n">
        <v>46203</v>
      </c>
      <c r="O20" s="674" t="inlineStr">
        <is>
          <t>ULT-AGG</t>
        </is>
      </c>
      <c r="P20" s="675" t="n">
        <v>1.54</v>
      </c>
      <c r="Q20" s="675" t="n">
        <v>0</v>
      </c>
      <c r="R20" s="674" t="inlineStr">
        <is>
          <t>N-P</t>
        </is>
      </c>
      <c r="S20" s="674" t="inlineStr">
        <is>
          <t>Investment Advisor</t>
        </is>
      </c>
      <c r="T20" s="674" t="inlineStr">
        <is>
          <t>Toronto</t>
        </is>
      </c>
      <c r="U20" s="674" t="inlineStr">
        <is>
          <t>Canada</t>
        </is>
      </c>
      <c r="V20" s="672" t="n">
        <v>15118191.48</v>
      </c>
      <c r="W20" s="675" t="n">
        <v>2</v>
      </c>
      <c r="X20" s="675" t="n">
        <v>22.34</v>
      </c>
      <c r="Y20" s="675" t="n">
        <v>22.34</v>
      </c>
      <c r="Z20" s="675" t="n">
        <v>22.34</v>
      </c>
      <c r="AA20" s="675" t="n">
        <v>11.54</v>
      </c>
      <c r="AB20" s="675" t="n">
        <v>11.54</v>
      </c>
      <c r="AC20" s="676" t="n">
        <v>11.54</v>
      </c>
    </row>
    <row r="21" ht="15" customHeight="1" s="356">
      <c r="B21" s="660" t="n">
        <v>8</v>
      </c>
      <c r="C21" s="669" t="inlineStr">
        <is>
          <t>Vaghela Jay</t>
        </is>
      </c>
      <c r="D21" s="670" t="n"/>
      <c r="E21" s="670" t="n"/>
      <c r="F21" s="670" t="n"/>
      <c r="G21" s="671" t="inlineStr">
        <is>
          <t>--</t>
        </is>
      </c>
      <c r="H21" s="670" t="n"/>
      <c r="I21" s="670" t="n"/>
      <c r="J21" s="670" t="n"/>
      <c r="K21" s="670" t="n"/>
      <c r="L21" s="672" t="n">
        <v>343207</v>
      </c>
      <c r="M21" s="672" t="n">
        <v>545</v>
      </c>
      <c r="N21" s="673" t="n">
        <v>46098</v>
      </c>
      <c r="O21" s="674" t="inlineStr">
        <is>
          <t>SEDI</t>
        </is>
      </c>
      <c r="P21" s="675" t="n">
        <v>0.87</v>
      </c>
      <c r="Q21" s="675" t="n">
        <v>0</v>
      </c>
      <c r="R21" s="674" t="inlineStr">
        <is>
          <t>Y</t>
        </is>
      </c>
      <c r="S21" s="674" t="inlineStr">
        <is>
          <t>Unclassified</t>
        </is>
      </c>
      <c r="T21" s="674" t="inlineStr">
        <is>
          <t>Unclassified</t>
        </is>
      </c>
      <c r="U21" s="674" t="inlineStr">
        <is>
          <t>n/a</t>
        </is>
      </c>
      <c r="V21" s="672" t="n">
        <v>8552718.439999999</v>
      </c>
      <c r="W21" s="675" t="n">
        <v>4.75</v>
      </c>
      <c r="X21" s="675" t="n">
        <v>12.43</v>
      </c>
      <c r="Y21" s="675" t="n">
        <v>12.43</v>
      </c>
      <c r="Z21" s="675" t="n">
        <v>12.43</v>
      </c>
      <c r="AA21" s="675" t="n">
        <v>100.46</v>
      </c>
      <c r="AB21" s="675" t="n">
        <v>100.46</v>
      </c>
      <c r="AC21" s="676" t="n">
        <v>100.46</v>
      </c>
    </row>
    <row r="22" ht="15" customHeight="1" s="356">
      <c r="B22" s="660" t="n">
        <v>9</v>
      </c>
      <c r="C22" s="669" t="inlineStr">
        <is>
          <t>Toronto Dominion Bank</t>
        </is>
      </c>
      <c r="D22" s="670" t="n"/>
      <c r="E22" s="670" t="n"/>
      <c r="F22" s="670" t="n"/>
      <c r="G22" s="671" t="inlineStr">
        <is>
          <t>--</t>
        </is>
      </c>
      <c r="H22" s="670" t="n"/>
      <c r="I22" s="670" t="n"/>
      <c r="J22" s="670" t="n"/>
      <c r="K22" s="670" t="n"/>
      <c r="L22" s="672" t="n">
        <v>341371</v>
      </c>
      <c r="M22" s="672" t="n">
        <v>149241</v>
      </c>
      <c r="N22" s="673" t="n">
        <v>46203</v>
      </c>
      <c r="O22" s="674" t="inlineStr">
        <is>
          <t>ULT-AGG</t>
        </is>
      </c>
      <c r="P22" s="675" t="n">
        <v>0.87</v>
      </c>
      <c r="Q22" s="675" t="n">
        <v>0</v>
      </c>
      <c r="R22" s="674" t="inlineStr">
        <is>
          <t>N-P</t>
        </is>
      </c>
      <c r="S22" s="674" t="inlineStr">
        <is>
          <t>Bank</t>
        </is>
      </c>
      <c r="T22" s="674" t="inlineStr">
        <is>
          <t>Toronto</t>
        </is>
      </c>
      <c r="U22" s="674" t="inlineStr">
        <is>
          <t>Canada</t>
        </is>
      </c>
      <c r="V22" s="672" t="n">
        <v>8506965.32</v>
      </c>
      <c r="W22" s="675" t="n">
        <v>2</v>
      </c>
      <c r="X22" s="675" t="n">
        <v>26.37</v>
      </c>
      <c r="Y22" s="675" t="n">
        <v>26.37</v>
      </c>
      <c r="Z22" s="675" t="n">
        <v>26.37</v>
      </c>
      <c r="AA22" s="675" t="n">
        <v>-5.5</v>
      </c>
      <c r="AB22" s="675" t="n">
        <v>-5.5</v>
      </c>
      <c r="AC22" s="676" t="n">
        <v>-5.5</v>
      </c>
    </row>
    <row r="23" ht="15" customHeight="1" s="356">
      <c r="B23" s="660" t="n">
        <v>10</v>
      </c>
      <c r="C23" s="669" t="inlineStr">
        <is>
          <t>Franklin Resources Inc</t>
        </is>
      </c>
      <c r="D23" s="670" t="n"/>
      <c r="E23" s="670" t="n"/>
      <c r="F23" s="670" t="n"/>
      <c r="G23" s="671" t="inlineStr">
        <is>
          <t>--</t>
        </is>
      </c>
      <c r="H23" s="670" t="n"/>
      <c r="I23" s="670" t="n"/>
      <c r="J23" s="670" t="n"/>
      <c r="K23" s="670" t="n"/>
      <c r="L23" s="672" t="n">
        <v>322994</v>
      </c>
      <c r="M23" s="672" t="n">
        <v>0</v>
      </c>
      <c r="N23" s="673" t="n">
        <v>46142</v>
      </c>
      <c r="O23" s="674" t="inlineStr">
        <is>
          <t>ULT-AGG</t>
        </is>
      </c>
      <c r="P23" s="675" t="n">
        <v>0.82</v>
      </c>
      <c r="Q23" s="675" t="n">
        <v>0</v>
      </c>
      <c r="R23" s="674" t="inlineStr">
        <is>
          <t>N-P</t>
        </is>
      </c>
      <c r="S23" s="674" t="inlineStr">
        <is>
          <t>Investment Advisor</t>
        </is>
      </c>
      <c r="T23" s="674" t="inlineStr">
        <is>
          <t>San Francisco/San Jose</t>
        </is>
      </c>
      <c r="U23" s="674" t="inlineStr">
        <is>
          <t>United States</t>
        </is>
      </c>
      <c r="V23" s="672" t="n">
        <v>8049010.48</v>
      </c>
      <c r="W23" s="675" t="n">
        <v>4.25</v>
      </c>
      <c r="X23" s="675" t="n">
        <v>21.34</v>
      </c>
      <c r="Y23" s="675" t="n">
        <v>21.37</v>
      </c>
      <c r="Z23" s="675" t="n">
        <v>21.32</v>
      </c>
      <c r="AA23" s="675" t="n">
        <v>16.78</v>
      </c>
      <c r="AB23" s="675" t="n">
        <v>16.59</v>
      </c>
      <c r="AC23" s="676" t="n">
        <v>16.87</v>
      </c>
    </row>
    <row r="24" ht="15" customHeight="1" s="356">
      <c r="B24" s="660" t="n">
        <v>11</v>
      </c>
      <c r="C24" s="669" t="inlineStr">
        <is>
          <t>Bank of Montreal</t>
        </is>
      </c>
      <c r="D24" s="670" t="n"/>
      <c r="E24" s="670" t="n"/>
      <c r="F24" s="670" t="n"/>
      <c r="G24" s="671" t="inlineStr">
        <is>
          <t>--</t>
        </is>
      </c>
      <c r="H24" s="670" t="n"/>
      <c r="I24" s="670" t="n"/>
      <c r="J24" s="670" t="n"/>
      <c r="K24" s="670" t="n"/>
      <c r="L24" s="672" t="n">
        <v>300990</v>
      </c>
      <c r="M24" s="672" t="n">
        <v>21900</v>
      </c>
      <c r="N24" s="673" t="n">
        <v>46212</v>
      </c>
      <c r="O24" s="674" t="inlineStr">
        <is>
          <t>ULT-AGG</t>
        </is>
      </c>
      <c r="P24" s="675" t="n">
        <v>0.76</v>
      </c>
      <c r="Q24" s="675" t="n">
        <v>0</v>
      </c>
      <c r="R24" s="674" t="inlineStr">
        <is>
          <t>N-P</t>
        </is>
      </c>
      <c r="S24" s="674" t="inlineStr">
        <is>
          <t>Bank</t>
        </is>
      </c>
      <c r="T24" s="674" t="inlineStr">
        <is>
          <t>Toronto</t>
        </is>
      </c>
      <c r="U24" s="674" t="inlineStr">
        <is>
          <t>Canada</t>
        </is>
      </c>
      <c r="V24" s="672" t="n">
        <v>7500670.8</v>
      </c>
      <c r="W24" s="675" t="n">
        <v>1.75</v>
      </c>
      <c r="X24" s="675" t="n">
        <v>27.93</v>
      </c>
      <c r="Y24" s="675" t="n">
        <v>33.79</v>
      </c>
      <c r="Z24" s="675" t="n">
        <v>30.65</v>
      </c>
      <c r="AA24" s="675" t="n">
        <v>-10.79</v>
      </c>
      <c r="AB24" s="675" t="n">
        <v>-26.26</v>
      </c>
      <c r="AC24" s="676" t="n">
        <v>-18.7</v>
      </c>
    </row>
    <row r="25" ht="15" customHeight="1" s="356">
      <c r="B25" s="660" t="n">
        <v>12</v>
      </c>
      <c r="C25" s="669" t="inlineStr">
        <is>
          <t>Stein Michael L</t>
        </is>
      </c>
      <c r="D25" s="670" t="n"/>
      <c r="E25" s="670" t="n"/>
      <c r="F25" s="670" t="n"/>
      <c r="G25" s="671" t="inlineStr">
        <is>
          <t>--</t>
        </is>
      </c>
      <c r="H25" s="670" t="n"/>
      <c r="I25" s="670" t="n"/>
      <c r="J25" s="670" t="n"/>
      <c r="K25" s="670" t="n"/>
      <c r="L25" s="672" t="n">
        <v>220000</v>
      </c>
      <c r="M25" s="672" t="n">
        <v>0</v>
      </c>
      <c r="N25" s="673" t="n">
        <v>46171</v>
      </c>
      <c r="O25" s="674" t="inlineStr">
        <is>
          <t>SEDI</t>
        </is>
      </c>
      <c r="P25" s="675" t="n">
        <v>0.5600000000000001</v>
      </c>
      <c r="Q25" s="675" t="n">
        <v>0</v>
      </c>
      <c r="R25" s="674" t="inlineStr">
        <is>
          <t>Y</t>
        </is>
      </c>
      <c r="S25" s="674" t="inlineStr">
        <is>
          <t>Unclassified</t>
        </is>
      </c>
      <c r="T25" s="674" t="inlineStr">
        <is>
          <t>Unclassified</t>
        </is>
      </c>
      <c r="U25" s="674" t="inlineStr">
        <is>
          <t>n/a</t>
        </is>
      </c>
      <c r="V25" s="672" t="n">
        <v>5482400</v>
      </c>
      <c r="W25" s="675" t="n">
        <v>2.75</v>
      </c>
      <c r="X25" s="675" t="n">
        <v>17.68</v>
      </c>
      <c r="Y25" s="675" t="n">
        <v>10.34</v>
      </c>
      <c r="Z25" s="675" t="n">
        <v>13.3</v>
      </c>
      <c r="AA25" s="675" t="n">
        <v>40.94</v>
      </c>
      <c r="AB25" s="675" t="n">
        <v>141.04</v>
      </c>
      <c r="AC25" s="676" t="n">
        <v>87.42</v>
      </c>
    </row>
    <row r="26" ht="15" customHeight="1" s="356">
      <c r="B26" s="660" t="n">
        <v>13</v>
      </c>
      <c r="C26" s="669" t="inlineStr">
        <is>
          <t>AGF Management Ltd</t>
        </is>
      </c>
      <c r="D26" s="670" t="n"/>
      <c r="E26" s="670" t="n"/>
      <c r="F26" s="670" t="n"/>
      <c r="G26" s="671" t="inlineStr">
        <is>
          <t>--</t>
        </is>
      </c>
      <c r="H26" s="670" t="n"/>
      <c r="I26" s="670" t="n"/>
      <c r="J26" s="670" t="n"/>
      <c r="K26" s="670" t="n"/>
      <c r="L26" s="672" t="n">
        <v>145000</v>
      </c>
      <c r="M26" s="672" t="n">
        <v>0</v>
      </c>
      <c r="N26" s="673" t="n">
        <v>46112</v>
      </c>
      <c r="O26" s="674" t="inlineStr">
        <is>
          <t>ULT-AGG</t>
        </is>
      </c>
      <c r="P26" s="675" t="n">
        <v>0.37</v>
      </c>
      <c r="Q26" s="675" t="n">
        <v>0</v>
      </c>
      <c r="R26" s="674" t="inlineStr">
        <is>
          <t>N-P</t>
        </is>
      </c>
      <c r="S26" s="674" t="inlineStr">
        <is>
          <t>Investment Advisor</t>
        </is>
      </c>
      <c r="T26" s="674" t="inlineStr">
        <is>
          <t>Toronto</t>
        </is>
      </c>
      <c r="U26" s="674" t="inlineStr">
        <is>
          <t>Canada</t>
        </is>
      </c>
      <c r="V26" s="672" t="n">
        <v>3613400</v>
      </c>
      <c r="W26" s="675" t="n">
        <v>2</v>
      </c>
      <c r="X26" s="675" t="n">
        <v>29.75</v>
      </c>
      <c r="Y26" s="675" t="n">
        <v>29.75</v>
      </c>
      <c r="Z26" s="675" t="n">
        <v>29.75</v>
      </c>
      <c r="AA26" s="675" t="n">
        <v>-16.23</v>
      </c>
      <c r="AB26" s="675" t="n">
        <v>-16.23</v>
      </c>
      <c r="AC26" s="676" t="n">
        <v>-16.23</v>
      </c>
    </row>
    <row r="27" ht="15" customHeight="1" s="356">
      <c r="B27" s="660" t="n">
        <v>14</v>
      </c>
      <c r="C27" s="669" t="inlineStr">
        <is>
          <t>Brompton Group Ltd</t>
        </is>
      </c>
      <c r="D27" s="670" t="n"/>
      <c r="E27" s="670" t="n"/>
      <c r="F27" s="670" t="n"/>
      <c r="G27" s="671" t="inlineStr">
        <is>
          <t>--</t>
        </is>
      </c>
      <c r="H27" s="670" t="n"/>
      <c r="I27" s="670" t="n"/>
      <c r="J27" s="670" t="n"/>
      <c r="K27" s="670" t="n"/>
      <c r="L27" s="672" t="n">
        <v>126413</v>
      </c>
      <c r="M27" s="672" t="n">
        <v>126413</v>
      </c>
      <c r="N27" s="673" t="n">
        <v>45838</v>
      </c>
      <c r="O27" s="674" t="inlineStr">
        <is>
          <t>ULT-AGG</t>
        </is>
      </c>
      <c r="P27" s="675" t="n">
        <v>0.32</v>
      </c>
      <c r="Q27" s="675" t="n">
        <v>0</v>
      </c>
      <c r="R27" s="674" t="inlineStr">
        <is>
          <t>N-P</t>
        </is>
      </c>
      <c r="S27" s="674" t="inlineStr">
        <is>
          <t>Holding Company</t>
        </is>
      </c>
      <c r="T27" s="674" t="inlineStr">
        <is>
          <t>Toronto</t>
        </is>
      </c>
      <c r="U27" s="674" t="inlineStr">
        <is>
          <t>Canada</t>
        </is>
      </c>
      <c r="V27" s="672" t="n">
        <v>3150219.36</v>
      </c>
      <c r="W27" s="675" t="n">
        <v>1.25</v>
      </c>
      <c r="X27" s="675" t="n">
        <v>28.53</v>
      </c>
      <c r="Y27" s="675" t="n">
        <v>28.53</v>
      </c>
      <c r="Z27" s="675" t="n">
        <v>28.53</v>
      </c>
      <c r="AA27" s="675" t="n">
        <v>-12.66</v>
      </c>
      <c r="AB27" s="675" t="n">
        <v>-12.66</v>
      </c>
      <c r="AC27" s="676" t="n">
        <v>-12.66</v>
      </c>
    </row>
    <row r="28" ht="15" customHeight="1" s="356">
      <c r="B28" s="660" t="n">
        <v>15</v>
      </c>
      <c r="C28" s="669" t="inlineStr">
        <is>
          <t>Dimensional Fund Advisors LP</t>
        </is>
      </c>
      <c r="D28" s="670" t="n"/>
      <c r="E28" s="670" t="n"/>
      <c r="F28" s="670" t="n"/>
      <c r="G28" s="671" t="inlineStr">
        <is>
          <t>Multiple Portfolios</t>
        </is>
      </c>
      <c r="H28" s="670" t="n"/>
      <c r="I28" s="670" t="n"/>
      <c r="J28" s="670" t="n"/>
      <c r="K28" s="670" t="n"/>
      <c r="L28" s="672" t="n">
        <v>124610</v>
      </c>
      <c r="M28" s="672" t="n">
        <v>-17925</v>
      </c>
      <c r="N28" s="673" t="n">
        <v>46212</v>
      </c>
      <c r="O28" s="674" t="inlineStr">
        <is>
          <t>MF-AGG</t>
        </is>
      </c>
      <c r="P28" s="675" t="n">
        <v>0.32</v>
      </c>
      <c r="Q28" s="675" t="n">
        <v>0</v>
      </c>
      <c r="R28" s="674" t="inlineStr">
        <is>
          <t>N-P</t>
        </is>
      </c>
      <c r="S28" s="674" t="inlineStr">
        <is>
          <t>Investment Advisor</t>
        </is>
      </c>
      <c r="T28" s="674" t="inlineStr">
        <is>
          <t>Austin</t>
        </is>
      </c>
      <c r="U28" s="674" t="inlineStr">
        <is>
          <t>United States</t>
        </is>
      </c>
      <c r="V28" s="672" t="n">
        <v>3105281.2</v>
      </c>
      <c r="W28" s="675" t="n">
        <v>3</v>
      </c>
      <c r="X28" s="675" t="n">
        <v>25.91</v>
      </c>
      <c r="Y28" s="675" t="n">
        <v>18.11</v>
      </c>
      <c r="Z28" s="675" t="n">
        <v>22.18</v>
      </c>
      <c r="AA28" s="675" t="n">
        <v>-3.81</v>
      </c>
      <c r="AB28" s="675" t="n">
        <v>37.64</v>
      </c>
      <c r="AC28" s="676" t="n">
        <v>12.33</v>
      </c>
    </row>
    <row r="29" ht="15" customHeight="1" s="356">
      <c r="B29" s="660" t="n">
        <v>16</v>
      </c>
      <c r="C29" s="669" t="inlineStr">
        <is>
          <t>Canadian Imperial Bank of Commerce</t>
        </is>
      </c>
      <c r="D29" s="670" t="n"/>
      <c r="E29" s="670" t="n"/>
      <c r="F29" s="670" t="n"/>
      <c r="G29" s="671" t="inlineStr">
        <is>
          <t>--</t>
        </is>
      </c>
      <c r="H29" s="670" t="n"/>
      <c r="I29" s="670" t="n"/>
      <c r="J29" s="670" t="n"/>
      <c r="K29" s="670" t="n"/>
      <c r="L29" s="672" t="n">
        <v>105750</v>
      </c>
      <c r="M29" s="672" t="n">
        <v>39881</v>
      </c>
      <c r="N29" s="673" t="n">
        <v>46203</v>
      </c>
      <c r="O29" s="674" t="inlineStr">
        <is>
          <t>ULT-AGG</t>
        </is>
      </c>
      <c r="P29" s="675" t="n">
        <v>0.27</v>
      </c>
      <c r="Q29" s="675" t="n">
        <v>0</v>
      </c>
      <c r="R29" s="674" t="inlineStr">
        <is>
          <t>N-P</t>
        </is>
      </c>
      <c r="S29" s="674" t="inlineStr">
        <is>
          <t>Bank</t>
        </is>
      </c>
      <c r="T29" s="674" t="inlineStr">
        <is>
          <t>Toronto</t>
        </is>
      </c>
      <c r="U29" s="674" t="inlineStr">
        <is>
          <t>Canada</t>
        </is>
      </c>
      <c r="V29" s="672" t="n">
        <v>2635290</v>
      </c>
      <c r="W29" s="675" t="n">
        <v>4.5</v>
      </c>
      <c r="X29" s="675" t="n">
        <v>24.11</v>
      </c>
      <c r="Y29" s="675" t="n">
        <v>24.11</v>
      </c>
      <c r="Z29" s="675" t="n">
        <v>24.11</v>
      </c>
      <c r="AA29" s="675" t="n">
        <v>3.37</v>
      </c>
      <c r="AB29" s="675" t="n">
        <v>3.36</v>
      </c>
      <c r="AC29" s="676" t="n">
        <v>3.37</v>
      </c>
    </row>
    <row r="30" ht="15" customHeight="1" s="356">
      <c r="B30" s="660" t="n">
        <v>17</v>
      </c>
      <c r="C30" s="669" t="inlineStr">
        <is>
          <t>Blackrock Inc</t>
        </is>
      </c>
      <c r="D30" s="670" t="n"/>
      <c r="E30" s="670" t="n"/>
      <c r="F30" s="670" t="n"/>
      <c r="G30" s="671" t="inlineStr">
        <is>
          <t>--</t>
        </is>
      </c>
      <c r="H30" s="670" t="n"/>
      <c r="I30" s="670" t="n"/>
      <c r="J30" s="670" t="n"/>
      <c r="K30" s="670" t="n"/>
      <c r="L30" s="672" t="n">
        <v>91692</v>
      </c>
      <c r="M30" s="672" t="n">
        <v>3</v>
      </c>
      <c r="N30" s="673" t="n">
        <v>46212</v>
      </c>
      <c r="O30" s="674" t="inlineStr">
        <is>
          <t>ULT-AGG</t>
        </is>
      </c>
      <c r="P30" s="675" t="n">
        <v>0.23</v>
      </c>
      <c r="Q30" s="675" t="n">
        <v>0</v>
      </c>
      <c r="R30" s="674" t="inlineStr">
        <is>
          <t>N-P</t>
        </is>
      </c>
      <c r="S30" s="674" t="inlineStr">
        <is>
          <t>Investment Advisor</t>
        </is>
      </c>
      <c r="T30" s="674" t="inlineStr">
        <is>
          <t>New York City/Southern CT/Northern NJ</t>
        </is>
      </c>
      <c r="U30" s="674" t="inlineStr">
        <is>
          <t>United States</t>
        </is>
      </c>
      <c r="V30" s="672" t="n">
        <v>2284964.63</v>
      </c>
      <c r="W30" s="675" t="n">
        <v>2</v>
      </c>
      <c r="X30" s="675" t="n">
        <v>30.08</v>
      </c>
      <c r="Y30" s="675" t="n">
        <v>30.09</v>
      </c>
      <c r="Z30" s="675" t="n">
        <v>30.08</v>
      </c>
      <c r="AA30" s="675" t="n">
        <v>-17.16</v>
      </c>
      <c r="AB30" s="675" t="n">
        <v>-17.17</v>
      </c>
      <c r="AC30" s="676" t="n">
        <v>-17.15</v>
      </c>
    </row>
    <row r="31" ht="15" customHeight="1" s="356">
      <c r="B31" s="660" t="n">
        <v>18</v>
      </c>
      <c r="C31" s="669" t="inlineStr">
        <is>
          <t>Anderson Peter W</t>
        </is>
      </c>
      <c r="D31" s="670" t="n"/>
      <c r="E31" s="670" t="n"/>
      <c r="F31" s="670" t="n"/>
      <c r="G31" s="671" t="inlineStr">
        <is>
          <t>--</t>
        </is>
      </c>
      <c r="H31" s="670" t="n"/>
      <c r="I31" s="670" t="n"/>
      <c r="J31" s="670" t="n"/>
      <c r="K31" s="670" t="n"/>
      <c r="L31" s="672" t="n">
        <v>90000</v>
      </c>
      <c r="M31" s="672" t="n">
        <v>5000</v>
      </c>
      <c r="N31" s="673" t="n">
        <v>46093</v>
      </c>
      <c r="O31" s="674" t="inlineStr">
        <is>
          <t>SEDI</t>
        </is>
      </c>
      <c r="P31" s="675" t="n">
        <v>0.23</v>
      </c>
      <c r="Q31" s="675" t="n">
        <v>0</v>
      </c>
      <c r="R31" s="674" t="inlineStr">
        <is>
          <t>Y</t>
        </is>
      </c>
      <c r="S31" s="674" t="inlineStr">
        <is>
          <t>Unclassified</t>
        </is>
      </c>
      <c r="T31" s="674" t="inlineStr">
        <is>
          <t>Unclassified</t>
        </is>
      </c>
      <c r="U31" s="674" t="inlineStr">
        <is>
          <t>n/a</t>
        </is>
      </c>
      <c r="V31" s="672" t="n">
        <v>2242800</v>
      </c>
      <c r="W31" s="675" t="n">
        <v>3.75</v>
      </c>
      <c r="X31" s="675" t="n">
        <v>12.89</v>
      </c>
      <c r="Y31" s="675" t="n">
        <v>12.89</v>
      </c>
      <c r="Z31" s="675" t="n">
        <v>12.89</v>
      </c>
      <c r="AA31" s="675" t="n">
        <v>93.33</v>
      </c>
      <c r="AB31" s="675" t="n">
        <v>93.33</v>
      </c>
      <c r="AC31" s="676" t="n">
        <v>93.33</v>
      </c>
    </row>
    <row r="32" ht="15" customHeight="1" s="356">
      <c r="B32" s="660" t="n">
        <v>19</v>
      </c>
      <c r="C32" s="669" t="inlineStr">
        <is>
          <t>American Century Cos Inc</t>
        </is>
      </c>
      <c r="D32" s="670" t="n"/>
      <c r="E32" s="670" t="n"/>
      <c r="F32" s="670" t="n"/>
      <c r="G32" s="671" t="inlineStr">
        <is>
          <t>Multiple Portfolios</t>
        </is>
      </c>
      <c r="H32" s="670" t="n"/>
      <c r="I32" s="670" t="n"/>
      <c r="J32" s="670" t="n"/>
      <c r="K32" s="670" t="n"/>
      <c r="L32" s="672" t="n">
        <v>58637</v>
      </c>
      <c r="M32" s="672" t="n">
        <v>0</v>
      </c>
      <c r="N32" s="673" t="n">
        <v>46212</v>
      </c>
      <c r="O32" s="674" t="inlineStr">
        <is>
          <t>MF-AGG</t>
        </is>
      </c>
      <c r="P32" s="675" t="n">
        <v>0.15</v>
      </c>
      <c r="Q32" s="675" t="n">
        <v>0</v>
      </c>
      <c r="R32" s="674" t="inlineStr">
        <is>
          <t>N-P</t>
        </is>
      </c>
      <c r="S32" s="674" t="inlineStr">
        <is>
          <t>Investment Advisor</t>
        </is>
      </c>
      <c r="T32" s="674" t="inlineStr">
        <is>
          <t>Kansas City</t>
        </is>
      </c>
      <c r="U32" s="674" t="inlineStr">
        <is>
          <t>United States</t>
        </is>
      </c>
      <c r="V32" s="672" t="n">
        <v>1461234.04</v>
      </c>
      <c r="W32" s="675" t="n">
        <v>1.75</v>
      </c>
      <c r="X32" s="675" t="n">
        <v>22.45</v>
      </c>
      <c r="Y32" s="675" t="n">
        <v>22.68</v>
      </c>
      <c r="Z32" s="675" t="n">
        <v>22.55</v>
      </c>
      <c r="AA32" s="675" t="n">
        <v>11.02</v>
      </c>
      <c r="AB32" s="675" t="n">
        <v>9.869999999999999</v>
      </c>
      <c r="AC32" s="676" t="n">
        <v>10.53</v>
      </c>
    </row>
    <row r="33" ht="15" customHeight="1" s="356">
      <c r="B33" s="660" t="n">
        <v>20</v>
      </c>
      <c r="C33" s="669" t="inlineStr">
        <is>
          <t>Ahluwalia Sarika</t>
        </is>
      </c>
      <c r="D33" s="670" t="n"/>
      <c r="E33" s="670" t="n"/>
      <c r="F33" s="670" t="n"/>
      <c r="G33" s="671" t="inlineStr">
        <is>
          <t>--</t>
        </is>
      </c>
      <c r="H33" s="670" t="n"/>
      <c r="I33" s="670" t="n"/>
      <c r="J33" s="670" t="n"/>
      <c r="K33" s="670" t="n"/>
      <c r="L33" s="672" t="n">
        <v>52659</v>
      </c>
      <c r="M33" s="672" t="n">
        <v>0</v>
      </c>
      <c r="N33" s="673" t="n">
        <v>45835</v>
      </c>
      <c r="O33" s="674" t="inlineStr">
        <is>
          <t>SEDI</t>
        </is>
      </c>
      <c r="P33" s="675" t="n">
        <v>0.13</v>
      </c>
      <c r="Q33" s="675" t="n">
        <v>0</v>
      </c>
      <c r="R33" s="674" t="inlineStr">
        <is>
          <t>Y</t>
        </is>
      </c>
      <c r="S33" s="674" t="inlineStr">
        <is>
          <t>Unclassified</t>
        </is>
      </c>
      <c r="T33" s="674" t="inlineStr">
        <is>
          <t>Unclassified</t>
        </is>
      </c>
      <c r="U33" s="674" t="inlineStr">
        <is>
          <t>n/a</t>
        </is>
      </c>
      <c r="V33" s="672" t="n">
        <v>1312262.28</v>
      </c>
      <c r="W33" s="675" t="n">
        <v>4.75</v>
      </c>
      <c r="X33" s="675" t="n">
        <v>16.72</v>
      </c>
      <c r="Y33" s="675" t="n">
        <v>17.29</v>
      </c>
      <c r="Z33" s="675" t="n">
        <v>17.13</v>
      </c>
      <c r="AA33" s="675" t="n">
        <v>49.05</v>
      </c>
      <c r="AB33" s="675" t="n">
        <v>44.16</v>
      </c>
      <c r="AC33" s="676" t="n">
        <v>45.48</v>
      </c>
    </row>
    <row r="34" ht="15" customHeight="1" s="356">
      <c r="B34" s="660" t="n">
        <v>21</v>
      </c>
      <c r="C34" s="669" t="inlineStr">
        <is>
          <t>Sherk Bradley</t>
        </is>
      </c>
      <c r="D34" s="670" t="n"/>
      <c r="E34" s="670" t="n"/>
      <c r="F34" s="670" t="n"/>
      <c r="G34" s="671" t="inlineStr">
        <is>
          <t>--</t>
        </is>
      </c>
      <c r="H34" s="670" t="n"/>
      <c r="I34" s="670" t="n"/>
      <c r="J34" s="670" t="n"/>
      <c r="K34" s="670" t="n"/>
      <c r="L34" s="672" t="n">
        <v>47799</v>
      </c>
      <c r="M34" s="672" t="n">
        <v>-5000</v>
      </c>
      <c r="N34" s="673" t="n">
        <v>46171</v>
      </c>
      <c r="O34" s="674" t="inlineStr">
        <is>
          <t>SEDI</t>
        </is>
      </c>
      <c r="P34" s="675" t="n">
        <v>0.12</v>
      </c>
      <c r="Q34" s="675" t="n">
        <v>0</v>
      </c>
      <c r="R34" s="674" t="inlineStr">
        <is>
          <t>Y</t>
        </is>
      </c>
      <c r="S34" s="674" t="inlineStr">
        <is>
          <t>Unclassified</t>
        </is>
      </c>
      <c r="T34" s="674" t="inlineStr">
        <is>
          <t>Unclassified</t>
        </is>
      </c>
      <c r="U34" s="674" t="inlineStr">
        <is>
          <t>n/a</t>
        </is>
      </c>
      <c r="V34" s="672" t="n">
        <v>1191151.08</v>
      </c>
      <c r="W34" s="675" t="n">
        <v>4.75</v>
      </c>
      <c r="X34" s="675" t="n">
        <v>9.73</v>
      </c>
      <c r="Y34" s="675" t="n">
        <v>9.73</v>
      </c>
      <c r="Z34" s="675" t="n">
        <v>9.73</v>
      </c>
      <c r="AA34" s="675" t="n">
        <v>156.1</v>
      </c>
      <c r="AB34" s="675" t="n">
        <v>156.1</v>
      </c>
      <c r="AC34" s="676" t="n">
        <v>156.1</v>
      </c>
    </row>
    <row r="35" ht="15" customHeight="1" s="356">
      <c r="B35" s="660" t="n">
        <v>22</v>
      </c>
      <c r="C35" s="669" t="inlineStr">
        <is>
          <t>Arrow Capital Management Inc</t>
        </is>
      </c>
      <c r="D35" s="670" t="n"/>
      <c r="E35" s="670" t="n"/>
      <c r="F35" s="670" t="n"/>
      <c r="G35" s="671" t="inlineStr">
        <is>
          <t>Multiple Portfolios</t>
        </is>
      </c>
      <c r="H35" s="670" t="n"/>
      <c r="I35" s="670" t="n"/>
      <c r="J35" s="670" t="n"/>
      <c r="K35" s="670" t="n"/>
      <c r="L35" s="672" t="n">
        <v>39900</v>
      </c>
      <c r="M35" s="672" t="n">
        <v>39900</v>
      </c>
      <c r="N35" s="673" t="n">
        <v>46022</v>
      </c>
      <c r="O35" s="674" t="inlineStr">
        <is>
          <t>MF-AGG</t>
        </is>
      </c>
      <c r="P35" s="675" t="n">
        <v>0.1</v>
      </c>
      <c r="Q35" s="675" t="n">
        <v>0</v>
      </c>
      <c r="R35" s="674" t="inlineStr">
        <is>
          <t>N-P</t>
        </is>
      </c>
      <c r="S35" s="674" t="inlineStr">
        <is>
          <t>Investment Advisor</t>
        </is>
      </c>
      <c r="T35" s="674" t="inlineStr">
        <is>
          <t>Toronto</t>
        </is>
      </c>
      <c r="U35" s="674" t="inlineStr">
        <is>
          <t>Canada</t>
        </is>
      </c>
      <c r="V35" s="672" t="n">
        <v>994308</v>
      </c>
      <c r="W35" s="675" t="n">
        <v>0.75</v>
      </c>
      <c r="X35" s="675" t="n">
        <v>23.73</v>
      </c>
      <c r="Y35" s="675" t="n">
        <v>23.73</v>
      </c>
      <c r="Z35" s="675" t="n">
        <v>23.73</v>
      </c>
      <c r="AA35" s="675" t="n">
        <v>5</v>
      </c>
      <c r="AB35" s="675" t="n">
        <v>5</v>
      </c>
      <c r="AC35" s="676" t="n">
        <v>5</v>
      </c>
    </row>
    <row r="36" ht="15" customHeight="1" s="356">
      <c r="B36" s="660" t="n">
        <v>23</v>
      </c>
      <c r="C36" s="669" t="inlineStr">
        <is>
          <t>Krauklis Jonathan</t>
        </is>
      </c>
      <c r="D36" s="670" t="n"/>
      <c r="E36" s="670" t="n"/>
      <c r="F36" s="670" t="n"/>
      <c r="G36" s="671" t="inlineStr">
        <is>
          <t>--</t>
        </is>
      </c>
      <c r="H36" s="670" t="n"/>
      <c r="I36" s="670" t="n"/>
      <c r="J36" s="670" t="n"/>
      <c r="K36" s="670" t="n"/>
      <c r="L36" s="672" t="n">
        <v>35000</v>
      </c>
      <c r="M36" s="672" t="n">
        <v>-5000</v>
      </c>
      <c r="N36" s="673" t="n">
        <v>45832</v>
      </c>
      <c r="O36" s="674" t="inlineStr">
        <is>
          <t>SEDI</t>
        </is>
      </c>
      <c r="P36" s="675" t="n">
        <v>0.09</v>
      </c>
      <c r="Q36" s="675" t="n">
        <v>0</v>
      </c>
      <c r="R36" s="674" t="inlineStr">
        <is>
          <t>Y</t>
        </is>
      </c>
      <c r="S36" s="674" t="inlineStr">
        <is>
          <t>Unclassified</t>
        </is>
      </c>
      <c r="T36" s="674" t="inlineStr">
        <is>
          <t>Unclassified</t>
        </is>
      </c>
      <c r="U36" s="674" t="inlineStr">
        <is>
          <t>n/a</t>
        </is>
      </c>
      <c r="V36" s="672" t="n">
        <v>872200</v>
      </c>
      <c r="W36" s="675" t="n">
        <v>4.75</v>
      </c>
      <c r="X36" s="675" t="n">
        <v>9.73</v>
      </c>
      <c r="Y36" s="675" t="n">
        <v>9.73</v>
      </c>
      <c r="Z36" s="675" t="n">
        <v>9.73</v>
      </c>
      <c r="AA36" s="675" t="n">
        <v>156.1</v>
      </c>
      <c r="AB36" s="675" t="n">
        <v>156.1</v>
      </c>
      <c r="AC36" s="676" t="n">
        <v>156.1</v>
      </c>
    </row>
    <row r="37" ht="15" customHeight="1" s="356">
      <c r="B37" s="660" t="n">
        <v>24</v>
      </c>
      <c r="C37" s="669" t="inlineStr">
        <is>
          <t>Power Corp of Canada</t>
        </is>
      </c>
      <c r="D37" s="670" t="n"/>
      <c r="E37" s="670" t="n"/>
      <c r="F37" s="670" t="n"/>
      <c r="G37" s="671" t="inlineStr">
        <is>
          <t>--</t>
        </is>
      </c>
      <c r="H37" s="670" t="n"/>
      <c r="I37" s="670" t="n"/>
      <c r="J37" s="670" t="n"/>
      <c r="K37" s="670" t="n"/>
      <c r="L37" s="672" t="n">
        <v>29067</v>
      </c>
      <c r="M37" s="672" t="n">
        <v>0</v>
      </c>
      <c r="N37" s="673" t="n">
        <v>46212</v>
      </c>
      <c r="O37" s="674" t="inlineStr">
        <is>
          <t>ULT-AGG</t>
        </is>
      </c>
      <c r="P37" s="675" t="n">
        <v>0.07000000000000001</v>
      </c>
      <c r="Q37" s="675" t="n">
        <v>0</v>
      </c>
      <c r="R37" s="674" t="inlineStr">
        <is>
          <t>N-P</t>
        </is>
      </c>
      <c r="S37" s="674" t="inlineStr">
        <is>
          <t>Investment Advisor</t>
        </is>
      </c>
      <c r="T37" s="674" t="inlineStr">
        <is>
          <t>Montreal</t>
        </is>
      </c>
      <c r="U37" s="674" t="inlineStr">
        <is>
          <t>Canada</t>
        </is>
      </c>
      <c r="V37" s="672" t="n">
        <v>724349.64</v>
      </c>
      <c r="W37" s="675" t="n">
        <v>2</v>
      </c>
      <c r="X37" s="675" t="n">
        <v>26.29</v>
      </c>
      <c r="Y37" s="675" t="n">
        <v>26.29</v>
      </c>
      <c r="Z37" s="675" t="n">
        <v>26.29</v>
      </c>
      <c r="AA37" s="675" t="n">
        <v>-5.2</v>
      </c>
      <c r="AB37" s="675" t="n">
        <v>-5.2</v>
      </c>
      <c r="AC37" s="676" t="n">
        <v>-5.2</v>
      </c>
    </row>
    <row r="38" ht="15" customHeight="1" s="356">
      <c r="B38" s="660" t="n">
        <v>25</v>
      </c>
      <c r="C38" s="669" t="inlineStr">
        <is>
          <t>Vanguard Group Inc/The</t>
        </is>
      </c>
      <c r="D38" s="670" t="n"/>
      <c r="E38" s="670" t="n"/>
      <c r="F38" s="670" t="n"/>
      <c r="G38" s="671" t="inlineStr">
        <is>
          <t>--</t>
        </is>
      </c>
      <c r="H38" s="670" t="n"/>
      <c r="I38" s="670" t="n"/>
      <c r="J38" s="670" t="n"/>
      <c r="K38" s="670" t="n"/>
      <c r="L38" s="672" t="n">
        <v>25481</v>
      </c>
      <c r="M38" s="672" t="n">
        <v>0</v>
      </c>
      <c r="N38" s="673" t="n">
        <v>46173</v>
      </c>
      <c r="O38" s="674" t="inlineStr">
        <is>
          <t>ULT-AGG</t>
        </is>
      </c>
      <c r="P38" s="675" t="n">
        <v>0.06</v>
      </c>
      <c r="Q38" s="675" t="n">
        <v>0</v>
      </c>
      <c r="R38" s="674" t="inlineStr">
        <is>
          <t>N-P</t>
        </is>
      </c>
      <c r="S38" s="674" t="inlineStr">
        <is>
          <t>Investment Advisor</t>
        </is>
      </c>
      <c r="T38" s="674" t="inlineStr">
        <is>
          <t>Philadelphia</t>
        </is>
      </c>
      <c r="U38" s="674" t="inlineStr">
        <is>
          <t>United States</t>
        </is>
      </c>
      <c r="V38" s="672" t="n">
        <v>634975.1</v>
      </c>
      <c r="W38" s="675" t="n">
        <v>1.75</v>
      </c>
      <c r="X38" s="675" t="n">
        <v>33.79</v>
      </c>
      <c r="Y38" s="675" t="n">
        <v>33.79</v>
      </c>
      <c r="Z38" s="675" t="n">
        <v>33.79</v>
      </c>
      <c r="AA38" s="675" t="n">
        <v>-26.24</v>
      </c>
      <c r="AB38" s="675" t="n">
        <v>-26.24</v>
      </c>
      <c r="AC38" s="676" t="n">
        <v>-26.24</v>
      </c>
    </row>
    <row r="39" ht="15" customHeight="1" s="356">
      <c r="B39" s="660" t="n">
        <v>26</v>
      </c>
      <c r="C39" s="669" t="inlineStr">
        <is>
          <t>State Street Corp</t>
        </is>
      </c>
      <c r="D39" s="670" t="n"/>
      <c r="E39" s="670" t="n"/>
      <c r="F39" s="670" t="n"/>
      <c r="G39" s="671" t="inlineStr">
        <is>
          <t>--</t>
        </is>
      </c>
      <c r="H39" s="670" t="n"/>
      <c r="I39" s="670" t="n"/>
      <c r="J39" s="670" t="n"/>
      <c r="K39" s="670" t="n"/>
      <c r="L39" s="672" t="n">
        <v>18869</v>
      </c>
      <c r="M39" s="672" t="n">
        <v>0</v>
      </c>
      <c r="N39" s="673" t="n">
        <v>46212</v>
      </c>
      <c r="O39" s="674" t="inlineStr">
        <is>
          <t>ULT-AGG</t>
        </is>
      </c>
      <c r="P39" s="675" t="n">
        <v>0.05</v>
      </c>
      <c r="Q39" s="675" t="n">
        <v>0</v>
      </c>
      <c r="R39" s="674" t="inlineStr">
        <is>
          <t>N-P</t>
        </is>
      </c>
      <c r="S39" s="674" t="inlineStr">
        <is>
          <t>Investment Advisor</t>
        </is>
      </c>
      <c r="T39" s="674" t="inlineStr">
        <is>
          <t>Boston</t>
        </is>
      </c>
      <c r="U39" s="674" t="inlineStr">
        <is>
          <t>United States</t>
        </is>
      </c>
      <c r="V39" s="672" t="n">
        <v>470215.48</v>
      </c>
      <c r="W39" s="675" t="n">
        <v>2</v>
      </c>
      <c r="X39" s="675" t="n">
        <v>29.5</v>
      </c>
      <c r="Y39" s="675" t="n">
        <v>30.44</v>
      </c>
      <c r="Z39" s="675" t="n">
        <v>29.92</v>
      </c>
      <c r="AA39" s="675" t="n">
        <v>-15.51</v>
      </c>
      <c r="AB39" s="675" t="n">
        <v>-18.14</v>
      </c>
      <c r="AC39" s="676" t="n">
        <v>-16.72</v>
      </c>
    </row>
    <row r="40" ht="15" customHeight="1" s="356">
      <c r="B40" s="660" t="n">
        <v>27</v>
      </c>
      <c r="C40" s="669" t="inlineStr">
        <is>
          <t>UBS AG</t>
        </is>
      </c>
      <c r="D40" s="670" t="n"/>
      <c r="E40" s="670" t="n"/>
      <c r="F40" s="670" t="n"/>
      <c r="G40" s="671" t="inlineStr">
        <is>
          <t>--</t>
        </is>
      </c>
      <c r="H40" s="670" t="n"/>
      <c r="I40" s="670" t="n"/>
      <c r="J40" s="670" t="n"/>
      <c r="K40" s="670" t="n"/>
      <c r="L40" s="672" t="n">
        <v>18218</v>
      </c>
      <c r="M40" s="672" t="n">
        <v>0</v>
      </c>
      <c r="N40" s="673" t="n">
        <v>46210</v>
      </c>
      <c r="O40" s="674" t="inlineStr">
        <is>
          <t>ULT-AGG</t>
        </is>
      </c>
      <c r="P40" s="675" t="n">
        <v>0.05</v>
      </c>
      <c r="Q40" s="675" t="n">
        <v>0</v>
      </c>
      <c r="R40" s="674" t="inlineStr">
        <is>
          <t>N-P</t>
        </is>
      </c>
      <c r="S40" s="674" t="inlineStr">
        <is>
          <t>Investment Advisor</t>
        </is>
      </c>
      <c r="T40" s="674" t="inlineStr">
        <is>
          <t>Zurich</t>
        </is>
      </c>
      <c r="U40" s="674" t="inlineStr">
        <is>
          <t>Switzerland</t>
        </is>
      </c>
      <c r="V40" s="672" t="n">
        <v>453992.56</v>
      </c>
      <c r="W40" s="675" t="n">
        <v>1.75</v>
      </c>
      <c r="X40" s="675" t="n">
        <v>30.46</v>
      </c>
      <c r="Y40" s="675" t="n">
        <v>30.46</v>
      </c>
      <c r="Z40" s="675" t="n">
        <v>30.46</v>
      </c>
      <c r="AA40" s="675" t="n">
        <v>-18.2</v>
      </c>
      <c r="AB40" s="675" t="n">
        <v>-18.2</v>
      </c>
      <c r="AC40" s="676" t="n">
        <v>-18.2</v>
      </c>
    </row>
    <row r="41" ht="15" customHeight="1" s="356">
      <c r="B41" s="660" t="n">
        <v>28</v>
      </c>
      <c r="C41" s="669" t="inlineStr">
        <is>
          <t>Northern Trust Corp</t>
        </is>
      </c>
      <c r="D41" s="670" t="n"/>
      <c r="E41" s="670" t="n"/>
      <c r="F41" s="670" t="n"/>
      <c r="G41" s="671" t="inlineStr">
        <is>
          <t>Multiple Portfolios</t>
        </is>
      </c>
      <c r="H41" s="670" t="n"/>
      <c r="I41" s="670" t="n"/>
      <c r="J41" s="670" t="n"/>
      <c r="K41" s="670" t="n"/>
      <c r="L41" s="672" t="n">
        <v>17578</v>
      </c>
      <c r="M41" s="672" t="n">
        <v>23</v>
      </c>
      <c r="N41" s="673" t="n">
        <v>46203</v>
      </c>
      <c r="O41" s="674" t="inlineStr">
        <is>
          <t>MF-AGG</t>
        </is>
      </c>
      <c r="P41" s="675" t="n">
        <v>0.04</v>
      </c>
      <c r="Q41" s="675" t="n">
        <v>0</v>
      </c>
      <c r="R41" s="674" t="inlineStr">
        <is>
          <t>N-P</t>
        </is>
      </c>
      <c r="S41" s="674" t="inlineStr">
        <is>
          <t>Investment Advisor</t>
        </is>
      </c>
      <c r="T41" s="674" t="inlineStr">
        <is>
          <t>Chicago</t>
        </is>
      </c>
      <c r="U41" s="674" t="inlineStr">
        <is>
          <t>United States</t>
        </is>
      </c>
      <c r="V41" s="672" t="n">
        <v>438036.03</v>
      </c>
      <c r="W41" s="675" t="n">
        <v>1</v>
      </c>
      <c r="X41" s="675" t="n">
        <v>32.66</v>
      </c>
      <c r="Y41" s="675" t="n">
        <v>32.66</v>
      </c>
      <c r="Z41" s="675" t="n">
        <v>32.66</v>
      </c>
      <c r="AA41" s="675" t="n">
        <v>-23.7</v>
      </c>
      <c r="AB41" s="675" t="n">
        <v>-23.7</v>
      </c>
      <c r="AC41" s="676" t="n">
        <v>-23.7</v>
      </c>
    </row>
    <row r="42" ht="15" customHeight="1" s="356">
      <c r="B42" s="660" t="n">
        <v>29</v>
      </c>
      <c r="C42" s="669" t="inlineStr">
        <is>
          <t>Teachers Insurance &amp; Annuity Assoc</t>
        </is>
      </c>
      <c r="D42" s="670" t="n"/>
      <c r="E42" s="670" t="n"/>
      <c r="F42" s="670" t="n"/>
      <c r="G42" s="671" t="inlineStr">
        <is>
          <t>--</t>
        </is>
      </c>
      <c r="H42" s="670" t="n"/>
      <c r="I42" s="670" t="n"/>
      <c r="J42" s="670" t="n"/>
      <c r="K42" s="670" t="n"/>
      <c r="L42" s="672" t="n">
        <v>17350</v>
      </c>
      <c r="M42" s="672" t="n">
        <v>0</v>
      </c>
      <c r="N42" s="673" t="n">
        <v>46142</v>
      </c>
      <c r="O42" s="674" t="inlineStr">
        <is>
          <t>ULT-AGG</t>
        </is>
      </c>
      <c r="P42" s="675" t="n">
        <v>0.04</v>
      </c>
      <c r="Q42" s="675" t="n">
        <v>0</v>
      </c>
      <c r="R42" s="674" t="inlineStr">
        <is>
          <t>N-P</t>
        </is>
      </c>
      <c r="S42" s="674" t="inlineStr">
        <is>
          <t>Investment Advisor</t>
        </is>
      </c>
      <c r="T42" s="674" t="inlineStr">
        <is>
          <t>New York City/Southern CT/Northern NJ</t>
        </is>
      </c>
      <c r="U42" s="674" t="inlineStr">
        <is>
          <t>United States</t>
        </is>
      </c>
      <c r="V42" s="672" t="n">
        <v>432362</v>
      </c>
      <c r="W42" s="675" t="n">
        <v>1.75</v>
      </c>
      <c r="X42" s="675" t="n">
        <v>33.79</v>
      </c>
      <c r="Y42" s="675" t="n">
        <v>33.79</v>
      </c>
      <c r="Z42" s="675" t="n">
        <v>33.79</v>
      </c>
      <c r="AA42" s="675" t="n">
        <v>-26.26</v>
      </c>
      <c r="AB42" s="675" t="n">
        <v>-26.26</v>
      </c>
      <c r="AC42" s="676" t="n">
        <v>-26.26</v>
      </c>
    </row>
    <row r="43" ht="15" customHeight="1" s="356">
      <c r="B43" s="660" t="n">
        <v>30</v>
      </c>
      <c r="C43" s="669" t="inlineStr">
        <is>
          <t>Greenwade Geoff</t>
        </is>
      </c>
      <c r="D43" s="670" t="n"/>
      <c r="E43" s="670" t="n"/>
      <c r="F43" s="670" t="n"/>
      <c r="G43" s="671" t="inlineStr">
        <is>
          <t>--</t>
        </is>
      </c>
      <c r="H43" s="670" t="n"/>
      <c r="I43" s="670" t="n"/>
      <c r="J43" s="670" t="n"/>
      <c r="K43" s="670" t="n"/>
      <c r="L43" s="672" t="n">
        <v>15384</v>
      </c>
      <c r="M43" s="672" t="n">
        <v>0</v>
      </c>
      <c r="N43" s="673" t="n">
        <v>46127</v>
      </c>
      <c r="O43" s="674" t="inlineStr">
        <is>
          <t>Proxy</t>
        </is>
      </c>
      <c r="P43" s="675" t="n">
        <v>0.04</v>
      </c>
      <c r="Q43" s="675" t="n">
        <v>0</v>
      </c>
      <c r="R43" s="674" t="inlineStr">
        <is>
          <t>Y</t>
        </is>
      </c>
      <c r="S43" s="674" t="inlineStr">
        <is>
          <t>Unclassified</t>
        </is>
      </c>
      <c r="T43" s="674" t="inlineStr">
        <is>
          <t>Unclassified</t>
        </is>
      </c>
      <c r="U43" s="674" t="inlineStr">
        <is>
          <t>n/a</t>
        </is>
      </c>
      <c r="V43" s="672" t="n">
        <v>383369.28</v>
      </c>
      <c r="W43" s="675" t="n">
        <v>4.75</v>
      </c>
      <c r="X43" s="675" t="n">
        <v>9.73</v>
      </c>
      <c r="Y43" s="675" t="n">
        <v>9.73</v>
      </c>
      <c r="Z43" s="675" t="n">
        <v>9.73</v>
      </c>
      <c r="AA43" s="675" t="n">
        <v>156.1</v>
      </c>
      <c r="AB43" s="675" t="n">
        <v>156.1</v>
      </c>
      <c r="AC43" s="676" t="n">
        <v>156.1</v>
      </c>
    </row>
    <row r="44" ht="15" customHeight="1" s="356">
      <c r="B44" s="660" t="n">
        <v>31</v>
      </c>
      <c r="C44" s="669" t="inlineStr">
        <is>
          <t>Martin Karen L</t>
        </is>
      </c>
      <c r="D44" s="670" t="n"/>
      <c r="E44" s="670" t="n"/>
      <c r="F44" s="670" t="n"/>
      <c r="G44" s="671" t="inlineStr">
        <is>
          <t>--</t>
        </is>
      </c>
      <c r="H44" s="670" t="n"/>
      <c r="I44" s="670" t="n"/>
      <c r="J44" s="670" t="n"/>
      <c r="K44" s="670" t="n"/>
      <c r="L44" s="672" t="n">
        <v>12256</v>
      </c>
      <c r="M44" s="672" t="n">
        <v>0</v>
      </c>
      <c r="N44" s="673" t="n">
        <v>46127</v>
      </c>
      <c r="O44" s="674" t="inlineStr">
        <is>
          <t>Proxy</t>
        </is>
      </c>
      <c r="P44" s="675" t="n">
        <v>0.03</v>
      </c>
      <c r="Q44" s="675" t="n">
        <v>0</v>
      </c>
      <c r="R44" s="674" t="inlineStr">
        <is>
          <t>Y</t>
        </is>
      </c>
      <c r="S44" s="674" t="inlineStr">
        <is>
          <t>Unclassified</t>
        </is>
      </c>
      <c r="T44" s="674" t="inlineStr">
        <is>
          <t>Unclassified</t>
        </is>
      </c>
      <c r="U44" s="674" t="inlineStr">
        <is>
          <t>n/a</t>
        </is>
      </c>
      <c r="V44" s="672" t="n">
        <v>305419.52</v>
      </c>
      <c r="W44" s="675" t="n">
        <v>4.75</v>
      </c>
      <c r="X44" s="675" t="n">
        <v>11.63</v>
      </c>
      <c r="Y44" s="675" t="n">
        <v>11.63</v>
      </c>
      <c r="Z44" s="675" t="n">
        <v>11.63</v>
      </c>
      <c r="AA44" s="675" t="n">
        <v>114.2</v>
      </c>
      <c r="AB44" s="675" t="n">
        <v>114.2</v>
      </c>
      <c r="AC44" s="676" t="n">
        <v>114.2</v>
      </c>
    </row>
    <row r="45" ht="15" customHeight="1" s="356">
      <c r="B45" s="660" t="n">
        <v>32</v>
      </c>
      <c r="C45" s="669" t="inlineStr">
        <is>
          <t>1832 Asset Management LP</t>
        </is>
      </c>
      <c r="D45" s="670" t="n"/>
      <c r="E45" s="670" t="n"/>
      <c r="F45" s="670" t="n"/>
      <c r="G45" s="671" t="inlineStr">
        <is>
          <t>Multiple Portfolios</t>
        </is>
      </c>
      <c r="H45" s="670" t="n"/>
      <c r="I45" s="670" t="n"/>
      <c r="J45" s="670" t="n"/>
      <c r="K45" s="670" t="n"/>
      <c r="L45" s="672" t="n">
        <v>11578</v>
      </c>
      <c r="M45" s="672" t="n">
        <v>-35</v>
      </c>
      <c r="N45" s="673" t="n">
        <v>46203</v>
      </c>
      <c r="O45" s="674" t="inlineStr">
        <is>
          <t>MF-AGG</t>
        </is>
      </c>
      <c r="P45" s="675" t="n">
        <v>0.03</v>
      </c>
      <c r="Q45" s="675" t="n">
        <v>0</v>
      </c>
      <c r="R45" s="674" t="inlineStr">
        <is>
          <t>N-P</t>
        </is>
      </c>
      <c r="S45" s="674" t="inlineStr">
        <is>
          <t>Investment Advisor</t>
        </is>
      </c>
      <c r="T45" s="674" t="inlineStr">
        <is>
          <t>Toronto</t>
        </is>
      </c>
      <c r="U45" s="674" t="inlineStr">
        <is>
          <t>Canada</t>
        </is>
      </c>
      <c r="V45" s="672" t="n">
        <v>288523.76</v>
      </c>
      <c r="W45" s="675" t="n">
        <v>2.75</v>
      </c>
      <c r="X45" s="675" t="n">
        <v>25.6</v>
      </c>
      <c r="Y45" s="675" t="n">
        <v>12.75</v>
      </c>
      <c r="Z45" s="675" t="n">
        <v>19.96</v>
      </c>
      <c r="AA45" s="675" t="n">
        <v>-2.65</v>
      </c>
      <c r="AB45" s="675" t="n">
        <v>95.44</v>
      </c>
      <c r="AC45" s="676" t="n">
        <v>24.83</v>
      </c>
    </row>
    <row r="46" ht="15" customHeight="1" s="356">
      <c r="B46" s="660" t="n">
        <v>33</v>
      </c>
      <c r="C46" s="669" t="inlineStr">
        <is>
          <t>Mouvement des caisses Desjardins</t>
        </is>
      </c>
      <c r="D46" s="670" t="n"/>
      <c r="E46" s="670" t="n"/>
      <c r="F46" s="670" t="n"/>
      <c r="G46" s="671" t="inlineStr">
        <is>
          <t>--</t>
        </is>
      </c>
      <c r="H46" s="670" t="n"/>
      <c r="I46" s="670" t="n"/>
      <c r="J46" s="670" t="n"/>
      <c r="K46" s="670" t="n"/>
      <c r="L46" s="672" t="n">
        <v>10507</v>
      </c>
      <c r="M46" s="672" t="n">
        <v>176</v>
      </c>
      <c r="N46" s="673" t="n">
        <v>46211</v>
      </c>
      <c r="O46" s="674" t="inlineStr">
        <is>
          <t>ULT-AGG</t>
        </is>
      </c>
      <c r="P46" s="675" t="n">
        <v>0.03</v>
      </c>
      <c r="Q46" s="675" t="n">
        <v>0</v>
      </c>
      <c r="R46" s="674" t="inlineStr">
        <is>
          <t>N-P</t>
        </is>
      </c>
      <c r="S46" s="674" t="inlineStr">
        <is>
          <t>Investment Advisor</t>
        </is>
      </c>
      <c r="T46" s="674" t="inlineStr">
        <is>
          <t>Montreal</t>
        </is>
      </c>
      <c r="U46" s="674" t="inlineStr">
        <is>
          <t>Canada</t>
        </is>
      </c>
      <c r="V46" s="672" t="n">
        <v>261834.44</v>
      </c>
      <c r="W46" s="675" t="n">
        <v>2</v>
      </c>
      <c r="X46" s="675" t="n">
        <v>30.76</v>
      </c>
      <c r="Y46" s="675" t="n">
        <v>28.71</v>
      </c>
      <c r="Z46" s="675" t="n">
        <v>30.5</v>
      </c>
      <c r="AA46" s="675" t="n">
        <v>-18.98</v>
      </c>
      <c r="AB46" s="675" t="n">
        <v>-13.19</v>
      </c>
      <c r="AC46" s="676" t="n">
        <v>-18.3</v>
      </c>
    </row>
    <row r="47" ht="15" customHeight="1" s="356">
      <c r="B47" s="660" t="n">
        <v>34</v>
      </c>
      <c r="C47" s="669" t="inlineStr">
        <is>
          <t>Axxion SA</t>
        </is>
      </c>
      <c r="D47" s="670" t="n"/>
      <c r="E47" s="670" t="n"/>
      <c r="F47" s="670" t="n"/>
      <c r="G47" s="671" t="inlineStr">
        <is>
          <t>Multiple Portfolios</t>
        </is>
      </c>
      <c r="H47" s="670" t="n"/>
      <c r="I47" s="670" t="n"/>
      <c r="J47" s="670" t="n"/>
      <c r="K47" s="670" t="n"/>
      <c r="L47" s="672" t="n">
        <v>10000</v>
      </c>
      <c r="M47" s="672" t="n">
        <v>0</v>
      </c>
      <c r="N47" s="673" t="n">
        <v>46142</v>
      </c>
      <c r="O47" s="674" t="inlineStr">
        <is>
          <t>MF-AGG</t>
        </is>
      </c>
      <c r="P47" s="675" t="n">
        <v>0.03</v>
      </c>
      <c r="Q47" s="675" t="n">
        <v>0</v>
      </c>
      <c r="R47" s="674" t="inlineStr">
        <is>
          <t>N-P</t>
        </is>
      </c>
      <c r="S47" s="674" t="inlineStr">
        <is>
          <t>Investment Advisor</t>
        </is>
      </c>
      <c r="T47" s="674" t="inlineStr">
        <is>
          <t>Luxembourg</t>
        </is>
      </c>
      <c r="U47" s="674" t="inlineStr">
        <is>
          <t>Luxembourg</t>
        </is>
      </c>
      <c r="V47" s="672" t="n">
        <v>249200</v>
      </c>
      <c r="W47" s="675" t="n">
        <v>1.25</v>
      </c>
      <c r="X47" s="675" t="n">
        <v>28.09</v>
      </c>
      <c r="Y47" s="675" t="n">
        <v>28.53</v>
      </c>
      <c r="Z47" s="675" t="n">
        <v>28.31</v>
      </c>
      <c r="AA47" s="675" t="n">
        <v>-11.28</v>
      </c>
      <c r="AB47" s="675" t="n">
        <v>-12.66</v>
      </c>
      <c r="AC47" s="676" t="n">
        <v>-11.98</v>
      </c>
    </row>
    <row r="48" ht="15" customHeight="1" s="356">
      <c r="B48" s="660" t="n">
        <v>35</v>
      </c>
      <c r="C48" s="669" t="inlineStr">
        <is>
          <t>Puri Poonam</t>
        </is>
      </c>
      <c r="D48" s="670" t="n"/>
      <c r="E48" s="670" t="n"/>
      <c r="F48" s="670" t="n"/>
      <c r="G48" s="671" t="inlineStr">
        <is>
          <t>--</t>
        </is>
      </c>
      <c r="H48" s="670" t="n"/>
      <c r="I48" s="670" t="n"/>
      <c r="J48" s="670" t="n"/>
      <c r="K48" s="670" t="n"/>
      <c r="L48" s="672" t="n">
        <v>10000</v>
      </c>
      <c r="M48" s="672" t="n">
        <v>0</v>
      </c>
      <c r="N48" s="673" t="n">
        <v>46127</v>
      </c>
      <c r="O48" s="674" t="inlineStr">
        <is>
          <t>Proxy</t>
        </is>
      </c>
      <c r="P48" s="675" t="n">
        <v>0.03</v>
      </c>
      <c r="Q48" s="675" t="n">
        <v>0</v>
      </c>
      <c r="R48" s="674" t="inlineStr">
        <is>
          <t>Y</t>
        </is>
      </c>
      <c r="S48" s="674" t="inlineStr">
        <is>
          <t>Unclassified</t>
        </is>
      </c>
      <c r="T48" s="674" t="inlineStr">
        <is>
          <t>Unclassified</t>
        </is>
      </c>
      <c r="U48" s="674" t="inlineStr">
        <is>
          <t>n/a</t>
        </is>
      </c>
      <c r="V48" s="672" t="n">
        <v>249200</v>
      </c>
      <c r="W48" s="675" t="n">
        <v>4.75</v>
      </c>
      <c r="X48" s="675" t="n">
        <v>9.73</v>
      </c>
      <c r="Y48" s="675" t="n">
        <v>9.73</v>
      </c>
      <c r="Z48" s="675" t="n">
        <v>9.73</v>
      </c>
      <c r="AA48" s="675" t="n">
        <v>156.1</v>
      </c>
      <c r="AB48" s="675" t="n">
        <v>156.1</v>
      </c>
      <c r="AC48" s="676" t="n">
        <v>156.1</v>
      </c>
    </row>
    <row r="49" ht="15" customHeight="1" s="356">
      <c r="B49" s="660" t="n">
        <v>36</v>
      </c>
      <c r="C49" s="669" t="inlineStr">
        <is>
          <t>Zuercher Kantonalbank</t>
        </is>
      </c>
      <c r="D49" s="670" t="n"/>
      <c r="E49" s="670" t="n"/>
      <c r="F49" s="670" t="n"/>
      <c r="G49" s="671" t="inlineStr">
        <is>
          <t>--</t>
        </is>
      </c>
      <c r="H49" s="670" t="n"/>
      <c r="I49" s="670" t="n"/>
      <c r="J49" s="670" t="n"/>
      <c r="K49" s="670" t="n"/>
      <c r="L49" s="672" t="n">
        <v>9954</v>
      </c>
      <c r="M49" s="672" t="n">
        <v>0</v>
      </c>
      <c r="N49" s="673" t="n">
        <v>46171</v>
      </c>
      <c r="O49" s="674" t="inlineStr">
        <is>
          <t>ULT-AGG</t>
        </is>
      </c>
      <c r="P49" s="675" t="n">
        <v>0.03</v>
      </c>
      <c r="Q49" s="675" t="n">
        <v>0</v>
      </c>
      <c r="R49" s="674" t="inlineStr">
        <is>
          <t>N-P</t>
        </is>
      </c>
      <c r="S49" s="674" t="inlineStr">
        <is>
          <t>Corporation</t>
        </is>
      </c>
      <c r="T49" s="674" t="inlineStr">
        <is>
          <t>Zurich</t>
        </is>
      </c>
      <c r="U49" s="674" t="inlineStr">
        <is>
          <t>Switzerland</t>
        </is>
      </c>
      <c r="V49" s="672" t="n">
        <v>248053.68</v>
      </c>
      <c r="W49" s="675" t="n">
        <v>1.75</v>
      </c>
      <c r="X49" s="675" t="n">
        <v>31.23</v>
      </c>
      <c r="Y49" s="675" t="n">
        <v>31.23</v>
      </c>
      <c r="Z49" s="675" t="n">
        <v>31.23</v>
      </c>
      <c r="AA49" s="675" t="n">
        <v>-20.22</v>
      </c>
      <c r="AB49" s="675" t="n">
        <v>-20.22</v>
      </c>
      <c r="AC49" s="676" t="n">
        <v>-20.22</v>
      </c>
    </row>
    <row r="50" ht="15" customHeight="1" s="356">
      <c r="B50" s="660" t="n">
        <v>37</v>
      </c>
      <c r="C50" s="669" t="inlineStr">
        <is>
          <t>FMR LLC</t>
        </is>
      </c>
      <c r="D50" s="670" t="n"/>
      <c r="E50" s="670" t="n"/>
      <c r="F50" s="670" t="n"/>
      <c r="G50" s="671" t="inlineStr">
        <is>
          <t>--</t>
        </is>
      </c>
      <c r="H50" s="670" t="n"/>
      <c r="I50" s="670" t="n"/>
      <c r="J50" s="670" t="n"/>
      <c r="K50" s="670" t="n"/>
      <c r="L50" s="672" t="n">
        <v>6769</v>
      </c>
      <c r="M50" s="672" t="n">
        <v>33</v>
      </c>
      <c r="N50" s="673" t="n">
        <v>46212</v>
      </c>
      <c r="O50" s="674" t="inlineStr">
        <is>
          <t>ULT-AGG</t>
        </is>
      </c>
      <c r="P50" s="675" t="n">
        <v>0.02</v>
      </c>
      <c r="Q50" s="675" t="n">
        <v>0</v>
      </c>
      <c r="R50" s="674" t="inlineStr">
        <is>
          <t>N-P</t>
        </is>
      </c>
      <c r="S50" s="674" t="inlineStr">
        <is>
          <t>Investment Advisor</t>
        </is>
      </c>
      <c r="T50" s="674" t="inlineStr">
        <is>
          <t>Boston</t>
        </is>
      </c>
      <c r="U50" s="674" t="inlineStr">
        <is>
          <t>United States</t>
        </is>
      </c>
      <c r="V50" s="672" t="n">
        <v>168683.48</v>
      </c>
      <c r="W50" s="675" t="n">
        <v>0.5</v>
      </c>
      <c r="X50" s="675" t="n">
        <v>21.24</v>
      </c>
      <c r="Y50" s="675" t="n">
        <v>21.24</v>
      </c>
      <c r="Z50" s="675" t="n">
        <v>21.24</v>
      </c>
      <c r="AA50" s="675" t="n">
        <v>17.31</v>
      </c>
      <c r="AB50" s="675" t="n">
        <v>17.31</v>
      </c>
      <c r="AC50" s="676" t="n">
        <v>17.31</v>
      </c>
    </row>
    <row r="51" ht="15" customHeight="1" s="356">
      <c r="B51" s="660" t="n">
        <v>38</v>
      </c>
      <c r="C51" s="669" t="inlineStr">
        <is>
          <t>Marsh &amp; McLennan Cos Inc</t>
        </is>
      </c>
      <c r="D51" s="670" t="n"/>
      <c r="E51" s="670" t="n"/>
      <c r="F51" s="670" t="n"/>
      <c r="G51" s="671" t="inlineStr">
        <is>
          <t>--</t>
        </is>
      </c>
      <c r="H51" s="670" t="n"/>
      <c r="I51" s="670" t="n"/>
      <c r="J51" s="670" t="n"/>
      <c r="K51" s="670" t="n"/>
      <c r="L51" s="672" t="n">
        <v>6674</v>
      </c>
      <c r="M51" s="672" t="n">
        <v>0</v>
      </c>
      <c r="N51" s="673" t="n">
        <v>46142</v>
      </c>
      <c r="O51" s="674" t="inlineStr">
        <is>
          <t>ULT-AGG</t>
        </is>
      </c>
      <c r="P51" s="675" t="n">
        <v>0.02</v>
      </c>
      <c r="Q51" s="675" t="n">
        <v>0</v>
      </c>
      <c r="R51" s="674" t="inlineStr">
        <is>
          <t>N-P</t>
        </is>
      </c>
      <c r="S51" s="674" t="inlineStr">
        <is>
          <t>Corporation</t>
        </is>
      </c>
      <c r="T51" s="674" t="inlineStr">
        <is>
          <t>New York City/Southern CT/Northern NJ</t>
        </is>
      </c>
      <c r="U51" s="674" t="inlineStr">
        <is>
          <t>United States</t>
        </is>
      </c>
      <c r="V51" s="672" t="n">
        <v>166316.08</v>
      </c>
      <c r="W51" s="675" t="n">
        <v>1.75</v>
      </c>
      <c r="X51" s="675" t="n">
        <v>33.79</v>
      </c>
      <c r="Y51" s="675" t="n">
        <v>33.79</v>
      </c>
      <c r="Z51" s="675" t="n">
        <v>33.79</v>
      </c>
      <c r="AA51" s="675" t="n">
        <v>-26.26</v>
      </c>
      <c r="AB51" s="675" t="n">
        <v>-26.26</v>
      </c>
      <c r="AC51" s="676" t="n">
        <v>-26.26</v>
      </c>
    </row>
    <row r="52" ht="15" customHeight="1" s="356">
      <c r="B52" s="660" t="n">
        <v>39</v>
      </c>
      <c r="C52" s="669" t="inlineStr">
        <is>
          <t>Kommunal Landspensjonskasse Gjensi</t>
        </is>
      </c>
      <c r="D52" s="670" t="n"/>
      <c r="E52" s="670" t="n"/>
      <c r="F52" s="670" t="n"/>
      <c r="G52" s="671" t="inlineStr">
        <is>
          <t>--</t>
        </is>
      </c>
      <c r="H52" s="670" t="n"/>
      <c r="I52" s="670" t="n"/>
      <c r="J52" s="670" t="n"/>
      <c r="K52" s="670" t="n"/>
      <c r="L52" s="672" t="n">
        <v>5600</v>
      </c>
      <c r="M52" s="672" t="n">
        <v>0</v>
      </c>
      <c r="N52" s="673" t="n">
        <v>46203</v>
      </c>
      <c r="O52" s="674" t="inlineStr">
        <is>
          <t>ULT-AGG</t>
        </is>
      </c>
      <c r="P52" s="675" t="n">
        <v>0.01</v>
      </c>
      <c r="Q52" s="675" t="n">
        <v>0</v>
      </c>
      <c r="R52" s="674" t="inlineStr">
        <is>
          <t>N-P</t>
        </is>
      </c>
      <c r="S52" s="674" t="inlineStr">
        <is>
          <t>Insurance Company</t>
        </is>
      </c>
      <c r="T52" s="674" t="inlineStr">
        <is>
          <t>Oslo</t>
        </is>
      </c>
      <c r="U52" s="674" t="inlineStr">
        <is>
          <t>Norway</t>
        </is>
      </c>
      <c r="V52" s="672" t="n">
        <v>139552</v>
      </c>
      <c r="W52" s="675" t="n">
        <v>1.75</v>
      </c>
      <c r="X52" s="675" t="n">
        <v>33.79</v>
      </c>
      <c r="Y52" s="675" t="n">
        <v>33.79</v>
      </c>
      <c r="Z52" s="675" t="n">
        <v>33.79</v>
      </c>
      <c r="AA52" s="675" t="n">
        <v>-26.26</v>
      </c>
      <c r="AB52" s="675" t="n">
        <v>-26.26</v>
      </c>
      <c r="AC52" s="676" t="n">
        <v>-26.26</v>
      </c>
    </row>
    <row r="53" ht="15" customHeight="1" s="356">
      <c r="B53" s="660" t="n">
        <v>40</v>
      </c>
      <c r="C53" s="669" t="inlineStr">
        <is>
          <t>Andbank</t>
        </is>
      </c>
      <c r="D53" s="670" t="n"/>
      <c r="E53" s="670" t="n"/>
      <c r="F53" s="670" t="n"/>
      <c r="G53" s="671" t="inlineStr">
        <is>
          <t>--</t>
        </is>
      </c>
      <c r="H53" s="670" t="n"/>
      <c r="I53" s="670" t="n"/>
      <c r="J53" s="670" t="n"/>
      <c r="K53" s="670" t="n"/>
      <c r="L53" s="672" t="n">
        <v>2660</v>
      </c>
      <c r="M53" s="672" t="n">
        <v>0</v>
      </c>
      <c r="N53" s="673" t="n">
        <v>46052</v>
      </c>
      <c r="O53" s="674" t="inlineStr">
        <is>
          <t>ULT-AGG</t>
        </is>
      </c>
      <c r="P53" s="675" t="n">
        <v>0.01</v>
      </c>
      <c r="Q53" s="675" t="n">
        <v>0</v>
      </c>
      <c r="R53" s="674" t="inlineStr">
        <is>
          <t>N-P</t>
        </is>
      </c>
      <c r="S53" s="674" t="inlineStr">
        <is>
          <t>Bank</t>
        </is>
      </c>
      <c r="T53" s="674" t="inlineStr">
        <is>
          <t>Barcelona</t>
        </is>
      </c>
      <c r="U53" s="674" t="inlineStr">
        <is>
          <t>Andorra</t>
        </is>
      </c>
      <c r="V53" s="672" t="n">
        <v>66287.2</v>
      </c>
      <c r="W53" s="675" t="n">
        <v>0.75</v>
      </c>
      <c r="X53" s="675" t="n">
        <v>23.73</v>
      </c>
      <c r="Y53" s="675" t="n">
        <v>23.73</v>
      </c>
      <c r="Z53" s="675" t="n">
        <v>23.73</v>
      </c>
      <c r="AA53" s="675" t="n">
        <v>5</v>
      </c>
      <c r="AB53" s="675" t="n">
        <v>5</v>
      </c>
      <c r="AC53" s="676" t="n">
        <v>5</v>
      </c>
    </row>
    <row r="54" ht="15" customHeight="1" s="356">
      <c r="B54" s="660" t="n">
        <v>41</v>
      </c>
      <c r="C54" s="669" t="inlineStr">
        <is>
          <t>Esfera Capital Gestion SGIIC SA/Sp</t>
        </is>
      </c>
      <c r="D54" s="670" t="n"/>
      <c r="E54" s="670" t="n"/>
      <c r="F54" s="670" t="n"/>
      <c r="G54" s="671" t="inlineStr">
        <is>
          <t>Multiple Portfolios</t>
        </is>
      </c>
      <c r="H54" s="670" t="n"/>
      <c r="I54" s="670" t="n"/>
      <c r="J54" s="670" t="n"/>
      <c r="K54" s="670" t="n"/>
      <c r="L54" s="672" t="n">
        <v>2450</v>
      </c>
      <c r="M54" s="672" t="n">
        <v>0</v>
      </c>
      <c r="N54" s="673" t="n">
        <v>46052</v>
      </c>
      <c r="O54" s="674" t="inlineStr">
        <is>
          <t>MF-AGG</t>
        </is>
      </c>
      <c r="P54" s="675" t="n">
        <v>0.01</v>
      </c>
      <c r="Q54" s="675" t="n">
        <v>0</v>
      </c>
      <c r="R54" s="674" t="inlineStr">
        <is>
          <t>N-P</t>
        </is>
      </c>
      <c r="S54" s="674" t="inlineStr">
        <is>
          <t>Investment Advisor</t>
        </is>
      </c>
      <c r="T54" s="674" t="inlineStr">
        <is>
          <t>Valencia</t>
        </is>
      </c>
      <c r="U54" s="674" t="inlineStr">
        <is>
          <t>Spain</t>
        </is>
      </c>
      <c r="V54" s="672" t="n">
        <v>61054</v>
      </c>
      <c r="W54" s="675" t="n">
        <v>1.5</v>
      </c>
      <c r="X54" s="675" t="n">
        <v>26.47</v>
      </c>
      <c r="Y54" s="675" t="n">
        <v>26.47</v>
      </c>
      <c r="Z54" s="675" t="n">
        <v>26.47</v>
      </c>
      <c r="AA54" s="675" t="n">
        <v>-5.86</v>
      </c>
      <c r="AB54" s="675" t="n">
        <v>-5.86</v>
      </c>
      <c r="AC54" s="676" t="n">
        <v>-5.86</v>
      </c>
    </row>
    <row r="55" ht="15" customHeight="1" s="356">
      <c r="B55" s="660" t="n">
        <v>42</v>
      </c>
      <c r="C55" s="669" t="inlineStr">
        <is>
          <t>Banca March SA</t>
        </is>
      </c>
      <c r="D55" s="670" t="n"/>
      <c r="E55" s="670" t="n"/>
      <c r="F55" s="670" t="n"/>
      <c r="G55" s="671" t="inlineStr">
        <is>
          <t>--</t>
        </is>
      </c>
      <c r="H55" s="670" t="n"/>
      <c r="I55" s="670" t="n"/>
      <c r="J55" s="670" t="n"/>
      <c r="K55" s="670" t="n"/>
      <c r="L55" s="672" t="n">
        <v>2000</v>
      </c>
      <c r="M55" s="672" t="n">
        <v>-4000</v>
      </c>
      <c r="N55" s="673" t="n">
        <v>46052</v>
      </c>
      <c r="O55" s="674" t="inlineStr">
        <is>
          <t>ULT-AGG</t>
        </is>
      </c>
      <c r="P55" s="675" t="n">
        <v>0.01</v>
      </c>
      <c r="Q55" s="675" t="n">
        <v>0</v>
      </c>
      <c r="R55" s="674" t="inlineStr">
        <is>
          <t>N-P</t>
        </is>
      </c>
      <c r="S55" s="674" t="inlineStr">
        <is>
          <t>Bank</t>
        </is>
      </c>
      <c r="T55" s="674" t="inlineStr">
        <is>
          <t>Unclassified</t>
        </is>
      </c>
      <c r="U55" s="674" t="inlineStr">
        <is>
          <t>Spain</t>
        </is>
      </c>
      <c r="V55" s="672" t="n">
        <v>49840</v>
      </c>
      <c r="W55" s="675" t="n">
        <v>1.5</v>
      </c>
      <c r="X55" s="675" t="n">
        <v>23.73</v>
      </c>
      <c r="Y55" s="675" t="n">
        <v>29.1</v>
      </c>
      <c r="Z55" s="675" t="n">
        <v>26.42</v>
      </c>
      <c r="AA55" s="675" t="n">
        <v>5</v>
      </c>
      <c r="AB55" s="675" t="n">
        <v>-14.36</v>
      </c>
      <c r="AC55" s="676" t="n">
        <v>-5.67</v>
      </c>
    </row>
    <row r="56" ht="15" customHeight="1" s="356">
      <c r="B56" s="660" t="n">
        <v>43</v>
      </c>
      <c r="C56" s="669" t="inlineStr">
        <is>
          <t>Pictet &amp; Cie Group SCA</t>
        </is>
      </c>
      <c r="D56" s="670" t="n"/>
      <c r="E56" s="670" t="n"/>
      <c r="F56" s="670" t="n"/>
      <c r="G56" s="671" t="inlineStr">
        <is>
          <t>--</t>
        </is>
      </c>
      <c r="H56" s="670" t="n"/>
      <c r="I56" s="670" t="n"/>
      <c r="J56" s="670" t="n"/>
      <c r="K56" s="670" t="n"/>
      <c r="L56" s="672" t="n">
        <v>1791</v>
      </c>
      <c r="M56" s="672" t="n">
        <v>0</v>
      </c>
      <c r="N56" s="673" t="n">
        <v>46112</v>
      </c>
      <c r="O56" s="674" t="inlineStr">
        <is>
          <t>ULT-AGG</t>
        </is>
      </c>
      <c r="P56" s="675" t="n">
        <v>0</v>
      </c>
      <c r="Q56" s="675" t="n">
        <v>0</v>
      </c>
      <c r="R56" s="674" t="inlineStr">
        <is>
          <t>N-P</t>
        </is>
      </c>
      <c r="S56" s="674" t="inlineStr">
        <is>
          <t>Investment Advisor</t>
        </is>
      </c>
      <c r="T56" s="674" t="inlineStr">
        <is>
          <t>Geneva</t>
        </is>
      </c>
      <c r="U56" s="674" t="inlineStr">
        <is>
          <t>Switzerland</t>
        </is>
      </c>
      <c r="V56" s="672" t="n">
        <v>44631.72</v>
      </c>
      <c r="W56" s="675" t="n">
        <v>1.75</v>
      </c>
      <c r="X56" s="675" t="n">
        <v>33.79</v>
      </c>
      <c r="Y56" s="675" t="n">
        <v>33.79</v>
      </c>
      <c r="Z56" s="675" t="n">
        <v>33.79</v>
      </c>
      <c r="AA56" s="675" t="n">
        <v>-26.26</v>
      </c>
      <c r="AB56" s="675" t="n">
        <v>-26.26</v>
      </c>
      <c r="AC56" s="676" t="n">
        <v>-26.26</v>
      </c>
    </row>
    <row r="57" ht="15" customHeight="1" s="356">
      <c r="B57" s="660" t="n">
        <v>44</v>
      </c>
      <c r="C57" s="669" t="inlineStr">
        <is>
          <t>Swiss Life AG</t>
        </is>
      </c>
      <c r="D57" s="670" t="n"/>
      <c r="E57" s="670" t="n"/>
      <c r="F57" s="670" t="n"/>
      <c r="G57" s="671" t="inlineStr">
        <is>
          <t>Multiple Portfolios</t>
        </is>
      </c>
      <c r="H57" s="670" t="n"/>
      <c r="I57" s="670" t="n"/>
      <c r="J57" s="670" t="n"/>
      <c r="K57" s="670" t="n"/>
      <c r="L57" s="672" t="n">
        <v>951</v>
      </c>
      <c r="M57" s="672" t="n">
        <v>0</v>
      </c>
      <c r="N57" s="673" t="n">
        <v>46080</v>
      </c>
      <c r="O57" s="674" t="inlineStr">
        <is>
          <t>MF-AGG</t>
        </is>
      </c>
      <c r="P57" s="675" t="n">
        <v>0</v>
      </c>
      <c r="Q57" s="675" t="n">
        <v>0</v>
      </c>
      <c r="R57" s="674" t="inlineStr">
        <is>
          <t>N-P</t>
        </is>
      </c>
      <c r="S57" s="674" t="inlineStr">
        <is>
          <t>Insurance Company</t>
        </is>
      </c>
      <c r="T57" s="674" t="inlineStr">
        <is>
          <t>Zurich</t>
        </is>
      </c>
      <c r="U57" s="674" t="inlineStr">
        <is>
          <t>Switzerland</t>
        </is>
      </c>
      <c r="V57" s="672" t="n">
        <v>23698.92</v>
      </c>
      <c r="W57" s="675" t="n">
        <v>1.75</v>
      </c>
      <c r="X57" s="675" t="n">
        <v>31.15</v>
      </c>
      <c r="Y57" s="675" t="n">
        <v>31.15</v>
      </c>
      <c r="Z57" s="675" t="n">
        <v>31.15</v>
      </c>
      <c r="AA57" s="675" t="n">
        <v>-20</v>
      </c>
      <c r="AB57" s="675" t="n">
        <v>-20</v>
      </c>
      <c r="AC57" s="676" t="n">
        <v>-20</v>
      </c>
    </row>
    <row r="58" ht="15" customHeight="1" s="356">
      <c r="B58" s="660" t="n">
        <v>45</v>
      </c>
      <c r="C58" s="669" t="inlineStr">
        <is>
          <t>Credit Agricole Group</t>
        </is>
      </c>
      <c r="D58" s="670" t="n"/>
      <c r="E58" s="670" t="n"/>
      <c r="F58" s="670" t="n"/>
      <c r="G58" s="671" t="inlineStr">
        <is>
          <t>--</t>
        </is>
      </c>
      <c r="H58" s="670" t="n"/>
      <c r="I58" s="670" t="n"/>
      <c r="J58" s="670" t="n"/>
      <c r="K58" s="670" t="n"/>
      <c r="L58" s="672" t="n">
        <v>421</v>
      </c>
      <c r="M58" s="672" t="n">
        <v>421</v>
      </c>
      <c r="N58" s="673" t="n">
        <v>46112</v>
      </c>
      <c r="O58" s="674" t="inlineStr">
        <is>
          <t>ULT-AGG</t>
        </is>
      </c>
      <c r="P58" s="675" t="n">
        <v>0</v>
      </c>
      <c r="Q58" s="675" t="n">
        <v>0</v>
      </c>
      <c r="R58" s="674" t="inlineStr">
        <is>
          <t>N-P</t>
        </is>
      </c>
      <c r="S58" s="674" t="inlineStr">
        <is>
          <t>Bank</t>
        </is>
      </c>
      <c r="T58" s="674" t="inlineStr">
        <is>
          <t>Paris</t>
        </is>
      </c>
      <c r="U58" s="674" t="inlineStr">
        <is>
          <t>France</t>
        </is>
      </c>
      <c r="V58" s="672" t="n">
        <v>10491.32</v>
      </c>
      <c r="W58" s="675" t="n">
        <v>0.5</v>
      </c>
      <c r="X58" s="675" t="n">
        <v>21.19</v>
      </c>
      <c r="Y58" s="675" t="n">
        <v>21.19</v>
      </c>
      <c r="Z58" s="675" t="n">
        <v>21.19</v>
      </c>
      <c r="AA58" s="675" t="n">
        <v>17.6</v>
      </c>
      <c r="AB58" s="675" t="n">
        <v>17.6</v>
      </c>
      <c r="AC58" s="676" t="n">
        <v>17.6</v>
      </c>
    </row>
    <row r="59" ht="15" customHeight="1" s="356">
      <c r="B59" s="660" t="n">
        <v>46</v>
      </c>
      <c r="C59" s="669" t="inlineStr">
        <is>
          <t>Insignia Financial Ltd</t>
        </is>
      </c>
      <c r="D59" s="670" t="n"/>
      <c r="E59" s="670" t="n"/>
      <c r="F59" s="670" t="n"/>
      <c r="G59" s="671" t="inlineStr">
        <is>
          <t>--</t>
        </is>
      </c>
      <c r="H59" s="670" t="n"/>
      <c r="I59" s="670" t="n"/>
      <c r="J59" s="670" t="n"/>
      <c r="K59" s="670" t="n"/>
      <c r="L59" s="672" t="n">
        <v>341</v>
      </c>
      <c r="M59" s="672" t="n">
        <v>200</v>
      </c>
      <c r="N59" s="673" t="n">
        <v>45838</v>
      </c>
      <c r="O59" s="674" t="inlineStr">
        <is>
          <t>ULT-AGG</t>
        </is>
      </c>
      <c r="P59" s="675" t="n">
        <v>0</v>
      </c>
      <c r="Q59" s="675" t="n">
        <v>0</v>
      </c>
      <c r="R59" s="674" t="inlineStr">
        <is>
          <t>N-P</t>
        </is>
      </c>
      <c r="S59" s="674" t="inlineStr">
        <is>
          <t>Investment Advisor</t>
        </is>
      </c>
      <c r="T59" s="674" t="inlineStr">
        <is>
          <t>Melbourne</t>
        </is>
      </c>
      <c r="U59" s="674" t="inlineStr">
        <is>
          <t>Australia</t>
        </is>
      </c>
      <c r="V59" s="672" t="n">
        <v>8497.719999999999</v>
      </c>
      <c r="W59" s="675" t="n">
        <v>1.75</v>
      </c>
      <c r="X59" s="675" t="n">
        <v>30.71</v>
      </c>
      <c r="Y59" s="675" t="n">
        <v>30.71</v>
      </c>
      <c r="Z59" s="675" t="n">
        <v>30.71</v>
      </c>
      <c r="AA59" s="675" t="n">
        <v>-18.85</v>
      </c>
      <c r="AB59" s="675" t="n">
        <v>-18.85</v>
      </c>
      <c r="AC59" s="676" t="n">
        <v>-18.85</v>
      </c>
    </row>
    <row r="60" ht="15" customHeight="1" s="356">
      <c r="B60" s="660" t="n">
        <v>47</v>
      </c>
      <c r="C60" s="669" t="inlineStr">
        <is>
          <t>Deutsche Bank AG</t>
        </is>
      </c>
      <c r="D60" s="670" t="n"/>
      <c r="E60" s="670" t="n"/>
      <c r="F60" s="670" t="n"/>
      <c r="G60" s="671" t="inlineStr">
        <is>
          <t>--</t>
        </is>
      </c>
      <c r="H60" s="670" t="n"/>
      <c r="I60" s="670" t="n"/>
      <c r="J60" s="670" t="n"/>
      <c r="K60" s="670" t="n"/>
      <c r="L60" s="672" t="n">
        <v>336</v>
      </c>
      <c r="M60" s="672" t="n">
        <v>0</v>
      </c>
      <c r="N60" s="673" t="n">
        <v>46213</v>
      </c>
      <c r="O60" s="674" t="inlineStr">
        <is>
          <t>ULT-AGG</t>
        </is>
      </c>
      <c r="P60" s="675" t="n">
        <v>0</v>
      </c>
      <c r="Q60" s="675" t="n">
        <v>0</v>
      </c>
      <c r="R60" s="674" t="inlineStr">
        <is>
          <t>N-P</t>
        </is>
      </c>
      <c r="S60" s="674" t="inlineStr">
        <is>
          <t>Investment Advisor</t>
        </is>
      </c>
      <c r="T60" s="674" t="inlineStr">
        <is>
          <t>Frankfurt</t>
        </is>
      </c>
      <c r="U60" s="674" t="inlineStr">
        <is>
          <t>Germany</t>
        </is>
      </c>
      <c r="V60" s="672" t="n">
        <v>8373.120000000001</v>
      </c>
      <c r="W60" s="675" t="n">
        <v>1</v>
      </c>
      <c r="X60" s="675" t="n">
        <v>31.8</v>
      </c>
      <c r="Y60" s="675" t="n">
        <v>31.8</v>
      </c>
      <c r="Z60" s="675" t="n">
        <v>31.8</v>
      </c>
      <c r="AA60" s="675" t="n">
        <v>-21.63</v>
      </c>
      <c r="AB60" s="675" t="n">
        <v>-21.63</v>
      </c>
      <c r="AC60" s="676" t="n">
        <v>-21.63</v>
      </c>
    </row>
    <row r="61" ht="15" customHeight="1" s="356">
      <c r="B61" s="660" t="n">
        <v>48</v>
      </c>
      <c r="C61" s="669" t="inlineStr">
        <is>
          <t>Goldman Sachs Group Inc/The</t>
        </is>
      </c>
      <c r="D61" s="670" t="n"/>
      <c r="E61" s="670" t="n"/>
      <c r="F61" s="670" t="n"/>
      <c r="G61" s="671" t="inlineStr">
        <is>
          <t>--</t>
        </is>
      </c>
      <c r="H61" s="670" t="n"/>
      <c r="I61" s="670" t="n"/>
      <c r="J61" s="670" t="n"/>
      <c r="K61" s="670" t="n"/>
      <c r="L61" s="672" t="n">
        <v>211</v>
      </c>
      <c r="M61" s="672" t="n">
        <v>0</v>
      </c>
      <c r="N61" s="673" t="n">
        <v>46212</v>
      </c>
      <c r="O61" s="674" t="inlineStr">
        <is>
          <t>ULT-AGG</t>
        </is>
      </c>
      <c r="P61" s="675" t="n">
        <v>0</v>
      </c>
      <c r="Q61" s="675" t="n">
        <v>0</v>
      </c>
      <c r="R61" s="674" t="inlineStr">
        <is>
          <t>N-P</t>
        </is>
      </c>
      <c r="S61" s="674" t="inlineStr">
        <is>
          <t>Investment Advisor</t>
        </is>
      </c>
      <c r="T61" s="674" t="inlineStr">
        <is>
          <t>New York City/Southern CT/Northern NJ</t>
        </is>
      </c>
      <c r="U61" s="674" t="inlineStr">
        <is>
          <t>United States</t>
        </is>
      </c>
      <c r="V61" s="672" t="n">
        <v>5258.12</v>
      </c>
      <c r="W61" s="675" t="n">
        <v>0.5</v>
      </c>
      <c r="X61" s="675" t="n">
        <v>21.9</v>
      </c>
      <c r="Y61" s="675" t="n">
        <v>21.9</v>
      </c>
      <c r="Z61" s="675" t="n">
        <v>21.9</v>
      </c>
      <c r="AA61" s="675" t="n">
        <v>13.8</v>
      </c>
      <c r="AB61" s="675" t="n">
        <v>13.8</v>
      </c>
      <c r="AC61" s="676" t="n">
        <v>13.8</v>
      </c>
    </row>
    <row r="62" ht="15" customHeight="1" s="356">
      <c r="B62" s="660" t="n">
        <v>49</v>
      </c>
      <c r="C62" s="669" t="inlineStr">
        <is>
          <t>DNB Bank ASA</t>
        </is>
      </c>
      <c r="D62" s="670" t="n"/>
      <c r="E62" s="670" t="n"/>
      <c r="F62" s="670" t="n"/>
      <c r="G62" s="671" t="inlineStr">
        <is>
          <t>--</t>
        </is>
      </c>
      <c r="H62" s="670" t="n"/>
      <c r="I62" s="670" t="n"/>
      <c r="J62" s="670" t="n"/>
      <c r="K62" s="670" t="n"/>
      <c r="L62" s="672" t="n">
        <v>0</v>
      </c>
      <c r="M62" s="672" t="n">
        <v>-300</v>
      </c>
      <c r="N62" s="673" t="n">
        <v>46142</v>
      </c>
      <c r="O62" s="674" t="inlineStr">
        <is>
          <t>ULT-AGG</t>
        </is>
      </c>
      <c r="P62" s="675" t="n">
        <v>0</v>
      </c>
      <c r="Q62" s="675" t="n">
        <v>0</v>
      </c>
      <c r="R62" s="674" t="inlineStr">
        <is>
          <t>N-P</t>
        </is>
      </c>
      <c r="S62" s="674" t="inlineStr">
        <is>
          <t>Bank</t>
        </is>
      </c>
      <c r="T62" s="674" t="inlineStr">
        <is>
          <t>Oslo</t>
        </is>
      </c>
      <c r="U62" s="674" t="inlineStr">
        <is>
          <t>Norway</t>
        </is>
      </c>
      <c r="V62" s="672" t="n">
        <v>0</v>
      </c>
      <c r="W62" s="675" t="n">
        <v>0</v>
      </c>
      <c r="X62" s="675" t="n">
        <v>0</v>
      </c>
      <c r="Y62" s="675" t="n">
        <v>0</v>
      </c>
      <c r="Z62" s="675" t="n">
        <v>0</v>
      </c>
      <c r="AA62" s="675" t="n">
        <v>0</v>
      </c>
      <c r="AB62" s="675" t="n">
        <v>0</v>
      </c>
      <c r="AC62" s="676" t="n">
        <v>0</v>
      </c>
    </row>
    <row r="63" ht="15" customHeight="1" s="356">
      <c r="B63" s="660" t="n">
        <v>50</v>
      </c>
      <c r="C63" s="669" t="inlineStr">
        <is>
          <t>Edelstein Gary</t>
        </is>
      </c>
      <c r="D63" s="670" t="n"/>
      <c r="E63" s="670" t="n"/>
      <c r="F63" s="670" t="n"/>
      <c r="G63" s="671" t="inlineStr">
        <is>
          <t>--</t>
        </is>
      </c>
      <c r="H63" s="670" t="n"/>
      <c r="I63" s="670" t="n"/>
      <c r="J63" s="670" t="n"/>
      <c r="K63" s="670" t="n"/>
      <c r="L63" s="672" t="n">
        <v>0</v>
      </c>
      <c r="M63" s="672" t="n">
        <v>-938675</v>
      </c>
      <c r="N63" s="673" t="n">
        <v>46094</v>
      </c>
      <c r="O63" s="674" t="inlineStr">
        <is>
          <t>SEDI</t>
        </is>
      </c>
      <c r="P63" s="675" t="n">
        <v>0</v>
      </c>
      <c r="Q63" s="675" t="n">
        <v>0</v>
      </c>
      <c r="R63" s="674" t="inlineStr">
        <is>
          <t>Y</t>
        </is>
      </c>
      <c r="S63" s="674" t="inlineStr">
        <is>
          <t>Unclassified</t>
        </is>
      </c>
      <c r="T63" s="674" t="inlineStr">
        <is>
          <t>Unclassified</t>
        </is>
      </c>
      <c r="U63" s="674" t="inlineStr">
        <is>
          <t>n/a</t>
        </is>
      </c>
      <c r="V63" s="672" t="n">
        <v>0</v>
      </c>
      <c r="W63" s="675" t="n">
        <v>0</v>
      </c>
      <c r="X63" s="675" t="n">
        <v>0</v>
      </c>
      <c r="Y63" s="675" t="n">
        <v>0</v>
      </c>
      <c r="Z63" s="675" t="n">
        <v>0</v>
      </c>
      <c r="AA63" s="675" t="n">
        <v>0</v>
      </c>
      <c r="AB63" s="675" t="n">
        <v>0</v>
      </c>
      <c r="AC63" s="676" t="n">
        <v>0</v>
      </c>
    </row>
    <row r="64" ht="15" customHeight="1" s="356">
      <c r="B64" s="660" t="n">
        <v>51</v>
      </c>
      <c r="C64" s="669" t="inlineStr">
        <is>
          <t>Forge First Asset Management Inc</t>
        </is>
      </c>
      <c r="D64" s="670" t="n"/>
      <c r="E64" s="670" t="n"/>
      <c r="F64" s="670" t="n"/>
      <c r="G64" s="671" t="inlineStr">
        <is>
          <t>Multiple Portfolios</t>
        </is>
      </c>
      <c r="H64" s="670" t="n"/>
      <c r="I64" s="670" t="n"/>
      <c r="J64" s="670" t="n"/>
      <c r="K64" s="670" t="n"/>
      <c r="L64" s="672" t="n">
        <v>0</v>
      </c>
      <c r="M64" s="672" t="n">
        <v>-243200</v>
      </c>
      <c r="N64" s="673" t="n">
        <v>46022</v>
      </c>
      <c r="O64" s="674" t="inlineStr">
        <is>
          <t>MF-AGG</t>
        </is>
      </c>
      <c r="P64" s="675" t="n">
        <v>0</v>
      </c>
      <c r="Q64" s="675" t="n">
        <v>0</v>
      </c>
      <c r="R64" s="674" t="inlineStr">
        <is>
          <t>N-P</t>
        </is>
      </c>
      <c r="S64" s="674" t="inlineStr">
        <is>
          <t>Hedge Fund Manager</t>
        </is>
      </c>
      <c r="T64" s="674" t="inlineStr">
        <is>
          <t>Toronto</t>
        </is>
      </c>
      <c r="U64" s="674" t="inlineStr">
        <is>
          <t>Canada</t>
        </is>
      </c>
      <c r="V64" s="672" t="n">
        <v>0</v>
      </c>
      <c r="W64" s="675" t="n">
        <v>0</v>
      </c>
      <c r="X64" s="675" t="n">
        <v>0</v>
      </c>
      <c r="Y64" s="675" t="n">
        <v>0</v>
      </c>
      <c r="Z64" s="675" t="n">
        <v>0</v>
      </c>
      <c r="AA64" s="675" t="n">
        <v>0</v>
      </c>
      <c r="AB64" s="675" t="n">
        <v>0</v>
      </c>
      <c r="AC64" s="676" t="n">
        <v>0</v>
      </c>
    </row>
    <row r="65" ht="15" customHeight="1" s="356">
      <c r="B65" s="660" t="n">
        <v>52</v>
      </c>
      <c r="C65" s="669" t="n"/>
      <c r="D65" s="670" t="n"/>
      <c r="E65" s="670" t="n"/>
      <c r="F65" s="670" t="n"/>
      <c r="G65" s="671" t="n"/>
      <c r="H65" s="670" t="n"/>
      <c r="I65" s="670" t="n"/>
      <c r="J65" s="670" t="n"/>
      <c r="K65" s="670" t="n"/>
      <c r="L65" s="672" t="n"/>
      <c r="M65" s="672" t="n"/>
      <c r="N65" s="673" t="n"/>
      <c r="O65" s="674" t="n"/>
      <c r="P65" s="675" t="n"/>
      <c r="Q65" s="675" t="n"/>
      <c r="R65" s="674" t="n"/>
      <c r="S65" s="674" t="n"/>
      <c r="T65" s="674" t="n"/>
      <c r="U65" s="674" t="n"/>
      <c r="V65" s="672" t="n"/>
      <c r="W65" s="675" t="n"/>
      <c r="X65" s="675" t="n"/>
      <c r="Y65" s="675" t="n"/>
      <c r="Z65" s="675" t="n"/>
      <c r="AA65" s="675" t="n"/>
      <c r="AB65" s="675" t="n"/>
      <c r="AC65" s="676" t="n"/>
    </row>
    <row r="66" ht="15" customHeight="1" s="356">
      <c r="B66" s="660" t="n">
        <v>53</v>
      </c>
      <c r="C66" s="669" t="n"/>
      <c r="D66" s="670" t="n"/>
      <c r="E66" s="670" t="n"/>
      <c r="F66" s="670" t="n"/>
      <c r="G66" s="671" t="n"/>
      <c r="H66" s="670" t="n"/>
      <c r="I66" s="670" t="n"/>
      <c r="J66" s="670" t="n"/>
      <c r="K66" s="670" t="n"/>
      <c r="L66" s="672" t="n"/>
      <c r="M66" s="672" t="n"/>
      <c r="N66" s="673" t="n"/>
      <c r="O66" s="674" t="n"/>
      <c r="P66" s="675" t="n"/>
      <c r="Q66" s="675" t="n"/>
      <c r="R66" s="674" t="n"/>
      <c r="S66" s="674" t="n"/>
      <c r="T66" s="674" t="n"/>
      <c r="U66" s="674" t="n"/>
      <c r="V66" s="672" t="n"/>
      <c r="W66" s="675" t="n"/>
      <c r="X66" s="675" t="n"/>
      <c r="Y66" s="675" t="n"/>
      <c r="Z66" s="675" t="n"/>
      <c r="AA66" s="675" t="n"/>
      <c r="AB66" s="675" t="n"/>
      <c r="AC66" s="676" t="n"/>
    </row>
    <row r="67" ht="15" customHeight="1" s="356">
      <c r="B67" s="660" t="n">
        <v>54</v>
      </c>
      <c r="C67" s="669" t="n"/>
      <c r="D67" s="670" t="n"/>
      <c r="E67" s="670" t="n"/>
      <c r="F67" s="670" t="n"/>
      <c r="G67" s="671" t="n"/>
      <c r="H67" s="670" t="n"/>
      <c r="I67" s="670" t="n"/>
      <c r="J67" s="670" t="n"/>
      <c r="K67" s="670" t="n"/>
      <c r="L67" s="672" t="n"/>
      <c r="M67" s="672" t="n"/>
      <c r="N67" s="673" t="n"/>
      <c r="O67" s="674" t="n"/>
      <c r="P67" s="675" t="n"/>
      <c r="Q67" s="675" t="n"/>
      <c r="R67" s="674" t="n"/>
      <c r="S67" s="674" t="n"/>
      <c r="T67" s="674" t="n"/>
      <c r="U67" s="674" t="n"/>
      <c r="V67" s="672" t="n"/>
      <c r="W67" s="675" t="n"/>
      <c r="X67" s="675" t="n"/>
      <c r="Y67" s="675" t="n"/>
      <c r="Z67" s="675" t="n"/>
      <c r="AA67" s="675" t="n"/>
      <c r="AB67" s="675" t="n"/>
      <c r="AC67" s="676" t="n"/>
    </row>
    <row r="68" ht="15" customHeight="1" s="356">
      <c r="B68" s="660" t="n">
        <v>55</v>
      </c>
      <c r="C68" s="669" t="n"/>
      <c r="D68" s="670" t="n"/>
      <c r="E68" s="670" t="n"/>
      <c r="F68" s="670" t="n"/>
      <c r="G68" s="671" t="n"/>
      <c r="H68" s="670" t="n"/>
      <c r="I68" s="670" t="n"/>
      <c r="J68" s="670" t="n"/>
      <c r="K68" s="670" t="n"/>
      <c r="L68" s="672" t="n"/>
      <c r="M68" s="672" t="n"/>
      <c r="N68" s="673" t="n"/>
      <c r="O68" s="674" t="n"/>
      <c r="P68" s="675" t="n"/>
      <c r="Q68" s="675" t="n"/>
      <c r="R68" s="674" t="n"/>
      <c r="S68" s="674" t="n"/>
      <c r="T68" s="674" t="n"/>
      <c r="U68" s="674" t="n"/>
      <c r="V68" s="672" t="n"/>
      <c r="W68" s="675" t="n"/>
      <c r="X68" s="675" t="n"/>
      <c r="Y68" s="675" t="n"/>
      <c r="Z68" s="675" t="n"/>
      <c r="AA68" s="675" t="n"/>
      <c r="AB68" s="675" t="n"/>
      <c r="AC68" s="676" t="n"/>
    </row>
    <row r="69" ht="15" customHeight="1" s="356">
      <c r="B69" s="660" t="n">
        <v>56</v>
      </c>
      <c r="C69" s="669" t="n"/>
      <c r="D69" s="670" t="n"/>
      <c r="E69" s="670" t="n"/>
      <c r="F69" s="670" t="n"/>
      <c r="G69" s="671" t="n"/>
      <c r="H69" s="670" t="n"/>
      <c r="I69" s="670" t="n"/>
      <c r="J69" s="670" t="n"/>
      <c r="K69" s="670" t="n"/>
      <c r="L69" s="672" t="n"/>
      <c r="M69" s="672" t="n"/>
      <c r="N69" s="673" t="n"/>
      <c r="O69" s="674" t="n"/>
      <c r="P69" s="675" t="n"/>
      <c r="Q69" s="675" t="n"/>
      <c r="R69" s="674" t="n"/>
      <c r="S69" s="674" t="n"/>
      <c r="T69" s="674" t="n"/>
      <c r="U69" s="674" t="n"/>
      <c r="V69" s="672" t="n"/>
      <c r="W69" s="675" t="n"/>
      <c r="X69" s="675" t="n"/>
      <c r="Y69" s="675" t="n"/>
      <c r="Z69" s="675" t="n"/>
      <c r="AA69" s="675" t="n"/>
      <c r="AB69" s="675" t="n"/>
      <c r="AC69" s="676" t="n"/>
    </row>
    <row r="70" ht="15" customHeight="1" s="356">
      <c r="B70" s="660" t="n">
        <v>57</v>
      </c>
      <c r="C70" s="669" t="n"/>
      <c r="D70" s="670" t="n"/>
      <c r="E70" s="670" t="n"/>
      <c r="F70" s="670" t="n"/>
      <c r="G70" s="671" t="n"/>
      <c r="H70" s="670" t="n"/>
      <c r="I70" s="670" t="n"/>
      <c r="J70" s="670" t="n"/>
      <c r="K70" s="670" t="n"/>
      <c r="L70" s="672" t="n"/>
      <c r="M70" s="672" t="n"/>
      <c r="N70" s="673" t="n"/>
      <c r="O70" s="674" t="n"/>
      <c r="P70" s="675" t="n"/>
      <c r="Q70" s="675" t="n"/>
      <c r="R70" s="674" t="n"/>
      <c r="S70" s="674" t="n"/>
      <c r="T70" s="674" t="n"/>
      <c r="U70" s="674" t="n"/>
      <c r="V70" s="672" t="n"/>
      <c r="W70" s="675" t="n"/>
      <c r="X70" s="675" t="n"/>
      <c r="Y70" s="675" t="n"/>
      <c r="Z70" s="675" t="n"/>
      <c r="AA70" s="675" t="n"/>
      <c r="AB70" s="675" t="n"/>
      <c r="AC70" s="676" t="n"/>
    </row>
    <row r="71" ht="15" customHeight="1" s="356">
      <c r="B71" s="660" t="n">
        <v>58</v>
      </c>
      <c r="C71" s="669" t="n"/>
      <c r="D71" s="670" t="n"/>
      <c r="E71" s="670" t="n"/>
      <c r="F71" s="670" t="n"/>
      <c r="G71" s="671" t="n"/>
      <c r="H71" s="670" t="n"/>
      <c r="I71" s="670" t="n"/>
      <c r="J71" s="670" t="n"/>
      <c r="K71" s="670" t="n"/>
      <c r="L71" s="672" t="n"/>
      <c r="M71" s="672" t="n"/>
      <c r="N71" s="673" t="n"/>
      <c r="O71" s="674" t="n"/>
      <c r="P71" s="675" t="n"/>
      <c r="Q71" s="675" t="n"/>
      <c r="R71" s="674" t="n"/>
      <c r="S71" s="674" t="n"/>
      <c r="T71" s="674" t="n"/>
      <c r="U71" s="674" t="n"/>
      <c r="V71" s="672" t="n"/>
      <c r="W71" s="675" t="n"/>
      <c r="X71" s="675" t="n"/>
      <c r="Y71" s="675" t="n"/>
      <c r="Z71" s="675" t="n"/>
      <c r="AA71" s="675" t="n"/>
      <c r="AB71" s="675" t="n"/>
      <c r="AC71" s="676" t="n"/>
    </row>
    <row r="72" ht="15" customHeight="1" s="356">
      <c r="B72" s="660" t="n">
        <v>59</v>
      </c>
      <c r="C72" s="669" t="n"/>
      <c r="D72" s="670" t="n"/>
      <c r="E72" s="670" t="n"/>
      <c r="F72" s="670" t="n"/>
      <c r="G72" s="671" t="n"/>
      <c r="H72" s="670" t="n"/>
      <c r="I72" s="670" t="n"/>
      <c r="J72" s="670" t="n"/>
      <c r="K72" s="670" t="n"/>
      <c r="L72" s="672" t="n"/>
      <c r="M72" s="672" t="n"/>
      <c r="N72" s="673" t="n"/>
      <c r="O72" s="674" t="n"/>
      <c r="P72" s="675" t="n"/>
      <c r="Q72" s="675" t="n"/>
      <c r="R72" s="674" t="n"/>
      <c r="S72" s="674" t="n"/>
      <c r="T72" s="674" t="n"/>
      <c r="U72" s="674" t="n"/>
      <c r="V72" s="672" t="n"/>
      <c r="W72" s="675" t="n"/>
      <c r="X72" s="675" t="n"/>
      <c r="Y72" s="675" t="n"/>
      <c r="Z72" s="675" t="n"/>
      <c r="AA72" s="675" t="n"/>
      <c r="AB72" s="675" t="n"/>
      <c r="AC72" s="676" t="n"/>
    </row>
    <row r="73" ht="15" customHeight="1" s="356">
      <c r="B73" s="660" t="n">
        <v>60</v>
      </c>
      <c r="C73" s="669" t="n"/>
      <c r="D73" s="670" t="n"/>
      <c r="E73" s="670" t="n"/>
      <c r="F73" s="670" t="n"/>
      <c r="G73" s="671" t="n"/>
      <c r="H73" s="670" t="n"/>
      <c r="I73" s="670" t="n"/>
      <c r="J73" s="670" t="n"/>
      <c r="K73" s="670" t="n"/>
      <c r="L73" s="672" t="n"/>
      <c r="M73" s="672" t="n"/>
      <c r="N73" s="673" t="n"/>
      <c r="O73" s="674" t="n"/>
      <c r="P73" s="675" t="n"/>
      <c r="Q73" s="675" t="n"/>
      <c r="R73" s="674" t="n"/>
      <c r="S73" s="674" t="n"/>
      <c r="T73" s="674" t="n"/>
      <c r="U73" s="674" t="n"/>
      <c r="V73" s="672" t="n"/>
      <c r="W73" s="675" t="n"/>
      <c r="X73" s="675" t="n"/>
      <c r="Y73" s="675" t="n"/>
      <c r="Z73" s="675" t="n"/>
      <c r="AA73" s="675" t="n"/>
      <c r="AB73" s="675" t="n"/>
      <c r="AC73" s="676" t="n"/>
    </row>
    <row r="74" ht="15" customHeight="1" s="356">
      <c r="B74" s="660" t="n">
        <v>61</v>
      </c>
      <c r="C74" s="669" t="n"/>
      <c r="D74" s="670" t="n"/>
      <c r="E74" s="670" t="n"/>
      <c r="F74" s="670" t="n"/>
      <c r="G74" s="671" t="n"/>
      <c r="H74" s="670" t="n"/>
      <c r="I74" s="670" t="n"/>
      <c r="J74" s="670" t="n"/>
      <c r="K74" s="670" t="n"/>
      <c r="L74" s="672" t="n"/>
      <c r="M74" s="672" t="n"/>
      <c r="N74" s="673" t="n"/>
      <c r="O74" s="674" t="n"/>
      <c r="P74" s="675" t="n"/>
      <c r="Q74" s="675" t="n"/>
      <c r="R74" s="674" t="n"/>
      <c r="S74" s="674" t="n"/>
      <c r="T74" s="674" t="n"/>
      <c r="U74" s="674" t="n"/>
      <c r="V74" s="672" t="n"/>
      <c r="W74" s="675" t="n"/>
      <c r="X74" s="675" t="n"/>
      <c r="Y74" s="675" t="n"/>
      <c r="Z74" s="675" t="n"/>
      <c r="AA74" s="675" t="n"/>
      <c r="AB74" s="675" t="n"/>
      <c r="AC74" s="676" t="n"/>
    </row>
    <row r="75" ht="15" customHeight="1" s="356">
      <c r="B75" s="660" t="n">
        <v>62</v>
      </c>
      <c r="C75" s="669" t="n"/>
      <c r="D75" s="670" t="n"/>
      <c r="E75" s="670" t="n"/>
      <c r="F75" s="670" t="n"/>
      <c r="G75" s="671" t="n"/>
      <c r="H75" s="670" t="n"/>
      <c r="I75" s="670" t="n"/>
      <c r="J75" s="670" t="n"/>
      <c r="K75" s="670" t="n"/>
      <c r="L75" s="672" t="n"/>
      <c r="M75" s="672" t="n"/>
      <c r="N75" s="673" t="n"/>
      <c r="O75" s="674" t="n"/>
      <c r="P75" s="675" t="n"/>
      <c r="Q75" s="675" t="n"/>
      <c r="R75" s="674" t="n"/>
      <c r="S75" s="674" t="n"/>
      <c r="T75" s="674" t="n"/>
      <c r="U75" s="674" t="n"/>
      <c r="V75" s="672" t="n"/>
      <c r="W75" s="675" t="n"/>
      <c r="X75" s="675" t="n"/>
      <c r="Y75" s="675" t="n"/>
      <c r="Z75" s="675" t="n"/>
      <c r="AA75" s="675" t="n"/>
      <c r="AB75" s="675" t="n"/>
      <c r="AC75" s="676" t="n"/>
    </row>
    <row r="76" ht="15" customHeight="1" s="356">
      <c r="B76" s="660" t="n">
        <v>63</v>
      </c>
      <c r="C76" s="669" t="n"/>
      <c r="D76" s="670" t="n"/>
      <c r="E76" s="670" t="n"/>
      <c r="F76" s="670" t="n"/>
      <c r="G76" s="671" t="n"/>
      <c r="H76" s="670" t="n"/>
      <c r="I76" s="670" t="n"/>
      <c r="J76" s="670" t="n"/>
      <c r="K76" s="670" t="n"/>
      <c r="L76" s="672" t="n"/>
      <c r="M76" s="672" t="n"/>
      <c r="N76" s="673" t="n"/>
      <c r="O76" s="674" t="n"/>
      <c r="P76" s="675" t="n"/>
      <c r="Q76" s="675" t="n"/>
      <c r="R76" s="674" t="n"/>
      <c r="S76" s="674" t="n"/>
      <c r="T76" s="674" t="n"/>
      <c r="U76" s="674" t="n"/>
      <c r="V76" s="672" t="n"/>
      <c r="W76" s="675" t="n"/>
      <c r="X76" s="675" t="n"/>
      <c r="Y76" s="675" t="n"/>
      <c r="Z76" s="675" t="n"/>
      <c r="AA76" s="675" t="n"/>
      <c r="AB76" s="675" t="n"/>
      <c r="AC76" s="676" t="n"/>
    </row>
    <row r="77" ht="15" customHeight="1" s="356">
      <c r="B77" s="660" t="n">
        <v>64</v>
      </c>
      <c r="C77" s="669" t="n"/>
      <c r="D77" s="670" t="n"/>
      <c r="E77" s="670" t="n"/>
      <c r="F77" s="670" t="n"/>
      <c r="G77" s="671" t="n"/>
      <c r="H77" s="670" t="n"/>
      <c r="I77" s="670" t="n"/>
      <c r="J77" s="670" t="n"/>
      <c r="K77" s="670" t="n"/>
      <c r="L77" s="672" t="n"/>
      <c r="M77" s="672" t="n"/>
      <c r="N77" s="673" t="n"/>
      <c r="O77" s="674" t="n"/>
      <c r="P77" s="675" t="n"/>
      <c r="Q77" s="675" t="n"/>
      <c r="R77" s="674" t="n"/>
      <c r="S77" s="674" t="n"/>
      <c r="T77" s="674" t="n"/>
      <c r="U77" s="674" t="n"/>
      <c r="V77" s="672" t="n"/>
      <c r="W77" s="675" t="n"/>
      <c r="X77" s="675" t="n"/>
      <c r="Y77" s="675" t="n"/>
      <c r="Z77" s="675" t="n"/>
      <c r="AA77" s="675" t="n"/>
      <c r="AB77" s="675" t="n"/>
      <c r="AC77" s="676" t="n"/>
    </row>
    <row r="78" ht="15" customHeight="1" s="356">
      <c r="B78" s="660" t="n">
        <v>65</v>
      </c>
      <c r="C78" s="669" t="n"/>
      <c r="D78" s="670" t="n"/>
      <c r="E78" s="670" t="n"/>
      <c r="F78" s="670" t="n"/>
      <c r="G78" s="671" t="n"/>
      <c r="H78" s="670" t="n"/>
      <c r="I78" s="670" t="n"/>
      <c r="J78" s="670" t="n"/>
      <c r="K78" s="670" t="n"/>
      <c r="L78" s="672" t="n"/>
      <c r="M78" s="672" t="n"/>
      <c r="N78" s="673" t="n"/>
      <c r="O78" s="674" t="n"/>
      <c r="P78" s="675" t="n"/>
      <c r="Q78" s="675" t="n"/>
      <c r="R78" s="674" t="n"/>
      <c r="S78" s="674" t="n"/>
      <c r="T78" s="674" t="n"/>
      <c r="U78" s="674" t="n"/>
      <c r="V78" s="672" t="n"/>
      <c r="W78" s="675" t="n"/>
      <c r="X78" s="675" t="n"/>
      <c r="Y78" s="675" t="n"/>
      <c r="Z78" s="675" t="n"/>
      <c r="AA78" s="675" t="n"/>
      <c r="AB78" s="675" t="n"/>
      <c r="AC78" s="676" t="n"/>
    </row>
    <row r="79" ht="15" customHeight="1" s="356">
      <c r="B79" s="660" t="n">
        <v>66</v>
      </c>
      <c r="C79" s="669" t="n"/>
      <c r="D79" s="670" t="n"/>
      <c r="E79" s="670" t="n"/>
      <c r="F79" s="670" t="n"/>
      <c r="G79" s="671" t="n"/>
      <c r="H79" s="670" t="n"/>
      <c r="I79" s="670" t="n"/>
      <c r="J79" s="670" t="n"/>
      <c r="K79" s="670" t="n"/>
      <c r="L79" s="672" t="n"/>
      <c r="M79" s="672" t="n"/>
      <c r="N79" s="673" t="n"/>
      <c r="O79" s="674" t="n"/>
      <c r="P79" s="675" t="n"/>
      <c r="Q79" s="675" t="n"/>
      <c r="R79" s="674" t="n"/>
      <c r="S79" s="674" t="n"/>
      <c r="T79" s="674" t="n"/>
      <c r="U79" s="674" t="n"/>
      <c r="V79" s="672" t="n"/>
      <c r="W79" s="675" t="n"/>
      <c r="X79" s="675" t="n"/>
      <c r="Y79" s="675" t="n"/>
      <c r="Z79" s="675" t="n"/>
      <c r="AA79" s="675" t="n"/>
      <c r="AB79" s="675" t="n"/>
      <c r="AC79" s="676" t="n"/>
    </row>
    <row r="80" ht="15" customHeight="1" s="356">
      <c r="B80" s="660" t="n">
        <v>67</v>
      </c>
      <c r="C80" s="669" t="n"/>
      <c r="D80" s="670" t="n"/>
      <c r="E80" s="670" t="n"/>
      <c r="F80" s="670" t="n"/>
      <c r="G80" s="671" t="n"/>
      <c r="H80" s="670" t="n"/>
      <c r="I80" s="670" t="n"/>
      <c r="J80" s="670" t="n"/>
      <c r="K80" s="670" t="n"/>
      <c r="L80" s="672" t="n"/>
      <c r="M80" s="672" t="n"/>
      <c r="N80" s="673" t="n"/>
      <c r="O80" s="674" t="n"/>
      <c r="P80" s="675" t="n"/>
      <c r="Q80" s="675" t="n"/>
      <c r="R80" s="674" t="n"/>
      <c r="S80" s="674" t="n"/>
      <c r="T80" s="674" t="n"/>
      <c r="U80" s="674" t="n"/>
      <c r="V80" s="672" t="n"/>
      <c r="W80" s="675" t="n"/>
      <c r="X80" s="675" t="n"/>
      <c r="Y80" s="675" t="n"/>
      <c r="Z80" s="675" t="n"/>
      <c r="AA80" s="675" t="n"/>
      <c r="AB80" s="675" t="n"/>
      <c r="AC80" s="676" t="n"/>
    </row>
    <row r="81" ht="15" customHeight="1" s="356">
      <c r="B81" s="660" t="n">
        <v>68</v>
      </c>
      <c r="C81" s="669" t="n"/>
      <c r="D81" s="670" t="n"/>
      <c r="E81" s="670" t="n"/>
      <c r="F81" s="670" t="n"/>
      <c r="G81" s="671" t="n"/>
      <c r="H81" s="670" t="n"/>
      <c r="I81" s="670" t="n"/>
      <c r="J81" s="670" t="n"/>
      <c r="K81" s="670" t="n"/>
      <c r="L81" s="672" t="n"/>
      <c r="M81" s="672" t="n"/>
      <c r="N81" s="673" t="n"/>
      <c r="O81" s="674" t="n"/>
      <c r="P81" s="675" t="n"/>
      <c r="Q81" s="675" t="n"/>
      <c r="R81" s="674" t="n"/>
      <c r="S81" s="674" t="n"/>
      <c r="T81" s="674" t="n"/>
      <c r="U81" s="674" t="n"/>
      <c r="V81" s="672" t="n"/>
      <c r="W81" s="675" t="n"/>
      <c r="X81" s="675" t="n"/>
      <c r="Y81" s="675" t="n"/>
      <c r="Z81" s="675" t="n"/>
      <c r="AA81" s="675" t="n"/>
      <c r="AB81" s="675" t="n"/>
      <c r="AC81" s="676" t="n"/>
    </row>
    <row r="82" ht="15" customHeight="1" s="356">
      <c r="B82" s="660" t="n">
        <v>69</v>
      </c>
      <c r="C82" s="669" t="n"/>
      <c r="D82" s="670" t="n"/>
      <c r="E82" s="670" t="n"/>
      <c r="F82" s="670" t="n"/>
      <c r="G82" s="671" t="n"/>
      <c r="H82" s="670" t="n"/>
      <c r="I82" s="670" t="n"/>
      <c r="J82" s="670" t="n"/>
      <c r="K82" s="670" t="n"/>
      <c r="L82" s="672" t="n"/>
      <c r="M82" s="672" t="n"/>
      <c r="N82" s="673" t="n"/>
      <c r="O82" s="674" t="n"/>
      <c r="P82" s="675" t="n"/>
      <c r="Q82" s="675" t="n"/>
      <c r="R82" s="674" t="n"/>
      <c r="S82" s="674" t="n"/>
      <c r="T82" s="674" t="n"/>
      <c r="U82" s="674" t="n"/>
      <c r="V82" s="672" t="n"/>
      <c r="W82" s="675" t="n"/>
      <c r="X82" s="675" t="n"/>
      <c r="Y82" s="675" t="n"/>
      <c r="Z82" s="675" t="n"/>
      <c r="AA82" s="675" t="n"/>
      <c r="AB82" s="675" t="n"/>
      <c r="AC82" s="676" t="n"/>
    </row>
    <row r="83" ht="15" customHeight="1" s="356">
      <c r="B83" s="660" t="n">
        <v>70</v>
      </c>
      <c r="C83" s="669" t="n"/>
      <c r="D83" s="670" t="n"/>
      <c r="E83" s="670" t="n"/>
      <c r="F83" s="670" t="n"/>
      <c r="G83" s="671" t="n"/>
      <c r="H83" s="670" t="n"/>
      <c r="I83" s="670" t="n"/>
      <c r="J83" s="670" t="n"/>
      <c r="K83" s="670" t="n"/>
      <c r="L83" s="672" t="n"/>
      <c r="M83" s="672" t="n"/>
      <c r="N83" s="673" t="n"/>
      <c r="O83" s="674" t="n"/>
      <c r="P83" s="675" t="n"/>
      <c r="Q83" s="675" t="n"/>
      <c r="R83" s="674" t="n"/>
      <c r="S83" s="674" t="n"/>
      <c r="T83" s="674" t="n"/>
      <c r="U83" s="674" t="n"/>
      <c r="V83" s="672" t="n"/>
      <c r="W83" s="675" t="n"/>
      <c r="X83" s="675" t="n"/>
      <c r="Y83" s="675" t="n"/>
      <c r="Z83" s="675" t="n"/>
      <c r="AA83" s="675" t="n"/>
      <c r="AB83" s="675" t="n"/>
      <c r="AC83" s="676" t="n"/>
    </row>
    <row r="84" ht="15" customHeight="1" s="356">
      <c r="B84" s="660" t="n">
        <v>71</v>
      </c>
      <c r="C84" s="669" t="n"/>
      <c r="D84" s="670" t="n"/>
      <c r="E84" s="670" t="n"/>
      <c r="F84" s="670" t="n"/>
      <c r="G84" s="671" t="n"/>
      <c r="H84" s="670" t="n"/>
      <c r="I84" s="670" t="n"/>
      <c r="J84" s="670" t="n"/>
      <c r="K84" s="670" t="n"/>
      <c r="L84" s="672" t="n"/>
      <c r="M84" s="672" t="n"/>
      <c r="N84" s="673" t="n"/>
      <c r="O84" s="674" t="n"/>
      <c r="P84" s="675" t="n"/>
      <c r="Q84" s="675" t="n"/>
      <c r="R84" s="674" t="n"/>
      <c r="S84" s="674" t="n"/>
      <c r="T84" s="674" t="n"/>
      <c r="U84" s="674" t="n"/>
      <c r="V84" s="672" t="n"/>
      <c r="W84" s="675" t="n"/>
      <c r="X84" s="675" t="n"/>
      <c r="Y84" s="675" t="n"/>
      <c r="Z84" s="675" t="n"/>
      <c r="AA84" s="675" t="n"/>
      <c r="AB84" s="675" t="n"/>
      <c r="AC84" s="676" t="n"/>
    </row>
    <row r="85" ht="15" customHeight="1" s="356">
      <c r="B85" s="660" t="n">
        <v>72</v>
      </c>
      <c r="C85" s="669" t="n"/>
      <c r="D85" s="670" t="n"/>
      <c r="E85" s="670" t="n"/>
      <c r="F85" s="670" t="n"/>
      <c r="G85" s="671" t="n"/>
      <c r="H85" s="670" t="n"/>
      <c r="I85" s="670" t="n"/>
      <c r="J85" s="670" t="n"/>
      <c r="K85" s="670" t="n"/>
      <c r="L85" s="672" t="n"/>
      <c r="M85" s="672" t="n"/>
      <c r="N85" s="673" t="n"/>
      <c r="O85" s="674" t="n"/>
      <c r="P85" s="675" t="n"/>
      <c r="Q85" s="675" t="n"/>
      <c r="R85" s="674" t="n"/>
      <c r="S85" s="674" t="n"/>
      <c r="T85" s="674" t="n"/>
      <c r="U85" s="674" t="n"/>
      <c r="V85" s="672" t="n"/>
      <c r="W85" s="675" t="n"/>
      <c r="X85" s="675" t="n"/>
      <c r="Y85" s="675" t="n"/>
      <c r="Z85" s="675" t="n"/>
      <c r="AA85" s="675" t="n"/>
      <c r="AB85" s="675" t="n"/>
      <c r="AC85" s="676" t="n"/>
    </row>
    <row r="86" ht="15" customHeight="1" s="356">
      <c r="B86" s="660" t="n">
        <v>73</v>
      </c>
      <c r="C86" s="669" t="n"/>
      <c r="D86" s="670" t="n"/>
      <c r="E86" s="670" t="n"/>
      <c r="F86" s="670" t="n"/>
      <c r="G86" s="671" t="n"/>
      <c r="H86" s="670" t="n"/>
      <c r="I86" s="670" t="n"/>
      <c r="J86" s="670" t="n"/>
      <c r="K86" s="670" t="n"/>
      <c r="L86" s="672" t="n"/>
      <c r="M86" s="672" t="n"/>
      <c r="N86" s="673" t="n"/>
      <c r="O86" s="674" t="n"/>
      <c r="P86" s="675" t="n"/>
      <c r="Q86" s="675" t="n"/>
      <c r="R86" s="674" t="n"/>
      <c r="S86" s="674" t="n"/>
      <c r="T86" s="674" t="n"/>
      <c r="U86" s="674" t="n"/>
      <c r="V86" s="672" t="n"/>
      <c r="W86" s="675" t="n"/>
      <c r="X86" s="675" t="n"/>
      <c r="Y86" s="675" t="n"/>
      <c r="Z86" s="675" t="n"/>
      <c r="AA86" s="675" t="n"/>
      <c r="AB86" s="675" t="n"/>
      <c r="AC86" s="676" t="n"/>
    </row>
    <row r="87" ht="15" customHeight="1" s="356">
      <c r="B87" s="660" t="n">
        <v>74</v>
      </c>
      <c r="C87" s="669" t="n"/>
      <c r="D87" s="670" t="n"/>
      <c r="E87" s="670" t="n"/>
      <c r="F87" s="670" t="n"/>
      <c r="G87" s="671" t="n"/>
      <c r="H87" s="670" t="n"/>
      <c r="I87" s="670" t="n"/>
      <c r="J87" s="670" t="n"/>
      <c r="K87" s="670" t="n"/>
      <c r="L87" s="672" t="n"/>
      <c r="M87" s="672" t="n"/>
      <c r="N87" s="673" t="n"/>
      <c r="O87" s="674" t="n"/>
      <c r="P87" s="675" t="n"/>
      <c r="Q87" s="675" t="n"/>
      <c r="R87" s="674" t="n"/>
      <c r="S87" s="674" t="n"/>
      <c r="T87" s="674" t="n"/>
      <c r="U87" s="674" t="n"/>
      <c r="V87" s="672" t="n"/>
      <c r="W87" s="675" t="n"/>
      <c r="X87" s="675" t="n"/>
      <c r="Y87" s="675" t="n"/>
      <c r="Z87" s="675" t="n"/>
      <c r="AA87" s="675" t="n"/>
      <c r="AB87" s="675" t="n"/>
      <c r="AC87" s="676" t="n"/>
    </row>
    <row r="88" ht="15" customHeight="1" s="356">
      <c r="B88" s="660" t="n">
        <v>75</v>
      </c>
      <c r="C88" s="669" t="n"/>
      <c r="D88" s="670" t="n"/>
      <c r="E88" s="670" t="n"/>
      <c r="F88" s="670" t="n"/>
      <c r="G88" s="671" t="n"/>
      <c r="H88" s="670" t="n"/>
      <c r="I88" s="670" t="n"/>
      <c r="J88" s="670" t="n"/>
      <c r="K88" s="670" t="n"/>
      <c r="L88" s="672" t="n"/>
      <c r="M88" s="672" t="n"/>
      <c r="N88" s="673" t="n"/>
      <c r="O88" s="674" t="n"/>
      <c r="P88" s="675" t="n"/>
      <c r="Q88" s="675" t="n"/>
      <c r="R88" s="674" t="n"/>
      <c r="S88" s="674" t="n"/>
      <c r="T88" s="674" t="n"/>
      <c r="U88" s="674" t="n"/>
      <c r="V88" s="672" t="n"/>
      <c r="W88" s="675" t="n"/>
      <c r="X88" s="675" t="n"/>
      <c r="Y88" s="675" t="n"/>
      <c r="Z88" s="675" t="n"/>
      <c r="AA88" s="675" t="n"/>
      <c r="AB88" s="675" t="n"/>
      <c r="AC88" s="676" t="n"/>
    </row>
    <row r="89" ht="15" customHeight="1" s="356">
      <c r="B89" s="660" t="n">
        <v>76</v>
      </c>
      <c r="C89" s="669" t="n"/>
      <c r="D89" s="670" t="n"/>
      <c r="E89" s="670" t="n"/>
      <c r="F89" s="670" t="n"/>
      <c r="G89" s="671" t="n"/>
      <c r="H89" s="670" t="n"/>
      <c r="I89" s="670" t="n"/>
      <c r="J89" s="670" t="n"/>
      <c r="K89" s="670" t="n"/>
      <c r="L89" s="672" t="n"/>
      <c r="M89" s="672" t="n"/>
      <c r="N89" s="673" t="n"/>
      <c r="O89" s="674" t="n"/>
      <c r="P89" s="675" t="n"/>
      <c r="Q89" s="675" t="n"/>
      <c r="R89" s="674" t="n"/>
      <c r="S89" s="674" t="n"/>
      <c r="T89" s="674" t="n"/>
      <c r="U89" s="674" t="n"/>
      <c r="V89" s="672" t="n"/>
      <c r="W89" s="675" t="n"/>
      <c r="X89" s="675" t="n"/>
      <c r="Y89" s="675" t="n"/>
      <c r="Z89" s="675" t="n"/>
      <c r="AA89" s="675" t="n"/>
      <c r="AB89" s="675" t="n"/>
      <c r="AC89" s="676" t="n"/>
    </row>
    <row r="90" ht="15" customHeight="1" s="356">
      <c r="B90" s="660" t="n">
        <v>77</v>
      </c>
      <c r="C90" s="669" t="n"/>
      <c r="D90" s="670" t="n"/>
      <c r="E90" s="670" t="n"/>
      <c r="F90" s="670" t="n"/>
      <c r="G90" s="671" t="n"/>
      <c r="H90" s="670" t="n"/>
      <c r="I90" s="670" t="n"/>
      <c r="J90" s="670" t="n"/>
      <c r="K90" s="670" t="n"/>
      <c r="L90" s="672" t="n"/>
      <c r="M90" s="672" t="n"/>
      <c r="N90" s="673" t="n"/>
      <c r="O90" s="674" t="n"/>
      <c r="P90" s="675" t="n"/>
      <c r="Q90" s="675" t="n"/>
      <c r="R90" s="674" t="n"/>
      <c r="S90" s="674" t="n"/>
      <c r="T90" s="674" t="n"/>
      <c r="U90" s="674" t="n"/>
      <c r="V90" s="672" t="n"/>
      <c r="W90" s="675" t="n"/>
      <c r="X90" s="675" t="n"/>
      <c r="Y90" s="675" t="n"/>
      <c r="Z90" s="675" t="n"/>
      <c r="AA90" s="675" t="n"/>
      <c r="AB90" s="675" t="n"/>
      <c r="AC90" s="676" t="n"/>
    </row>
    <row r="91" ht="15" customHeight="1" s="356">
      <c r="B91" s="660" t="n">
        <v>78</v>
      </c>
      <c r="C91" s="669" t="n"/>
      <c r="D91" s="670" t="n"/>
      <c r="E91" s="670" t="n"/>
      <c r="F91" s="670" t="n"/>
      <c r="G91" s="671" t="n"/>
      <c r="H91" s="670" t="n"/>
      <c r="I91" s="670" t="n"/>
      <c r="J91" s="670" t="n"/>
      <c r="K91" s="670" t="n"/>
      <c r="L91" s="672" t="n"/>
      <c r="M91" s="672" t="n"/>
      <c r="N91" s="673" t="n"/>
      <c r="O91" s="674" t="n"/>
      <c r="P91" s="675" t="n"/>
      <c r="Q91" s="675" t="n"/>
      <c r="R91" s="674" t="n"/>
      <c r="S91" s="674" t="n"/>
      <c r="T91" s="674" t="n"/>
      <c r="U91" s="674" t="n"/>
      <c r="V91" s="672" t="n"/>
      <c r="W91" s="675" t="n"/>
      <c r="X91" s="675" t="n"/>
      <c r="Y91" s="675" t="n"/>
      <c r="Z91" s="675" t="n"/>
      <c r="AA91" s="675" t="n"/>
      <c r="AB91" s="675" t="n"/>
      <c r="AC91" s="676" t="n"/>
    </row>
    <row r="92" ht="15" customHeight="1" s="356">
      <c r="B92" s="660" t="n">
        <v>79</v>
      </c>
      <c r="C92" s="669" t="n"/>
      <c r="D92" s="670" t="n"/>
      <c r="E92" s="670" t="n"/>
      <c r="F92" s="670" t="n"/>
      <c r="G92" s="671" t="n"/>
      <c r="H92" s="670" t="n"/>
      <c r="I92" s="670" t="n"/>
      <c r="J92" s="670" t="n"/>
      <c r="K92" s="670" t="n"/>
      <c r="L92" s="672" t="n"/>
      <c r="M92" s="672" t="n"/>
      <c r="N92" s="673" t="n"/>
      <c r="O92" s="674" t="n"/>
      <c r="P92" s="675" t="n"/>
      <c r="Q92" s="675" t="n"/>
      <c r="R92" s="674" t="n"/>
      <c r="S92" s="674" t="n"/>
      <c r="T92" s="674" t="n"/>
      <c r="U92" s="674" t="n"/>
      <c r="V92" s="672" t="n"/>
      <c r="W92" s="675" t="n"/>
      <c r="X92" s="675" t="n"/>
      <c r="Y92" s="675" t="n"/>
      <c r="Z92" s="675" t="n"/>
      <c r="AA92" s="675" t="n"/>
      <c r="AB92" s="675" t="n"/>
      <c r="AC92" s="676" t="n"/>
    </row>
    <row r="93" ht="15" customHeight="1" s="356">
      <c r="B93" s="660" t="n">
        <v>80</v>
      </c>
      <c r="C93" s="669" t="n"/>
      <c r="D93" s="670" t="n"/>
      <c r="E93" s="670" t="n"/>
      <c r="F93" s="670" t="n"/>
      <c r="G93" s="671" t="n"/>
      <c r="H93" s="670" t="n"/>
      <c r="I93" s="670" t="n"/>
      <c r="J93" s="670" t="n"/>
      <c r="K93" s="670" t="n"/>
      <c r="L93" s="672" t="n"/>
      <c r="M93" s="672" t="n"/>
      <c r="N93" s="673" t="n"/>
      <c r="O93" s="674" t="n"/>
      <c r="P93" s="675" t="n"/>
      <c r="Q93" s="675" t="n"/>
      <c r="R93" s="674" t="n"/>
      <c r="S93" s="674" t="n"/>
      <c r="T93" s="674" t="n"/>
      <c r="U93" s="674" t="n"/>
      <c r="V93" s="672" t="n"/>
      <c r="W93" s="675" t="n"/>
      <c r="X93" s="675" t="n"/>
      <c r="Y93" s="675" t="n"/>
      <c r="Z93" s="675" t="n"/>
      <c r="AA93" s="675" t="n"/>
      <c r="AB93" s="675" t="n"/>
      <c r="AC93" s="676" t="n"/>
    </row>
    <row r="94" ht="15" customHeight="1" s="356">
      <c r="B94" s="660" t="n">
        <v>81</v>
      </c>
      <c r="C94" s="669" t="n"/>
      <c r="D94" s="670" t="n"/>
      <c r="E94" s="670" t="n"/>
      <c r="F94" s="670" t="n"/>
      <c r="G94" s="671" t="n"/>
      <c r="H94" s="670" t="n"/>
      <c r="I94" s="670" t="n"/>
      <c r="J94" s="670" t="n"/>
      <c r="K94" s="670" t="n"/>
      <c r="L94" s="672" t="n"/>
      <c r="M94" s="672" t="n"/>
      <c r="N94" s="673" t="n"/>
      <c r="O94" s="674" t="n"/>
      <c r="P94" s="675" t="n"/>
      <c r="Q94" s="675" t="n"/>
      <c r="R94" s="674" t="n"/>
      <c r="S94" s="674" t="n"/>
      <c r="T94" s="674" t="n"/>
      <c r="U94" s="674" t="n"/>
      <c r="V94" s="672" t="n"/>
      <c r="W94" s="675" t="n"/>
      <c r="X94" s="675" t="n"/>
      <c r="Y94" s="675" t="n"/>
      <c r="Z94" s="675" t="n"/>
      <c r="AA94" s="675" t="n"/>
      <c r="AB94" s="675" t="n"/>
      <c r="AC94" s="676" t="n"/>
    </row>
    <row r="95" ht="15" customHeight="1" s="356">
      <c r="B95" s="660" t="n">
        <v>82</v>
      </c>
      <c r="C95" s="669" t="n"/>
      <c r="D95" s="670" t="n"/>
      <c r="E95" s="670" t="n"/>
      <c r="F95" s="670" t="n"/>
      <c r="G95" s="671" t="n"/>
      <c r="H95" s="670" t="n"/>
      <c r="I95" s="670" t="n"/>
      <c r="J95" s="670" t="n"/>
      <c r="K95" s="670" t="n"/>
      <c r="L95" s="672" t="n"/>
      <c r="M95" s="672" t="n"/>
      <c r="N95" s="673" t="n"/>
      <c r="O95" s="674" t="n"/>
      <c r="P95" s="675" t="n"/>
      <c r="Q95" s="675" t="n"/>
      <c r="R95" s="674" t="n"/>
      <c r="S95" s="674" t="n"/>
      <c r="T95" s="674" t="n"/>
      <c r="U95" s="674" t="n"/>
      <c r="V95" s="672" t="n"/>
      <c r="W95" s="675" t="n"/>
      <c r="X95" s="675" t="n"/>
      <c r="Y95" s="675" t="n"/>
      <c r="Z95" s="675" t="n"/>
      <c r="AA95" s="675" t="n"/>
      <c r="AB95" s="675" t="n"/>
      <c r="AC95" s="676" t="n"/>
    </row>
    <row r="96" ht="15" customHeight="1" s="356">
      <c r="B96" s="660" t="n">
        <v>83</v>
      </c>
      <c r="C96" s="669" t="n"/>
      <c r="D96" s="670" t="n"/>
      <c r="E96" s="670" t="n"/>
      <c r="F96" s="670" t="n"/>
      <c r="G96" s="671" t="n"/>
      <c r="H96" s="670" t="n"/>
      <c r="I96" s="670" t="n"/>
      <c r="J96" s="670" t="n"/>
      <c r="K96" s="670" t="n"/>
      <c r="L96" s="672" t="n"/>
      <c r="M96" s="672" t="n"/>
      <c r="N96" s="673" t="n"/>
      <c r="O96" s="674" t="n"/>
      <c r="P96" s="675" t="n"/>
      <c r="Q96" s="675" t="n"/>
      <c r="R96" s="674" t="n"/>
      <c r="S96" s="674" t="n"/>
      <c r="T96" s="674" t="n"/>
      <c r="U96" s="674" t="n"/>
      <c r="V96" s="672" t="n"/>
      <c r="W96" s="675" t="n"/>
      <c r="X96" s="675" t="n"/>
      <c r="Y96" s="675" t="n"/>
      <c r="Z96" s="675" t="n"/>
      <c r="AA96" s="675" t="n"/>
      <c r="AB96" s="675" t="n"/>
      <c r="AC96" s="676" t="n"/>
    </row>
    <row r="97" ht="15" customHeight="1" s="356">
      <c r="B97" s="660" t="n">
        <v>84</v>
      </c>
      <c r="C97" s="669" t="n"/>
      <c r="D97" s="670" t="n"/>
      <c r="E97" s="670" t="n"/>
      <c r="F97" s="670" t="n"/>
      <c r="G97" s="671" t="n"/>
      <c r="H97" s="670" t="n"/>
      <c r="I97" s="670" t="n"/>
      <c r="J97" s="670" t="n"/>
      <c r="K97" s="670" t="n"/>
      <c r="L97" s="672" t="n"/>
      <c r="M97" s="672" t="n"/>
      <c r="N97" s="673" t="n"/>
      <c r="O97" s="674" t="n"/>
      <c r="P97" s="675" t="n"/>
      <c r="Q97" s="675" t="n"/>
      <c r="R97" s="674" t="n"/>
      <c r="S97" s="674" t="n"/>
      <c r="T97" s="674" t="n"/>
      <c r="U97" s="674" t="n"/>
      <c r="V97" s="672" t="n"/>
      <c r="W97" s="675" t="n"/>
      <c r="X97" s="675" t="n"/>
      <c r="Y97" s="675" t="n"/>
      <c r="Z97" s="675" t="n"/>
      <c r="AA97" s="675" t="n"/>
      <c r="AB97" s="675" t="n"/>
      <c r="AC97" s="676" t="n"/>
    </row>
    <row r="98" ht="15" customHeight="1" s="356">
      <c r="B98" s="660" t="n">
        <v>85</v>
      </c>
      <c r="C98" s="669" t="n"/>
      <c r="D98" s="670" t="n"/>
      <c r="E98" s="670" t="n"/>
      <c r="F98" s="670" t="n"/>
      <c r="G98" s="671" t="n"/>
      <c r="H98" s="670" t="n"/>
      <c r="I98" s="670" t="n"/>
      <c r="J98" s="670" t="n"/>
      <c r="K98" s="670" t="n"/>
      <c r="L98" s="672" t="n"/>
      <c r="M98" s="672" t="n"/>
      <c r="N98" s="673" t="n"/>
      <c r="O98" s="674" t="n"/>
      <c r="P98" s="675" t="n"/>
      <c r="Q98" s="675" t="n"/>
      <c r="R98" s="674" t="n"/>
      <c r="S98" s="674" t="n"/>
      <c r="T98" s="674" t="n"/>
      <c r="U98" s="674" t="n"/>
      <c r="V98" s="672" t="n"/>
      <c r="W98" s="675" t="n"/>
      <c r="X98" s="675" t="n"/>
      <c r="Y98" s="675" t="n"/>
      <c r="Z98" s="675" t="n"/>
      <c r="AA98" s="675" t="n"/>
      <c r="AB98" s="675" t="n"/>
      <c r="AC98" s="676" t="n"/>
    </row>
    <row r="99" ht="15" customHeight="1" s="356">
      <c r="B99" s="660" t="n">
        <v>86</v>
      </c>
      <c r="C99" s="669" t="n"/>
      <c r="D99" s="670" t="n"/>
      <c r="E99" s="670" t="n"/>
      <c r="F99" s="670" t="n"/>
      <c r="G99" s="671" t="n"/>
      <c r="H99" s="670" t="n"/>
      <c r="I99" s="670" t="n"/>
      <c r="J99" s="670" t="n"/>
      <c r="K99" s="670" t="n"/>
      <c r="L99" s="672" t="n"/>
      <c r="M99" s="672" t="n"/>
      <c r="N99" s="673" t="n"/>
      <c r="O99" s="674" t="n"/>
      <c r="P99" s="675" t="n"/>
      <c r="Q99" s="675" t="n"/>
      <c r="R99" s="674" t="n"/>
      <c r="S99" s="674" t="n"/>
      <c r="T99" s="674" t="n"/>
      <c r="U99" s="674" t="n"/>
      <c r="V99" s="672" t="n"/>
      <c r="W99" s="675" t="n"/>
      <c r="X99" s="675" t="n"/>
      <c r="Y99" s="675" t="n"/>
      <c r="Z99" s="675" t="n"/>
      <c r="AA99" s="675" t="n"/>
      <c r="AB99" s="675" t="n"/>
      <c r="AC99" s="676" t="n"/>
    </row>
    <row r="100" ht="15" customHeight="1" s="356">
      <c r="B100" s="660" t="n">
        <v>87</v>
      </c>
      <c r="C100" s="669" t="n"/>
      <c r="D100" s="670" t="n"/>
      <c r="E100" s="670" t="n"/>
      <c r="F100" s="670" t="n"/>
      <c r="G100" s="671" t="n"/>
      <c r="H100" s="670" t="n"/>
      <c r="I100" s="670" t="n"/>
      <c r="J100" s="670" t="n"/>
      <c r="K100" s="670" t="n"/>
      <c r="L100" s="672" t="n"/>
      <c r="M100" s="672" t="n"/>
      <c r="N100" s="673" t="n"/>
      <c r="O100" s="674" t="n"/>
      <c r="P100" s="675" t="n"/>
      <c r="Q100" s="675" t="n"/>
      <c r="R100" s="674" t="n"/>
      <c r="S100" s="674" t="n"/>
      <c r="T100" s="674" t="n"/>
      <c r="U100" s="674" t="n"/>
      <c r="V100" s="672" t="n"/>
      <c r="W100" s="675" t="n"/>
      <c r="X100" s="675" t="n"/>
      <c r="Y100" s="675" t="n"/>
      <c r="Z100" s="675" t="n"/>
      <c r="AA100" s="675" t="n"/>
      <c r="AB100" s="675" t="n"/>
      <c r="AC100" s="676" t="n"/>
    </row>
    <row r="101" ht="15" customHeight="1" s="356">
      <c r="B101" s="660" t="n">
        <v>88</v>
      </c>
      <c r="C101" s="669" t="n"/>
      <c r="D101" s="670" t="n"/>
      <c r="E101" s="670" t="n"/>
      <c r="F101" s="670" t="n"/>
      <c r="G101" s="671" t="n"/>
      <c r="H101" s="670" t="n"/>
      <c r="I101" s="670" t="n"/>
      <c r="J101" s="670" t="n"/>
      <c r="K101" s="670" t="n"/>
      <c r="L101" s="672" t="n"/>
      <c r="M101" s="672" t="n"/>
      <c r="N101" s="673" t="n"/>
      <c r="O101" s="674" t="n"/>
      <c r="P101" s="675" t="n"/>
      <c r="Q101" s="675" t="n"/>
      <c r="R101" s="674" t="n"/>
      <c r="S101" s="674" t="n"/>
      <c r="T101" s="674" t="n"/>
      <c r="U101" s="674" t="n"/>
      <c r="V101" s="672" t="n"/>
      <c r="W101" s="675" t="n"/>
      <c r="X101" s="675" t="n"/>
      <c r="Y101" s="675" t="n"/>
      <c r="Z101" s="675" t="n"/>
      <c r="AA101" s="675" t="n"/>
      <c r="AB101" s="675" t="n"/>
      <c r="AC101" s="676" t="n"/>
    </row>
    <row r="102" ht="15" customHeight="1" s="356">
      <c r="B102" s="660" t="n">
        <v>89</v>
      </c>
      <c r="C102" s="669" t="n"/>
      <c r="D102" s="670" t="n"/>
      <c r="E102" s="670" t="n"/>
      <c r="F102" s="670" t="n"/>
      <c r="G102" s="671" t="n"/>
      <c r="H102" s="670" t="n"/>
      <c r="I102" s="670" t="n"/>
      <c r="J102" s="670" t="n"/>
      <c r="K102" s="670" t="n"/>
      <c r="L102" s="672" t="n"/>
      <c r="M102" s="672" t="n"/>
      <c r="N102" s="673" t="n"/>
      <c r="O102" s="674" t="n"/>
      <c r="P102" s="675" t="n"/>
      <c r="Q102" s="675" t="n"/>
      <c r="R102" s="674" t="n"/>
      <c r="S102" s="674" t="n"/>
      <c r="T102" s="674" t="n"/>
      <c r="U102" s="674" t="n"/>
      <c r="V102" s="672" t="n"/>
      <c r="W102" s="675" t="n"/>
      <c r="X102" s="675" t="n"/>
      <c r="Y102" s="675" t="n"/>
      <c r="Z102" s="675" t="n"/>
      <c r="AA102" s="675" t="n"/>
      <c r="AB102" s="675" t="n"/>
      <c r="AC102" s="676" t="n"/>
    </row>
    <row r="103" ht="15" customHeight="1" s="356">
      <c r="B103" s="660" t="n">
        <v>90</v>
      </c>
      <c r="C103" s="669" t="n"/>
      <c r="D103" s="670" t="n"/>
      <c r="E103" s="670" t="n"/>
      <c r="F103" s="670" t="n"/>
      <c r="G103" s="671" t="n"/>
      <c r="H103" s="670" t="n"/>
      <c r="I103" s="670" t="n"/>
      <c r="J103" s="670" t="n"/>
      <c r="K103" s="670" t="n"/>
      <c r="L103" s="672" t="n"/>
      <c r="M103" s="672" t="n"/>
      <c r="N103" s="673" t="n"/>
      <c r="O103" s="674" t="n"/>
      <c r="P103" s="675" t="n"/>
      <c r="Q103" s="675" t="n"/>
      <c r="R103" s="674" t="n"/>
      <c r="S103" s="674" t="n"/>
      <c r="T103" s="674" t="n"/>
      <c r="U103" s="674" t="n"/>
      <c r="V103" s="672" t="n"/>
      <c r="W103" s="675" t="n"/>
      <c r="X103" s="675" t="n"/>
      <c r="Y103" s="675" t="n"/>
      <c r="Z103" s="675" t="n"/>
      <c r="AA103" s="675" t="n"/>
      <c r="AB103" s="675" t="n"/>
      <c r="AC103" s="676" t="n"/>
    </row>
    <row r="104" ht="15" customHeight="1" s="356">
      <c r="B104" s="660" t="n">
        <v>91</v>
      </c>
      <c r="C104" s="669" t="n"/>
      <c r="D104" s="670" t="n"/>
      <c r="E104" s="670" t="n"/>
      <c r="F104" s="670" t="n"/>
      <c r="G104" s="671" t="n"/>
      <c r="H104" s="670" t="n"/>
      <c r="I104" s="670" t="n"/>
      <c r="J104" s="670" t="n"/>
      <c r="K104" s="670" t="n"/>
      <c r="L104" s="672" t="n"/>
      <c r="M104" s="672" t="n"/>
      <c r="N104" s="673" t="n"/>
      <c r="O104" s="674" t="n"/>
      <c r="P104" s="675" t="n"/>
      <c r="Q104" s="675" t="n"/>
      <c r="R104" s="674" t="n"/>
      <c r="S104" s="674" t="n"/>
      <c r="T104" s="674" t="n"/>
      <c r="U104" s="674" t="n"/>
      <c r="V104" s="672" t="n"/>
      <c r="W104" s="675" t="n"/>
      <c r="X104" s="675" t="n"/>
      <c r="Y104" s="675" t="n"/>
      <c r="Z104" s="675" t="n"/>
      <c r="AA104" s="675" t="n"/>
      <c r="AB104" s="675" t="n"/>
      <c r="AC104" s="676" t="n"/>
    </row>
    <row r="105" ht="15" customHeight="1" s="356">
      <c r="B105" s="660" t="n">
        <v>92</v>
      </c>
      <c r="C105" s="669" t="n"/>
      <c r="D105" s="670" t="n"/>
      <c r="E105" s="670" t="n"/>
      <c r="F105" s="670" t="n"/>
      <c r="G105" s="671" t="n"/>
      <c r="H105" s="670" t="n"/>
      <c r="I105" s="670" t="n"/>
      <c r="J105" s="670" t="n"/>
      <c r="K105" s="670" t="n"/>
      <c r="L105" s="672" t="n"/>
      <c r="M105" s="672" t="n"/>
      <c r="N105" s="673" t="n"/>
      <c r="O105" s="674" t="n"/>
      <c r="P105" s="675" t="n"/>
      <c r="Q105" s="675" t="n"/>
      <c r="R105" s="674" t="n"/>
      <c r="S105" s="674" t="n"/>
      <c r="T105" s="674" t="n"/>
      <c r="U105" s="674" t="n"/>
      <c r="V105" s="672" t="n"/>
      <c r="W105" s="675" t="n"/>
      <c r="X105" s="675" t="n"/>
      <c r="Y105" s="675" t="n"/>
      <c r="Z105" s="675" t="n"/>
      <c r="AA105" s="675" t="n"/>
      <c r="AB105" s="675" t="n"/>
      <c r="AC105" s="676" t="n"/>
    </row>
    <row r="106" ht="15" customHeight="1" s="356">
      <c r="B106" s="660" t="n">
        <v>93</v>
      </c>
      <c r="C106" s="669" t="n"/>
      <c r="D106" s="670" t="n"/>
      <c r="E106" s="670" t="n"/>
      <c r="F106" s="670" t="n"/>
      <c r="G106" s="671" t="n"/>
      <c r="H106" s="670" t="n"/>
      <c r="I106" s="670" t="n"/>
      <c r="J106" s="670" t="n"/>
      <c r="K106" s="670" t="n"/>
      <c r="L106" s="672" t="n"/>
      <c r="M106" s="672" t="n"/>
      <c r="N106" s="673" t="n"/>
      <c r="O106" s="674" t="n"/>
      <c r="P106" s="675" t="n"/>
      <c r="Q106" s="675" t="n"/>
      <c r="R106" s="674" t="n"/>
      <c r="S106" s="674" t="n"/>
      <c r="T106" s="674" t="n"/>
      <c r="U106" s="674" t="n"/>
      <c r="V106" s="672" t="n"/>
      <c r="W106" s="675" t="n"/>
      <c r="X106" s="675" t="n"/>
      <c r="Y106" s="675" t="n"/>
      <c r="Z106" s="675" t="n"/>
      <c r="AA106" s="675" t="n"/>
      <c r="AB106" s="675" t="n"/>
      <c r="AC106" s="676" t="n"/>
    </row>
    <row r="107" ht="15" customHeight="1" s="356">
      <c r="B107" s="660" t="n">
        <v>94</v>
      </c>
      <c r="C107" s="669" t="n"/>
      <c r="D107" s="670" t="n"/>
      <c r="E107" s="670" t="n"/>
      <c r="F107" s="670" t="n"/>
      <c r="G107" s="671" t="n"/>
      <c r="H107" s="670" t="n"/>
      <c r="I107" s="670" t="n"/>
      <c r="J107" s="670" t="n"/>
      <c r="K107" s="670" t="n"/>
      <c r="L107" s="672" t="n"/>
      <c r="M107" s="672" t="n"/>
      <c r="N107" s="673" t="n"/>
      <c r="O107" s="674" t="n"/>
      <c r="P107" s="675" t="n"/>
      <c r="Q107" s="675" t="n"/>
      <c r="R107" s="674" t="n"/>
      <c r="S107" s="674" t="n"/>
      <c r="T107" s="674" t="n"/>
      <c r="U107" s="674" t="n"/>
      <c r="V107" s="672" t="n"/>
      <c r="W107" s="675" t="n"/>
      <c r="X107" s="675" t="n"/>
      <c r="Y107" s="675" t="n"/>
      <c r="Z107" s="675" t="n"/>
      <c r="AA107" s="675" t="n"/>
      <c r="AB107" s="675" t="n"/>
      <c r="AC107" s="676" t="n"/>
    </row>
    <row r="108" ht="15" customHeight="1" s="356">
      <c r="B108" s="660" t="n">
        <v>95</v>
      </c>
      <c r="C108" s="669" t="n"/>
      <c r="D108" s="670" t="n"/>
      <c r="E108" s="670" t="n"/>
      <c r="F108" s="670" t="n"/>
      <c r="G108" s="671" t="n"/>
      <c r="H108" s="670" t="n"/>
      <c r="I108" s="670" t="n"/>
      <c r="J108" s="670" t="n"/>
      <c r="K108" s="670" t="n"/>
      <c r="L108" s="672" t="n"/>
      <c r="M108" s="672" t="n"/>
      <c r="N108" s="673" t="n"/>
      <c r="O108" s="674" t="n"/>
      <c r="P108" s="675" t="n"/>
      <c r="Q108" s="675" t="n"/>
      <c r="R108" s="674" t="n"/>
      <c r="S108" s="674" t="n"/>
      <c r="T108" s="674" t="n"/>
      <c r="U108" s="674" t="n"/>
      <c r="V108" s="672" t="n"/>
      <c r="W108" s="675" t="n"/>
      <c r="X108" s="675" t="n"/>
      <c r="Y108" s="675" t="n"/>
      <c r="Z108" s="675" t="n"/>
      <c r="AA108" s="675" t="n"/>
      <c r="AB108" s="675" t="n"/>
      <c r="AC108" s="676" t="n"/>
    </row>
    <row r="109" ht="15" customHeight="1" s="356">
      <c r="B109" s="660" t="n">
        <v>96</v>
      </c>
      <c r="C109" s="669" t="n"/>
      <c r="D109" s="670" t="n"/>
      <c r="E109" s="670" t="n"/>
      <c r="F109" s="670" t="n"/>
      <c r="G109" s="671" t="n"/>
      <c r="H109" s="670" t="n"/>
      <c r="I109" s="670" t="n"/>
      <c r="J109" s="670" t="n"/>
      <c r="K109" s="670" t="n"/>
      <c r="L109" s="672" t="n"/>
      <c r="M109" s="672" t="n"/>
      <c r="N109" s="673" t="n"/>
      <c r="O109" s="674" t="n"/>
      <c r="P109" s="675" t="n"/>
      <c r="Q109" s="675" t="n"/>
      <c r="R109" s="674" t="n"/>
      <c r="S109" s="674" t="n"/>
      <c r="T109" s="674" t="n"/>
      <c r="U109" s="674" t="n"/>
      <c r="V109" s="672" t="n"/>
      <c r="W109" s="675" t="n"/>
      <c r="X109" s="675" t="n"/>
      <c r="Y109" s="675" t="n"/>
      <c r="Z109" s="675" t="n"/>
      <c r="AA109" s="675" t="n"/>
      <c r="AB109" s="675" t="n"/>
      <c r="AC109" s="676" t="n"/>
    </row>
    <row r="110" ht="15" customHeight="1" s="356">
      <c r="B110" s="660" t="n">
        <v>97</v>
      </c>
      <c r="C110" s="669" t="n"/>
      <c r="D110" s="670" t="n"/>
      <c r="E110" s="670" t="n"/>
      <c r="F110" s="670" t="n"/>
      <c r="G110" s="671" t="n"/>
      <c r="H110" s="670" t="n"/>
      <c r="I110" s="670" t="n"/>
      <c r="J110" s="670" t="n"/>
      <c r="K110" s="670" t="n"/>
      <c r="L110" s="672" t="n"/>
      <c r="M110" s="672" t="n"/>
      <c r="N110" s="673" t="n"/>
      <c r="O110" s="674" t="n"/>
      <c r="P110" s="675" t="n"/>
      <c r="Q110" s="675" t="n"/>
      <c r="R110" s="674" t="n"/>
      <c r="S110" s="674" t="n"/>
      <c r="T110" s="674" t="n"/>
      <c r="U110" s="674" t="n"/>
      <c r="V110" s="672" t="n"/>
      <c r="W110" s="675" t="n"/>
      <c r="X110" s="675" t="n"/>
      <c r="Y110" s="675" t="n"/>
      <c r="Z110" s="675" t="n"/>
      <c r="AA110" s="675" t="n"/>
      <c r="AB110" s="675" t="n"/>
      <c r="AC110" s="676" t="n"/>
    </row>
    <row r="111" ht="15" customHeight="1" s="356">
      <c r="B111" s="660" t="n">
        <v>98</v>
      </c>
      <c r="C111" s="669" t="n"/>
      <c r="D111" s="670" t="n"/>
      <c r="E111" s="670" t="n"/>
      <c r="F111" s="670" t="n"/>
      <c r="G111" s="671" t="n"/>
      <c r="H111" s="670" t="n"/>
      <c r="I111" s="670" t="n"/>
      <c r="J111" s="670" t="n"/>
      <c r="K111" s="670" t="n"/>
      <c r="L111" s="672" t="n"/>
      <c r="M111" s="672" t="n"/>
      <c r="N111" s="673" t="n"/>
      <c r="O111" s="674" t="n"/>
      <c r="P111" s="675" t="n"/>
      <c r="Q111" s="675" t="n"/>
      <c r="R111" s="674" t="n"/>
      <c r="S111" s="674" t="n"/>
      <c r="T111" s="674" t="n"/>
      <c r="U111" s="674" t="n"/>
      <c r="V111" s="672" t="n"/>
      <c r="W111" s="675" t="n"/>
      <c r="X111" s="675" t="n"/>
      <c r="Y111" s="675" t="n"/>
      <c r="Z111" s="675" t="n"/>
      <c r="AA111" s="675" t="n"/>
      <c r="AB111" s="675" t="n"/>
      <c r="AC111" s="676" t="n"/>
    </row>
    <row r="112" ht="15" customHeight="1" s="356">
      <c r="B112" s="660" t="n">
        <v>99</v>
      </c>
      <c r="C112" s="669" t="n"/>
      <c r="D112" s="670" t="n"/>
      <c r="E112" s="670" t="n"/>
      <c r="F112" s="670" t="n"/>
      <c r="G112" s="671" t="n"/>
      <c r="H112" s="670" t="n"/>
      <c r="I112" s="670" t="n"/>
      <c r="J112" s="670" t="n"/>
      <c r="K112" s="670" t="n"/>
      <c r="L112" s="672" t="n"/>
      <c r="M112" s="672" t="n"/>
      <c r="N112" s="673" t="n"/>
      <c r="O112" s="674" t="n"/>
      <c r="P112" s="675" t="n"/>
      <c r="Q112" s="675" t="n"/>
      <c r="R112" s="674" t="n"/>
      <c r="S112" s="674" t="n"/>
      <c r="T112" s="674" t="n"/>
      <c r="U112" s="674" t="n"/>
      <c r="V112" s="672" t="n"/>
      <c r="W112" s="675" t="n"/>
      <c r="X112" s="675" t="n"/>
      <c r="Y112" s="675" t="n"/>
      <c r="Z112" s="675" t="n"/>
      <c r="AA112" s="675" t="n"/>
      <c r="AB112" s="675" t="n"/>
      <c r="AC112" s="676" t="n"/>
    </row>
    <row r="113" ht="15" customHeight="1" s="356">
      <c r="B113" s="660" t="n">
        <v>100</v>
      </c>
      <c r="C113" s="669" t="n"/>
      <c r="D113" s="670" t="n"/>
      <c r="E113" s="670" t="n"/>
      <c r="F113" s="670" t="n"/>
      <c r="G113" s="671" t="n"/>
      <c r="H113" s="670" t="n"/>
      <c r="I113" s="670" t="n"/>
      <c r="J113" s="670" t="n"/>
      <c r="K113" s="670" t="n"/>
      <c r="L113" s="672" t="n"/>
      <c r="M113" s="672" t="n"/>
      <c r="N113" s="673" t="n"/>
      <c r="O113" s="674" t="n"/>
      <c r="P113" s="675" t="n"/>
      <c r="Q113" s="675" t="n"/>
      <c r="R113" s="674" t="n"/>
      <c r="S113" s="674" t="n"/>
      <c r="T113" s="674" t="n"/>
      <c r="U113" s="674" t="n"/>
      <c r="V113" s="672" t="n"/>
      <c r="W113" s="675" t="n"/>
      <c r="X113" s="675" t="n"/>
      <c r="Y113" s="675" t="n"/>
      <c r="Z113" s="675" t="n"/>
      <c r="AA113" s="675" t="n"/>
      <c r="AB113" s="675" t="n"/>
      <c r="AC113" s="676" t="n"/>
    </row>
    <row r="114" ht="15" customHeight="1" s="356">
      <c r="B114" s="660" t="n">
        <v>101</v>
      </c>
      <c r="C114" s="669" t="n"/>
      <c r="D114" s="670" t="n"/>
      <c r="E114" s="670" t="n"/>
      <c r="F114" s="670" t="n"/>
      <c r="G114" s="671" t="n"/>
      <c r="H114" s="670" t="n"/>
      <c r="I114" s="670" t="n"/>
      <c r="J114" s="670" t="n"/>
      <c r="K114" s="670" t="n"/>
      <c r="L114" s="672" t="n"/>
      <c r="M114" s="672" t="n"/>
      <c r="N114" s="673" t="n"/>
      <c r="O114" s="674" t="n"/>
      <c r="P114" s="675" t="n"/>
      <c r="Q114" s="675" t="n"/>
      <c r="R114" s="674" t="n"/>
      <c r="S114" s="674" t="n"/>
      <c r="T114" s="674" t="n"/>
      <c r="U114" s="674" t="n"/>
      <c r="V114" s="672" t="n"/>
      <c r="W114" s="675" t="n"/>
      <c r="X114" s="675" t="n"/>
      <c r="Y114" s="675" t="n"/>
      <c r="Z114" s="675" t="n"/>
      <c r="AA114" s="675" t="n"/>
      <c r="AB114" s="675" t="n"/>
      <c r="AC114" s="676" t="n"/>
    </row>
    <row r="115" ht="15" customHeight="1" s="356">
      <c r="B115" s="660" t="n">
        <v>102</v>
      </c>
      <c r="C115" s="669" t="n"/>
      <c r="D115" s="670" t="n"/>
      <c r="E115" s="670" t="n"/>
      <c r="F115" s="670" t="n"/>
      <c r="G115" s="671" t="n"/>
      <c r="H115" s="670" t="n"/>
      <c r="I115" s="670" t="n"/>
      <c r="J115" s="670" t="n"/>
      <c r="K115" s="670" t="n"/>
      <c r="L115" s="672" t="n"/>
      <c r="M115" s="672" t="n"/>
      <c r="N115" s="673" t="n"/>
      <c r="O115" s="674" t="n"/>
      <c r="P115" s="675" t="n"/>
      <c r="Q115" s="675" t="n"/>
      <c r="R115" s="674" t="n"/>
      <c r="S115" s="674" t="n"/>
      <c r="T115" s="674" t="n"/>
      <c r="U115" s="674" t="n"/>
      <c r="V115" s="672" t="n"/>
      <c r="W115" s="675" t="n"/>
      <c r="X115" s="675" t="n"/>
      <c r="Y115" s="675" t="n"/>
      <c r="Z115" s="675" t="n"/>
      <c r="AA115" s="675" t="n"/>
      <c r="AB115" s="675" t="n"/>
      <c r="AC115" s="676" t="n"/>
    </row>
    <row r="116" ht="15" customHeight="1" s="356">
      <c r="B116" s="660" t="n">
        <v>103</v>
      </c>
      <c r="C116" s="669" t="n"/>
      <c r="D116" s="670" t="n"/>
      <c r="E116" s="670" t="n"/>
      <c r="F116" s="670" t="n"/>
      <c r="G116" s="671" t="n"/>
      <c r="H116" s="670" t="n"/>
      <c r="I116" s="670" t="n"/>
      <c r="J116" s="670" t="n"/>
      <c r="K116" s="670" t="n"/>
      <c r="L116" s="672" t="n"/>
      <c r="M116" s="672" t="n"/>
      <c r="N116" s="673" t="n"/>
      <c r="O116" s="674" t="n"/>
      <c r="P116" s="675" t="n"/>
      <c r="Q116" s="675" t="n"/>
      <c r="R116" s="674" t="n"/>
      <c r="S116" s="674" t="n"/>
      <c r="T116" s="674" t="n"/>
      <c r="U116" s="674" t="n"/>
      <c r="V116" s="672" t="n"/>
      <c r="W116" s="675" t="n"/>
      <c r="X116" s="675" t="n"/>
      <c r="Y116" s="675" t="n"/>
      <c r="Z116" s="675" t="n"/>
      <c r="AA116" s="675" t="n"/>
      <c r="AB116" s="675" t="n"/>
      <c r="AC116" s="676" t="n"/>
    </row>
    <row r="117" ht="15" customHeight="1" s="356">
      <c r="B117" s="660" t="n">
        <v>104</v>
      </c>
      <c r="C117" s="669" t="n"/>
      <c r="D117" s="670" t="n"/>
      <c r="E117" s="670" t="n"/>
      <c r="F117" s="670" t="n"/>
      <c r="G117" s="671" t="n"/>
      <c r="H117" s="670" t="n"/>
      <c r="I117" s="670" t="n"/>
      <c r="J117" s="670" t="n"/>
      <c r="K117" s="670" t="n"/>
      <c r="L117" s="672" t="n"/>
      <c r="M117" s="672" t="n"/>
      <c r="N117" s="673" t="n"/>
      <c r="O117" s="674" t="n"/>
      <c r="P117" s="675" t="n"/>
      <c r="Q117" s="675" t="n"/>
      <c r="R117" s="674" t="n"/>
      <c r="S117" s="674" t="n"/>
      <c r="T117" s="674" t="n"/>
      <c r="U117" s="674" t="n"/>
      <c r="V117" s="672" t="n"/>
      <c r="W117" s="675" t="n"/>
      <c r="X117" s="675" t="n"/>
      <c r="Y117" s="675" t="n"/>
      <c r="Z117" s="675" t="n"/>
      <c r="AA117" s="675" t="n"/>
      <c r="AB117" s="675" t="n"/>
      <c r="AC117" s="676" t="n"/>
    </row>
    <row r="118" ht="15" customHeight="1" s="356">
      <c r="B118" s="660" t="n">
        <v>105</v>
      </c>
      <c r="C118" s="669" t="n"/>
      <c r="D118" s="670" t="n"/>
      <c r="E118" s="670" t="n"/>
      <c r="F118" s="670" t="n"/>
      <c r="G118" s="671" t="n"/>
      <c r="H118" s="670" t="n"/>
      <c r="I118" s="670" t="n"/>
      <c r="J118" s="670" t="n"/>
      <c r="K118" s="670" t="n"/>
      <c r="L118" s="672" t="n"/>
      <c r="M118" s="672" t="n"/>
      <c r="N118" s="673" t="n"/>
      <c r="O118" s="674" t="n"/>
      <c r="P118" s="675" t="n"/>
      <c r="Q118" s="675" t="n"/>
      <c r="R118" s="674" t="n"/>
      <c r="S118" s="674" t="n"/>
      <c r="T118" s="674" t="n"/>
      <c r="U118" s="674" t="n"/>
      <c r="V118" s="672" t="n"/>
      <c r="W118" s="675" t="n"/>
      <c r="X118" s="675" t="n"/>
      <c r="Y118" s="675" t="n"/>
      <c r="Z118" s="675" t="n"/>
      <c r="AA118" s="675" t="n"/>
      <c r="AB118" s="675" t="n"/>
      <c r="AC118" s="676" t="n"/>
    </row>
    <row r="119" ht="15" customHeight="1" s="356">
      <c r="B119" s="660" t="n">
        <v>106</v>
      </c>
      <c r="C119" s="669" t="n"/>
      <c r="D119" s="670" t="n"/>
      <c r="E119" s="670" t="n"/>
      <c r="F119" s="670" t="n"/>
      <c r="G119" s="671" t="n"/>
      <c r="H119" s="670" t="n"/>
      <c r="I119" s="670" t="n"/>
      <c r="J119" s="670" t="n"/>
      <c r="K119" s="670" t="n"/>
      <c r="L119" s="672" t="n"/>
      <c r="M119" s="672" t="n"/>
      <c r="N119" s="673" t="n"/>
      <c r="O119" s="674" t="n"/>
      <c r="P119" s="675" t="n"/>
      <c r="Q119" s="675" t="n"/>
      <c r="R119" s="674" t="n"/>
      <c r="S119" s="674" t="n"/>
      <c r="T119" s="674" t="n"/>
      <c r="U119" s="674" t="n"/>
      <c r="V119" s="672" t="n"/>
      <c r="W119" s="675" t="n"/>
      <c r="X119" s="675" t="n"/>
      <c r="Y119" s="675" t="n"/>
      <c r="Z119" s="675" t="n"/>
      <c r="AA119" s="675" t="n"/>
      <c r="AB119" s="675" t="n"/>
      <c r="AC119" s="676" t="n"/>
    </row>
    <row r="120" ht="15" customHeight="1" s="356">
      <c r="B120" s="660" t="n">
        <v>107</v>
      </c>
      <c r="C120" s="669" t="n"/>
      <c r="D120" s="670" t="n"/>
      <c r="E120" s="670" t="n"/>
      <c r="F120" s="670" t="n"/>
      <c r="G120" s="671" t="n"/>
      <c r="H120" s="670" t="n"/>
      <c r="I120" s="670" t="n"/>
      <c r="J120" s="670" t="n"/>
      <c r="K120" s="670" t="n"/>
      <c r="L120" s="672" t="n"/>
      <c r="M120" s="672" t="n"/>
      <c r="N120" s="673" t="n"/>
      <c r="O120" s="674" t="n"/>
      <c r="P120" s="675" t="n"/>
      <c r="Q120" s="675" t="n"/>
      <c r="R120" s="674" t="n"/>
      <c r="S120" s="674" t="n"/>
      <c r="T120" s="674" t="n"/>
      <c r="U120" s="674" t="n"/>
      <c r="V120" s="672" t="n"/>
      <c r="W120" s="675" t="n"/>
      <c r="X120" s="675" t="n"/>
      <c r="Y120" s="675" t="n"/>
      <c r="Z120" s="675" t="n"/>
      <c r="AA120" s="675" t="n"/>
      <c r="AB120" s="675" t="n"/>
      <c r="AC120" s="676" t="n"/>
    </row>
    <row r="121" ht="15" customHeight="1" s="356">
      <c r="B121" s="660" t="n">
        <v>108</v>
      </c>
      <c r="C121" s="669" t="n"/>
      <c r="D121" s="670" t="n"/>
      <c r="E121" s="670" t="n"/>
      <c r="F121" s="670" t="n"/>
      <c r="G121" s="671" t="n"/>
      <c r="H121" s="670" t="n"/>
      <c r="I121" s="670" t="n"/>
      <c r="J121" s="670" t="n"/>
      <c r="K121" s="670" t="n"/>
      <c r="L121" s="672" t="n"/>
      <c r="M121" s="672" t="n"/>
      <c r="N121" s="673" t="n"/>
      <c r="O121" s="674" t="n"/>
      <c r="P121" s="675" t="n"/>
      <c r="Q121" s="675" t="n"/>
      <c r="R121" s="674" t="n"/>
      <c r="S121" s="674" t="n"/>
      <c r="T121" s="674" t="n"/>
      <c r="U121" s="674" t="n"/>
      <c r="V121" s="672" t="n"/>
      <c r="W121" s="675" t="n"/>
      <c r="X121" s="675" t="n"/>
      <c r="Y121" s="675" t="n"/>
      <c r="Z121" s="675" t="n"/>
      <c r="AA121" s="675" t="n"/>
      <c r="AB121" s="675" t="n"/>
      <c r="AC121" s="676" t="n"/>
    </row>
    <row r="122" ht="15" customHeight="1" s="356">
      <c r="B122" s="660" t="n">
        <v>109</v>
      </c>
      <c r="C122" s="669" t="n"/>
      <c r="D122" s="670" t="n"/>
      <c r="E122" s="670" t="n"/>
      <c r="F122" s="670" t="n"/>
      <c r="G122" s="671" t="n"/>
      <c r="H122" s="670" t="n"/>
      <c r="I122" s="670" t="n"/>
      <c r="J122" s="670" t="n"/>
      <c r="K122" s="670" t="n"/>
      <c r="L122" s="672" t="n"/>
      <c r="M122" s="672" t="n"/>
      <c r="N122" s="673" t="n"/>
      <c r="O122" s="674" t="n"/>
      <c r="P122" s="675" t="n"/>
      <c r="Q122" s="675" t="n"/>
      <c r="R122" s="674" t="n"/>
      <c r="S122" s="674" t="n"/>
      <c r="T122" s="674" t="n"/>
      <c r="U122" s="674" t="n"/>
      <c r="V122" s="672" t="n"/>
      <c r="W122" s="675" t="n"/>
      <c r="X122" s="675" t="n"/>
      <c r="Y122" s="675" t="n"/>
      <c r="Z122" s="675" t="n"/>
      <c r="AA122" s="675" t="n"/>
      <c r="AB122" s="675" t="n"/>
      <c r="AC122" s="676" t="n"/>
    </row>
    <row r="123" ht="15" customHeight="1" s="356">
      <c r="B123" s="660" t="n">
        <v>110</v>
      </c>
      <c r="C123" s="669" t="n"/>
      <c r="D123" s="670" t="n"/>
      <c r="E123" s="670" t="n"/>
      <c r="F123" s="670" t="n"/>
      <c r="G123" s="671" t="n"/>
      <c r="H123" s="670" t="n"/>
      <c r="I123" s="670" t="n"/>
      <c r="J123" s="670" t="n"/>
      <c r="K123" s="670" t="n"/>
      <c r="L123" s="672" t="n"/>
      <c r="M123" s="672" t="n"/>
      <c r="N123" s="673" t="n"/>
      <c r="O123" s="674" t="n"/>
      <c r="P123" s="675" t="n"/>
      <c r="Q123" s="675" t="n"/>
      <c r="R123" s="674" t="n"/>
      <c r="S123" s="674" t="n"/>
      <c r="T123" s="674" t="n"/>
      <c r="U123" s="674" t="n"/>
      <c r="V123" s="672" t="n"/>
      <c r="W123" s="675" t="n"/>
      <c r="X123" s="675" t="n"/>
      <c r="Y123" s="675" t="n"/>
      <c r="Z123" s="675" t="n"/>
      <c r="AA123" s="675" t="n"/>
      <c r="AB123" s="675" t="n"/>
      <c r="AC123" s="676" t="n"/>
    </row>
    <row r="124" ht="15" customHeight="1" s="356">
      <c r="B124" s="660" t="n">
        <v>111</v>
      </c>
      <c r="C124" s="669" t="n"/>
      <c r="D124" s="670" t="n"/>
      <c r="E124" s="670" t="n"/>
      <c r="F124" s="670" t="n"/>
      <c r="G124" s="671" t="n"/>
      <c r="H124" s="670" t="n"/>
      <c r="I124" s="670" t="n"/>
      <c r="J124" s="670" t="n"/>
      <c r="K124" s="670" t="n"/>
      <c r="L124" s="672" t="n"/>
      <c r="M124" s="672" t="n"/>
      <c r="N124" s="673" t="n"/>
      <c r="O124" s="674" t="n"/>
      <c r="P124" s="675" t="n"/>
      <c r="Q124" s="675" t="n"/>
      <c r="R124" s="674" t="n"/>
      <c r="S124" s="674" t="n"/>
      <c r="T124" s="674" t="n"/>
      <c r="U124" s="674" t="n"/>
      <c r="V124" s="672" t="n"/>
      <c r="W124" s="675" t="n"/>
      <c r="X124" s="675" t="n"/>
      <c r="Y124" s="675" t="n"/>
      <c r="Z124" s="675" t="n"/>
      <c r="AA124" s="675" t="n"/>
      <c r="AB124" s="675" t="n"/>
      <c r="AC124" s="676" t="n"/>
    </row>
    <row r="125" ht="15" customHeight="1" s="356">
      <c r="B125" s="660" t="n">
        <v>112</v>
      </c>
      <c r="C125" s="669" t="n"/>
      <c r="D125" s="670" t="n"/>
      <c r="E125" s="670" t="n"/>
      <c r="F125" s="670" t="n"/>
      <c r="G125" s="671" t="n"/>
      <c r="H125" s="670" t="n"/>
      <c r="I125" s="670" t="n"/>
      <c r="J125" s="670" t="n"/>
      <c r="K125" s="670" t="n"/>
      <c r="L125" s="672" t="n"/>
      <c r="M125" s="672" t="n"/>
      <c r="N125" s="673" t="n"/>
      <c r="O125" s="674" t="n"/>
      <c r="P125" s="675" t="n"/>
      <c r="Q125" s="675" t="n"/>
      <c r="R125" s="674" t="n"/>
      <c r="S125" s="674" t="n"/>
      <c r="T125" s="674" t="n"/>
      <c r="U125" s="674" t="n"/>
      <c r="V125" s="672" t="n"/>
      <c r="W125" s="675" t="n"/>
      <c r="X125" s="675" t="n"/>
      <c r="Y125" s="675" t="n"/>
      <c r="Z125" s="675" t="n"/>
      <c r="AA125" s="675" t="n"/>
      <c r="AB125" s="675" t="n"/>
      <c r="AC125" s="676" t="n"/>
    </row>
    <row r="126" ht="15" customHeight="1" s="356">
      <c r="B126" s="660" t="n">
        <v>113</v>
      </c>
      <c r="C126" s="669" t="n"/>
      <c r="D126" s="670" t="n"/>
      <c r="E126" s="670" t="n"/>
      <c r="F126" s="670" t="n"/>
      <c r="G126" s="671" t="n"/>
      <c r="H126" s="670" t="n"/>
      <c r="I126" s="670" t="n"/>
      <c r="J126" s="670" t="n"/>
      <c r="K126" s="670" t="n"/>
      <c r="L126" s="672" t="n"/>
      <c r="M126" s="672" t="n"/>
      <c r="N126" s="673" t="n"/>
      <c r="O126" s="674" t="n"/>
      <c r="P126" s="675" t="n"/>
      <c r="Q126" s="675" t="n"/>
      <c r="R126" s="674" t="n"/>
      <c r="S126" s="674" t="n"/>
      <c r="T126" s="674" t="n"/>
      <c r="U126" s="674" t="n"/>
      <c r="V126" s="672" t="n"/>
      <c r="W126" s="675" t="n"/>
      <c r="X126" s="675" t="n"/>
      <c r="Y126" s="675" t="n"/>
      <c r="Z126" s="675" t="n"/>
      <c r="AA126" s="675" t="n"/>
      <c r="AB126" s="675" t="n"/>
      <c r="AC126" s="676" t="n"/>
    </row>
    <row r="127" ht="15" customHeight="1" s="356">
      <c r="B127" s="660" t="n">
        <v>114</v>
      </c>
      <c r="C127" s="669" t="n"/>
      <c r="D127" s="670" t="n"/>
      <c r="E127" s="670" t="n"/>
      <c r="F127" s="670" t="n"/>
      <c r="G127" s="671" t="n"/>
      <c r="H127" s="670" t="n"/>
      <c r="I127" s="670" t="n"/>
      <c r="J127" s="670" t="n"/>
      <c r="K127" s="670" t="n"/>
      <c r="L127" s="672" t="n"/>
      <c r="M127" s="672" t="n"/>
      <c r="N127" s="673" t="n"/>
      <c r="O127" s="674" t="n"/>
      <c r="P127" s="675" t="n"/>
      <c r="Q127" s="675" t="n"/>
      <c r="R127" s="674" t="n"/>
      <c r="S127" s="674" t="n"/>
      <c r="T127" s="674" t="n"/>
      <c r="U127" s="674" t="n"/>
      <c r="V127" s="672" t="n"/>
      <c r="W127" s="675" t="n"/>
      <c r="X127" s="675" t="n"/>
      <c r="Y127" s="675" t="n"/>
      <c r="Z127" s="675" t="n"/>
      <c r="AA127" s="675" t="n"/>
      <c r="AB127" s="675" t="n"/>
      <c r="AC127" s="676" t="n"/>
    </row>
    <row r="128" ht="15" customHeight="1" s="356">
      <c r="B128" s="660" t="n">
        <v>115</v>
      </c>
      <c r="C128" s="669" t="n"/>
      <c r="D128" s="670" t="n"/>
      <c r="E128" s="670" t="n"/>
      <c r="F128" s="670" t="n"/>
      <c r="G128" s="671" t="n"/>
      <c r="H128" s="670" t="n"/>
      <c r="I128" s="670" t="n"/>
      <c r="J128" s="670" t="n"/>
      <c r="K128" s="670" t="n"/>
      <c r="L128" s="672" t="n"/>
      <c r="M128" s="672" t="n"/>
      <c r="N128" s="673" t="n"/>
      <c r="O128" s="674" t="n"/>
      <c r="P128" s="675" t="n"/>
      <c r="Q128" s="675" t="n"/>
      <c r="R128" s="674" t="n"/>
      <c r="S128" s="674" t="n"/>
      <c r="T128" s="674" t="n"/>
      <c r="U128" s="674" t="n"/>
      <c r="V128" s="672" t="n"/>
      <c r="W128" s="675" t="n"/>
      <c r="X128" s="675" t="n"/>
      <c r="Y128" s="675" t="n"/>
      <c r="Z128" s="675" t="n"/>
      <c r="AA128" s="675" t="n"/>
      <c r="AB128" s="675" t="n"/>
      <c r="AC128" s="676" t="n"/>
    </row>
    <row r="129" ht="15" customHeight="1" s="356">
      <c r="B129" s="660" t="n">
        <v>116</v>
      </c>
      <c r="C129" s="669" t="n"/>
      <c r="D129" s="670" t="n"/>
      <c r="E129" s="670" t="n"/>
      <c r="F129" s="670" t="n"/>
      <c r="G129" s="671" t="n"/>
      <c r="H129" s="670" t="n"/>
      <c r="I129" s="670" t="n"/>
      <c r="J129" s="670" t="n"/>
      <c r="K129" s="670" t="n"/>
      <c r="L129" s="672" t="n"/>
      <c r="M129" s="672" t="n"/>
      <c r="N129" s="673" t="n"/>
      <c r="O129" s="674" t="n"/>
      <c r="P129" s="675" t="n"/>
      <c r="Q129" s="675" t="n"/>
      <c r="R129" s="674" t="n"/>
      <c r="S129" s="674" t="n"/>
      <c r="T129" s="674" t="n"/>
      <c r="U129" s="674" t="n"/>
      <c r="V129" s="672" t="n"/>
      <c r="W129" s="675" t="n"/>
      <c r="X129" s="675" t="n"/>
      <c r="Y129" s="675" t="n"/>
      <c r="Z129" s="675" t="n"/>
      <c r="AA129" s="675" t="n"/>
      <c r="AB129" s="675" t="n"/>
      <c r="AC129" s="676" t="n"/>
    </row>
    <row r="130" ht="15" customHeight="1" s="356">
      <c r="B130" s="660" t="n">
        <v>117</v>
      </c>
      <c r="C130" s="669" t="n"/>
      <c r="D130" s="670" t="n"/>
      <c r="E130" s="670" t="n"/>
      <c r="F130" s="670" t="n"/>
      <c r="G130" s="671" t="n"/>
      <c r="H130" s="670" t="n"/>
      <c r="I130" s="670" t="n"/>
      <c r="J130" s="670" t="n"/>
      <c r="K130" s="670" t="n"/>
      <c r="L130" s="672" t="n"/>
      <c r="M130" s="672" t="n"/>
      <c r="N130" s="673" t="n"/>
      <c r="O130" s="674" t="n"/>
      <c r="P130" s="675" t="n"/>
      <c r="Q130" s="675" t="n"/>
      <c r="R130" s="674" t="n"/>
      <c r="S130" s="674" t="n"/>
      <c r="T130" s="674" t="n"/>
      <c r="U130" s="674" t="n"/>
      <c r="V130" s="672" t="n"/>
      <c r="W130" s="675" t="n"/>
      <c r="X130" s="675" t="n"/>
      <c r="Y130" s="675" t="n"/>
      <c r="Z130" s="675" t="n"/>
      <c r="AA130" s="675" t="n"/>
      <c r="AB130" s="675" t="n"/>
      <c r="AC130" s="676" t="n"/>
    </row>
    <row r="131" ht="15" customHeight="1" s="356">
      <c r="B131" s="660" t="n">
        <v>118</v>
      </c>
      <c r="C131" s="677" t="n"/>
      <c r="D131" s="678" t="n"/>
      <c r="E131" s="678" t="n"/>
      <c r="F131" s="678" t="n"/>
      <c r="G131" s="679" t="n"/>
      <c r="H131" s="678" t="n"/>
      <c r="I131" s="678" t="n"/>
      <c r="J131" s="678" t="n"/>
      <c r="K131" s="678" t="n"/>
      <c r="L131" s="680" t="n"/>
      <c r="M131" s="680" t="n"/>
      <c r="N131" s="681" t="n"/>
      <c r="O131" s="682" t="n"/>
      <c r="P131" s="683" t="n"/>
      <c r="Q131" s="683" t="n"/>
      <c r="R131" s="682" t="n"/>
      <c r="S131" s="682" t="n"/>
      <c r="T131" s="682" t="n"/>
      <c r="U131" s="682" t="n"/>
      <c r="V131" s="680" t="n"/>
      <c r="W131" s="683" t="n"/>
      <c r="X131" s="683" t="n"/>
      <c r="Y131" s="683" t="n"/>
      <c r="Z131" s="683" t="n"/>
      <c r="AA131" s="683" t="n"/>
      <c r="AB131" s="683" t="n"/>
      <c r="AC131" s="684" t="n"/>
    </row>
  </sheetData>
  <mergeCells count="12">
    <mergeCell ref="C13:F13"/>
    <mergeCell ref="C7:D7"/>
    <mergeCell ref="C11:D11"/>
    <mergeCell ref="G11:H11"/>
    <mergeCell ref="E11:F11"/>
    <mergeCell ref="I11:J11"/>
    <mergeCell ref="G13:K13"/>
    <mergeCell ref="C9:D9"/>
    <mergeCell ref="G9:H9"/>
    <mergeCell ref="E9:F9"/>
    <mergeCell ref="I9:J9"/>
    <mergeCell ref="E7:J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AI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.57" customWidth="1" style="355" min="1" max="1"/>
    <col width="10.58" customWidth="1" style="355" min="2" max="2"/>
    <col width="2.57" customWidth="1" style="355" min="4" max="4"/>
    <col width="10.58" customWidth="1" style="355" min="5" max="5"/>
    <col width="24.26" customWidth="1" style="355" min="6" max="6"/>
    <col width="10.58" customWidth="1" style="355" min="8" max="11"/>
    <col width="10.58" customWidth="1" style="355" min="19" max="19"/>
    <col width="2.57" customWidth="1" style="355" min="27" max="27"/>
    <col width="8.84" customWidth="1" style="355" min="28" max="28"/>
    <col width="2.57" customWidth="1" style="355" min="34" max="34"/>
    <col width="8.84" customWidth="1" style="355" min="35" max="35"/>
  </cols>
  <sheetData>
    <row r="1" ht="13.5" customHeight="1" s="356"/>
    <row r="2" ht="13.5" customHeight="1" s="356">
      <c r="B2" s="685" t="inlineStr">
        <is>
          <t>Output:</t>
        </is>
      </c>
      <c r="C2" s="686">
        <f>captable!F5</f>
        <v/>
      </c>
    </row>
    <row r="4" ht="14.25" customHeight="1" s="356">
      <c r="B4" s="687" t="inlineStr">
        <is>
          <t>Input</t>
        </is>
      </c>
      <c r="C4" s="688" t="n"/>
      <c r="E4" s="689" t="inlineStr">
        <is>
          <t>(In US$MM, unless otherwise noted)</t>
        </is>
      </c>
      <c r="F4" s="688" t="n"/>
      <c r="G4" s="688" t="n"/>
      <c r="H4" s="688" t="n"/>
      <c r="I4" s="687" t="inlineStr">
        <is>
          <t>TEV</t>
        </is>
      </c>
      <c r="J4" s="687" t="n"/>
      <c r="K4" s="690" t="inlineStr">
        <is>
          <t>Revenue - Source FX</t>
        </is>
      </c>
      <c r="M4" s="690" t="inlineStr">
        <is>
          <t>Net Income - Source FX</t>
        </is>
      </c>
      <c r="O4" s="690" t="inlineStr">
        <is>
          <t>Adj. EBITDA - Source FX</t>
        </is>
      </c>
      <c r="Q4" s="690" t="inlineStr">
        <is>
          <t>Book Value - Source FX</t>
        </is>
      </c>
      <c r="S4" s="690" t="inlineStr">
        <is>
          <t>EV / Revenue</t>
        </is>
      </c>
      <c r="U4" s="690" t="inlineStr">
        <is>
          <t>EV / EBITDA</t>
        </is>
      </c>
      <c r="W4" s="690" t="inlineStr">
        <is>
          <t>P/ E</t>
        </is>
      </c>
      <c r="Y4" s="687" t="inlineStr">
        <is>
          <t>P / B</t>
        </is>
      </c>
      <c r="Z4" s="687" t="inlineStr">
        <is>
          <t>P / TBV</t>
        </is>
      </c>
      <c r="AB4" s="687" t="inlineStr">
        <is>
          <t>TEV</t>
        </is>
      </c>
      <c r="AC4" s="687" t="inlineStr">
        <is>
          <t>Rev.</t>
        </is>
      </c>
      <c r="AD4" s="687" t="inlineStr">
        <is>
          <t>EBITDA</t>
        </is>
      </c>
      <c r="AE4" s="687" t="inlineStr">
        <is>
          <t>Net Inc.</t>
        </is>
      </c>
      <c r="AF4" s="687" t="inlineStr">
        <is>
          <t>P / B</t>
        </is>
      </c>
      <c r="AG4" s="687" t="inlineStr">
        <is>
          <t>P / TBV</t>
        </is>
      </c>
      <c r="AI4" s="688" t="n"/>
    </row>
    <row r="5" ht="14.25" customHeight="1" s="356">
      <c r="B5" s="687" t="inlineStr">
        <is>
          <t>Currency</t>
        </is>
      </c>
      <c r="C5" s="687" t="inlineStr">
        <is>
          <t>FX</t>
        </is>
      </c>
      <c r="E5" s="688" t="inlineStr">
        <is>
          <t>Ann. Date</t>
        </is>
      </c>
      <c r="F5" s="688" t="inlineStr">
        <is>
          <t>Target</t>
        </is>
      </c>
      <c r="G5" s="688" t="inlineStr">
        <is>
          <t>Acquiror</t>
        </is>
      </c>
      <c r="H5" s="687" t="inlineStr">
        <is>
          <t>HQ</t>
        </is>
      </c>
      <c r="I5" s="687" t="inlineStr">
        <is>
          <t>Source FX</t>
        </is>
      </c>
      <c r="J5" s="687" t="inlineStr">
        <is>
          <t>TEV</t>
        </is>
      </c>
      <c r="K5" s="687" t="inlineStr">
        <is>
          <t>(LTM)</t>
        </is>
      </c>
      <c r="L5" s="687" t="inlineStr">
        <is>
          <t>(NTM)</t>
        </is>
      </c>
      <c r="M5" s="687" t="inlineStr">
        <is>
          <t>(LTM)</t>
        </is>
      </c>
      <c r="N5" s="687" t="inlineStr">
        <is>
          <t>(NTM)</t>
        </is>
      </c>
      <c r="O5" s="687" t="inlineStr">
        <is>
          <t>(LTM)</t>
        </is>
      </c>
      <c r="P5" s="687" t="inlineStr">
        <is>
          <t>(NTM)</t>
        </is>
      </c>
      <c r="Q5" s="687" t="inlineStr">
        <is>
          <t>BV</t>
        </is>
      </c>
      <c r="R5" s="687" t="inlineStr">
        <is>
          <t>TBV</t>
        </is>
      </c>
      <c r="S5" s="687" t="inlineStr">
        <is>
          <t>(LTM)</t>
        </is>
      </c>
      <c r="T5" s="687" t="inlineStr">
        <is>
          <t>(NTM)</t>
        </is>
      </c>
      <c r="U5" s="687" t="inlineStr">
        <is>
          <t>(LTM)</t>
        </is>
      </c>
      <c r="V5" s="687" t="inlineStr">
        <is>
          <t>(NTM)</t>
        </is>
      </c>
      <c r="W5" s="687" t="inlineStr">
        <is>
          <t>(LTM)</t>
        </is>
      </c>
      <c r="X5" s="687" t="inlineStr">
        <is>
          <t>(NTM)</t>
        </is>
      </c>
      <c r="Y5" s="687" t="inlineStr">
        <is>
          <t>(Current)</t>
        </is>
      </c>
      <c r="Z5" s="687" t="inlineStr">
        <is>
          <t>(Current)</t>
        </is>
      </c>
      <c r="AB5" s="687" t="inlineStr">
        <is>
          <t>Source</t>
        </is>
      </c>
      <c r="AC5" s="687" t="inlineStr">
        <is>
          <t>Source</t>
        </is>
      </c>
      <c r="AD5" s="687" t="inlineStr">
        <is>
          <t>Source</t>
        </is>
      </c>
      <c r="AE5" s="687" t="inlineStr">
        <is>
          <t>Source</t>
        </is>
      </c>
      <c r="AF5" s="687" t="inlineStr">
        <is>
          <t>Source</t>
        </is>
      </c>
      <c r="AG5" s="687" t="inlineStr">
        <is>
          <t>Source</t>
        </is>
      </c>
      <c r="AI5" s="687" t="inlineStr">
        <is>
          <t>HQ</t>
        </is>
      </c>
    </row>
    <row r="6" ht="3" customHeight="1" s="356"/>
    <row r="7" ht="14.25" customHeight="1" s="356">
      <c r="E7" s="691" t="inlineStr">
        <is>
          <t>Non-Prime &amp; Digital Consumer Lending</t>
        </is>
      </c>
    </row>
    <row r="8" ht="15.75" customHeight="1" s="356">
      <c r="B8" s="692" t="inlineStr">
        <is>
          <t>USD</t>
        </is>
      </c>
      <c r="C8" s="693">
        <f t="array" ref="C8:C8">_xll.snl.clients.office.excel.functions.spg("$"&amp;$C$2&amp;B8,"SP_PRICE_CLOSE",WORKDAY(E8+1,-1),"Options: NA=NA")</f>
        <v/>
      </c>
      <c r="E8" s="694" t="n">
        <v>45636</v>
      </c>
      <c r="F8" s="695" t="inlineStr">
        <is>
          <t>MoneyLion Inc.</t>
        </is>
      </c>
      <c r="G8" s="695" t="inlineStr">
        <is>
          <t>Gen Digital Inc.</t>
        </is>
      </c>
      <c r="H8" s="696" t="n"/>
      <c r="I8" s="697" t="n">
        <v>1000</v>
      </c>
      <c r="J8" s="698">
        <f>+I8*C8</f>
        <v/>
      </c>
      <c r="K8" s="699" t="n"/>
      <c r="L8" s="699" t="n"/>
      <c r="M8" s="699" t="n"/>
      <c r="N8" s="699" t="n"/>
      <c r="O8" s="699" t="n"/>
      <c r="P8" s="699" t="n"/>
      <c r="Q8" s="699" t="n">
        <v>282.5</v>
      </c>
      <c r="R8" s="699" t="n"/>
      <c r="S8" s="700">
        <f>IF(K8="","n/a ",(K8*C8)/J8)</f>
        <v/>
      </c>
      <c r="T8" s="700">
        <f>IF(L8="","n/a ",(L8*C8)/J8)</f>
        <v/>
      </c>
      <c r="U8" s="700">
        <f>IF(O8="","n/a ",(O8*C8)/J8)</f>
        <v/>
      </c>
      <c r="V8" s="700">
        <f>IF(P8="","n/a ",(P8*C8)/J8)</f>
        <v/>
      </c>
      <c r="W8" s="700">
        <f>IF(M8="","n/a ",(M8*C8)/J8)</f>
        <v/>
      </c>
      <c r="X8" s="700">
        <f>IF(N8="","n/a ",(N8*C8)/J8)</f>
        <v/>
      </c>
      <c r="Y8" s="700">
        <f>IF(Q8="","n/a ",(Q8*C8)/J8)</f>
        <v/>
      </c>
      <c r="Z8" s="700">
        <f>IF(R8="","n/a ",(R8*C8)/J8)</f>
        <v/>
      </c>
      <c r="AB8" s="508" t="inlineStr">
        <is>
          <t>Link</t>
        </is>
      </c>
      <c r="AC8" s="508" t="n"/>
      <c r="AD8" s="508" t="n"/>
      <c r="AE8" s="508" t="n"/>
      <c r="AF8" s="508" t="inlineStr">
        <is>
          <t>Link</t>
        </is>
      </c>
      <c r="AG8" s="508" t="n"/>
      <c r="AI8" s="701" t="inlineStr">
        <is>
          <t>USA</t>
        </is>
      </c>
    </row>
    <row r="9" ht="15.75" customHeight="1" s="356">
      <c r="B9" s="692" t="inlineStr">
        <is>
          <t>USD</t>
        </is>
      </c>
      <c r="C9" s="693">
        <f t="array" ref="C9:C9">_xll.snl.clients.office.excel.functions.spg("$"&amp;$C$2&amp;B9,"SP_PRICE_CLOSE",WORKDAY(E9+1,-1),"Options: NA=NA")</f>
        <v/>
      </c>
      <c r="E9" s="694" t="n">
        <v>45561</v>
      </c>
      <c r="F9" s="695" t="inlineStr">
        <is>
          <t>Stagemount Limited (QuidMarket)</t>
        </is>
      </c>
      <c r="G9" s="695" t="inlineStr">
        <is>
          <t>Propel Holdings Inc.</t>
        </is>
      </c>
      <c r="H9" s="696" t="n"/>
      <c r="I9" s="697" t="n">
        <v>71</v>
      </c>
      <c r="J9" s="698">
        <f>+I9*C9</f>
        <v/>
      </c>
      <c r="K9" s="702" t="n"/>
      <c r="L9" s="699" t="n"/>
      <c r="M9" s="702" t="n">
        <v>9.6</v>
      </c>
      <c r="N9" s="699" t="n"/>
      <c r="O9" s="702" t="n"/>
      <c r="P9" s="699" t="n"/>
      <c r="Q9" s="699" t="n"/>
      <c r="R9" s="699" t="n"/>
      <c r="S9" s="700">
        <f>IF(K9="","n/a ",(K9*C9)/J9)</f>
        <v/>
      </c>
      <c r="T9" s="700">
        <f>IF(L9="","n/a ",(L9*C9)/J9)</f>
        <v/>
      </c>
      <c r="U9" s="700">
        <f>IF(O9="","n/a ",(O9*C9)/J9)</f>
        <v/>
      </c>
      <c r="V9" s="700">
        <f>IF(P9="","n/a ",(P9*C9)/J9)</f>
        <v/>
      </c>
      <c r="W9" s="700" t="n">
        <v>7.4</v>
      </c>
      <c r="X9" s="700">
        <f>IF(N9="","n/a ",(N9*C9)/J9)</f>
        <v/>
      </c>
      <c r="Y9" s="700">
        <f>IF(Q9="","n/a ",(Q9*C9)/J9)</f>
        <v/>
      </c>
      <c r="Z9" s="700">
        <f>IF(R9="","n/a ",(R9*C9)/J9)</f>
        <v/>
      </c>
      <c r="AB9" s="508" t="inlineStr">
        <is>
          <t>Link</t>
        </is>
      </c>
      <c r="AC9" s="508" t="n"/>
      <c r="AD9" s="508" t="n"/>
      <c r="AE9" s="508" t="inlineStr">
        <is>
          <t>Link</t>
        </is>
      </c>
      <c r="AF9" s="508" t="n"/>
      <c r="AG9" s="508" t="n"/>
      <c r="AI9" s="701" t="inlineStr">
        <is>
          <t>GBR</t>
        </is>
      </c>
    </row>
    <row r="10" ht="15.75" customHeight="1" s="356">
      <c r="B10" s="692" t="inlineStr">
        <is>
          <t>USD</t>
        </is>
      </c>
      <c r="C10" s="693">
        <f t="array" ref="C10:C10">_xll.snl.clients.office.excel.functions.spg("$"&amp;$C$2&amp;B10,"SP_PRICE_CLOSE",WORKDAY(E10+1,-1),"Options: NA=NA")</f>
        <v/>
      </c>
      <c r="E10" s="694" t="n">
        <v>44881</v>
      </c>
      <c r="F10" s="695" t="inlineStr">
        <is>
          <t>Elevate Credit, Inc.</t>
        </is>
      </c>
      <c r="G10" s="695" t="inlineStr">
        <is>
          <t>Park Cities Asset Management LLC</t>
        </is>
      </c>
      <c r="H10" s="696" t="n"/>
      <c r="I10" s="697" t="n">
        <v>67</v>
      </c>
      <c r="J10" s="698">
        <f>+I10*C10</f>
        <v/>
      </c>
      <c r="K10" s="702" t="n"/>
      <c r="L10" s="702" t="n"/>
      <c r="M10" s="702" t="n"/>
      <c r="N10" s="702" t="n"/>
      <c r="O10" s="702" t="n"/>
      <c r="P10" s="702" t="n"/>
      <c r="Q10" s="702" t="n">
        <v>169.2</v>
      </c>
      <c r="R10" s="702" t="n"/>
      <c r="S10" s="700">
        <f>IF(K10="","n/a ",(K10*C10)/J10)</f>
        <v/>
      </c>
      <c r="T10" s="700">
        <f>IF(L10="","n/a ",(L10*C10)/J10)</f>
        <v/>
      </c>
      <c r="U10" s="700">
        <f>IF(O10="","n/a ",(O10*C10)/J10)</f>
        <v/>
      </c>
      <c r="V10" s="700">
        <f>IF(P10="","n/a ",(P10*C10)/J10)</f>
        <v/>
      </c>
      <c r="W10" s="700">
        <f>IF(M10="","n/a ",(M10*C10)/J10)</f>
        <v/>
      </c>
      <c r="X10" s="700">
        <f>IF(N10="","n/a ",(N10*C10)/J10)</f>
        <v/>
      </c>
      <c r="Y10" s="700">
        <f>IF(Q10="","n/a ",(Q10*C10)/J10)</f>
        <v/>
      </c>
      <c r="Z10" s="700">
        <f>IF(R10="","n/a ",(R10*C10)/J10)</f>
        <v/>
      </c>
      <c r="AB10" s="508" t="inlineStr">
        <is>
          <t>Link</t>
        </is>
      </c>
      <c r="AC10" s="508" t="n"/>
      <c r="AD10" s="508" t="n"/>
      <c r="AE10" s="508" t="n"/>
      <c r="AF10" s="508" t="inlineStr">
        <is>
          <t>Link</t>
        </is>
      </c>
      <c r="AG10" s="508" t="n"/>
      <c r="AI10" s="701" t="inlineStr">
        <is>
          <t>USA</t>
        </is>
      </c>
    </row>
    <row r="11" ht="15.75" customHeight="1" s="356">
      <c r="B11" s="692" t="inlineStr">
        <is>
          <t>CAD</t>
        </is>
      </c>
      <c r="C11" s="703">
        <f t="array" ref="C11:C11">_xll.snl.clients.office.excel.functions.spg("$"&amp;$C$2&amp;B11,"SP_PRICE_CLOSE",WORKDAY(E11+1,-1),"Options: NA=NA")</f>
        <v/>
      </c>
      <c r="E11" s="694" t="n">
        <v>44298</v>
      </c>
      <c r="F11" s="695" t="inlineStr">
        <is>
          <t>LendCare Holdings Inc.</t>
        </is>
      </c>
      <c r="G11" s="695" t="inlineStr">
        <is>
          <t>goeasy Ltd.</t>
        </is>
      </c>
      <c r="H11" s="696" t="n"/>
      <c r="I11" s="697" t="n">
        <v>320</v>
      </c>
      <c r="J11" s="698">
        <f>+I11*C11</f>
        <v/>
      </c>
      <c r="K11" s="702" t="n"/>
      <c r="L11" s="702" t="n"/>
      <c r="M11" s="702" t="n"/>
      <c r="N11" s="702" t="n"/>
      <c r="O11" s="702" t="n"/>
      <c r="P11" s="702" t="n"/>
      <c r="Q11" s="702" t="n"/>
      <c r="R11" s="702" t="n"/>
      <c r="S11" s="700">
        <f>IF(K11="","n/a ",(K11*C11)/J11)</f>
        <v/>
      </c>
      <c r="T11" s="700">
        <f>IF(L11="","n/a ",(L11*C11)/J11)</f>
        <v/>
      </c>
      <c r="U11" s="700">
        <f>IF(O11="","n/a ",(O11*C11)/J11)</f>
        <v/>
      </c>
      <c r="V11" s="700">
        <f>IF(P11="","n/a ",(P11*C11)/J11)</f>
        <v/>
      </c>
      <c r="W11" s="700">
        <f>IF(M11="","n/a ",(M11*C11)/J11)</f>
        <v/>
      </c>
      <c r="X11" s="700" t="n">
        <v>13</v>
      </c>
      <c r="Y11" s="700">
        <f>IF(Q11="","n/a ",(Q11*C11)/J11)</f>
        <v/>
      </c>
      <c r="Z11" s="700">
        <f>IF(R11="","n/a ",(R11*C11)/J11)</f>
        <v/>
      </c>
      <c r="AB11" s="508" t="inlineStr">
        <is>
          <t>Link</t>
        </is>
      </c>
      <c r="AC11" s="508" t="n"/>
      <c r="AD11" s="508" t="n"/>
      <c r="AE11" s="508" t="inlineStr">
        <is>
          <t>Link</t>
        </is>
      </c>
      <c r="AF11" s="508" t="n"/>
      <c r="AG11" s="508" t="n"/>
      <c r="AI11" s="701" t="inlineStr">
        <is>
          <t>CAN</t>
        </is>
      </c>
    </row>
    <row r="12" ht="15.75" customHeight="1" s="356">
      <c r="B12" s="692" t="inlineStr">
        <is>
          <t>USD</t>
        </is>
      </c>
      <c r="C12" s="703">
        <f t="array" ref="C12:C12">_xll.snl.clients.office.excel.functions.spg("$"&amp;$C$2&amp;B12,"SP_PRICE_CLOSE",WORKDAY(E12+1,-1),"Options: NA=NA")</f>
        <v/>
      </c>
      <c r="E12" s="694" t="n">
        <v>44237</v>
      </c>
      <c r="F12" s="695" t="inlineStr">
        <is>
          <t>Opportunity Financial, LLC (OppFi)</t>
        </is>
      </c>
      <c r="G12" s="695" t="inlineStr">
        <is>
          <t>FG New America Acquisition Corp.</t>
        </is>
      </c>
      <c r="H12" s="696" t="n"/>
      <c r="I12" s="697" t="n">
        <v>800</v>
      </c>
      <c r="J12" s="698">
        <f>+I12*C12</f>
        <v/>
      </c>
      <c r="K12" s="702" t="n"/>
      <c r="L12" s="702" t="n"/>
      <c r="M12" s="702" t="n"/>
      <c r="N12" s="702" t="n"/>
      <c r="O12" s="702" t="n"/>
      <c r="P12" s="702" t="n"/>
      <c r="Q12" s="702" t="n"/>
      <c r="R12" s="702" t="n"/>
      <c r="S12" s="700">
        <f>IF(K12="","n/a ",(K12*C12)/J12)</f>
        <v/>
      </c>
      <c r="T12" s="700">
        <f>IF(L12="","n/a ",(L12*C12)/J12)</f>
        <v/>
      </c>
      <c r="U12" s="700">
        <f>IF(O12="","n/a ",(O12*C12)/J12)</f>
        <v/>
      </c>
      <c r="V12" s="700">
        <f>IF(P12="","n/a ",(P12*C12)/J12)</f>
        <v/>
      </c>
      <c r="W12" s="700">
        <f>IF(M12="","n/a ",(M12*C12)/J12)</f>
        <v/>
      </c>
      <c r="X12" s="700" t="n">
        <v>12.2</v>
      </c>
      <c r="Y12" s="700">
        <f>IF(Q12="","n/a ",(Q12*C12)/J12)</f>
        <v/>
      </c>
      <c r="Z12" s="700">
        <f>IF(R12="","n/a ",(R12*C12)/J12)</f>
        <v/>
      </c>
      <c r="AB12" s="508" t="inlineStr">
        <is>
          <t>Link</t>
        </is>
      </c>
      <c r="AC12" s="508" t="n"/>
      <c r="AD12" s="508" t="n"/>
      <c r="AE12" s="508" t="inlineStr">
        <is>
          <t>Link</t>
        </is>
      </c>
      <c r="AF12" s="508" t="n"/>
      <c r="AG12" s="508" t="n"/>
      <c r="AI12" s="701" t="inlineStr">
        <is>
          <t>USA</t>
        </is>
      </c>
    </row>
    <row r="13" ht="15.75" customHeight="1" s="356">
      <c r="B13" s="692" t="inlineStr">
        <is>
          <t>USD</t>
        </is>
      </c>
      <c r="C13" s="693">
        <f t="array" ref="C13:C13">_xll.snl.clients.office.excel.functions.spg("$"&amp;$C$2&amp;B13,"SP_PRICE_CLOSE",WORKDAY(E13+1,-1),"Options: NA=NA")</f>
        <v/>
      </c>
      <c r="E13" s="704" t="n">
        <v>44040</v>
      </c>
      <c r="F13" s="705" t="inlineStr">
        <is>
          <t>On Deck Capital, Inc.</t>
        </is>
      </c>
      <c r="G13" s="705" t="inlineStr">
        <is>
          <t>Enova International, Inc.</t>
        </is>
      </c>
      <c r="H13" s="706" t="n"/>
      <c r="I13" s="707" t="n">
        <v>90</v>
      </c>
      <c r="J13" s="698">
        <f>+I13*C13</f>
        <v/>
      </c>
      <c r="K13" s="708" t="n"/>
      <c r="L13" s="708" t="n"/>
      <c r="M13" s="708" t="n"/>
      <c r="N13" s="708" t="n"/>
      <c r="O13" s="708" t="n"/>
      <c r="P13" s="708" t="n"/>
      <c r="Q13" s="702" t="n">
        <v>219.1</v>
      </c>
      <c r="R13" s="702" t="n"/>
      <c r="S13" s="700">
        <f>IF(K13="","n/a ",(K13*C13)/J13)</f>
        <v/>
      </c>
      <c r="T13" s="700">
        <f>IF(L13="","n/a ",(L13*C13)/J13)</f>
        <v/>
      </c>
      <c r="U13" s="700">
        <f>IF(O13="","n/a ",(O13*C13)/J13)</f>
        <v/>
      </c>
      <c r="V13" s="700">
        <f>IF(P13="","n/a ",(P13*C13)/J13)</f>
        <v/>
      </c>
      <c r="W13" s="700">
        <f>IF(M13="","n/a ",(M13*C13)/J13)</f>
        <v/>
      </c>
      <c r="X13" s="700">
        <f>IF(N13="","n/a ",(N13*C13)/J13)</f>
        <v/>
      </c>
      <c r="Y13" s="700">
        <f>IF(Q13="","n/a ",(Q13*C13)/J13)</f>
        <v/>
      </c>
      <c r="Z13" s="700">
        <f>IF(R13="","n/a ",(R13*C13)/J13)</f>
        <v/>
      </c>
      <c r="AB13" s="508" t="inlineStr">
        <is>
          <t>Link</t>
        </is>
      </c>
      <c r="AC13" s="508" t="n"/>
      <c r="AD13" s="508" t="n"/>
      <c r="AE13" s="508" t="n"/>
      <c r="AF13" s="508" t="inlineStr">
        <is>
          <t>Link</t>
        </is>
      </c>
      <c r="AG13" s="508" t="n"/>
      <c r="AI13" s="701" t="inlineStr">
        <is>
          <t>USA</t>
        </is>
      </c>
    </row>
    <row r="14" ht="15.75" customHeight="1" s="356">
      <c r="E14" s="709" t="inlineStr">
        <is>
          <t>Group Average</t>
        </is>
      </c>
      <c r="F14" s="709" t="n"/>
      <c r="G14" s="709" t="n"/>
      <c r="H14" s="709" t="n"/>
      <c r="I14" s="709" t="n"/>
      <c r="J14" s="709" t="n"/>
      <c r="K14" s="709" t="n"/>
      <c r="L14" s="709" t="n"/>
      <c r="M14" s="709" t="n"/>
      <c r="N14" s="709" t="n"/>
      <c r="O14" s="709" t="n"/>
      <c r="P14" s="709" t="n"/>
      <c r="Q14" s="709" t="n"/>
      <c r="R14" s="709" t="n"/>
      <c r="S14" s="710">
        <f>IFERROR(AVERAGE(S8:S13),"n/a ")</f>
        <v/>
      </c>
      <c r="T14" s="710">
        <f>IFERROR(AVERAGE(T8:T13),"n/a ")</f>
        <v/>
      </c>
      <c r="U14" s="710">
        <f>IFERROR(AVERAGE(U8:U13),"n/a ")</f>
        <v/>
      </c>
      <c r="V14" s="710">
        <f>IFERROR(AVERAGE(V8:V13),"n/a ")</f>
        <v/>
      </c>
      <c r="W14" s="710">
        <f>IFERROR(AVERAGE(W8:W13),"n/a ")</f>
        <v/>
      </c>
      <c r="X14" s="710">
        <f>IFERROR(AVERAGE(X8:X13),"n/a ")</f>
        <v/>
      </c>
      <c r="Y14" s="710">
        <f>IFERROR(AVERAGE(Y8:Y13),"n/a ")</f>
        <v/>
      </c>
      <c r="Z14" s="710">
        <f>IFERROR(AVERAGE(Z8:Z13),"n/a ")</f>
        <v/>
      </c>
      <c r="AI14" s="508" t="n"/>
    </row>
    <row r="15" ht="3" customHeight="1" s="356">
      <c r="H15" s="711" t="n"/>
      <c r="AI15" s="508" t="n"/>
    </row>
    <row r="16" ht="14.25" customHeight="1" s="356">
      <c r="E16" s="691" t="inlineStr">
        <is>
          <t>Specialty Finance &amp; Bank Consolidation</t>
        </is>
      </c>
      <c r="H16" s="711" t="n"/>
      <c r="AI16" s="508" t="n"/>
    </row>
    <row r="17" ht="15.75" customHeight="1" s="356">
      <c r="B17" s="692" t="inlineStr">
        <is>
          <t>CAD</t>
        </is>
      </c>
      <c r="C17" s="703">
        <f t="array" ref="C17:C17">_xll.snl.clients.office.excel.functions.spg("$"&amp;$C$2&amp;B17,"SP_PRICE_CLOSE",WORKDAY(E17+1,-1),"Options: NA=NA")</f>
        <v/>
      </c>
      <c r="E17" s="694" t="n">
        <v>45865</v>
      </c>
      <c r="F17" s="695" t="inlineStr">
        <is>
          <t>First National Financial Corporation</t>
        </is>
      </c>
      <c r="G17" s="695" t="inlineStr">
        <is>
          <t>Birch Hill Equity Partners / Brookfield</t>
        </is>
      </c>
      <c r="H17" s="696" t="n"/>
      <c r="I17" s="697" t="n">
        <v>2900</v>
      </c>
      <c r="J17" s="698">
        <f>+I17*C17</f>
        <v/>
      </c>
      <c r="K17" s="702" t="n"/>
      <c r="L17" s="702" t="n"/>
      <c r="M17" s="702" t="n">
        <v>203.4</v>
      </c>
      <c r="N17" s="702" t="n"/>
      <c r="O17" s="702" t="n"/>
      <c r="P17" s="702" t="n"/>
      <c r="Q17" s="702" t="n"/>
      <c r="R17" s="702" t="n"/>
      <c r="S17" s="700">
        <f>IF(K17="","n/a ",(K17*C17)/J17)</f>
        <v/>
      </c>
      <c r="T17" s="700">
        <f>IF(L17="","n/a ",(L17*C17)/J17)</f>
        <v/>
      </c>
      <c r="U17" s="700">
        <f>IF(O17="","n/a ",(O17*C17)/J17)</f>
        <v/>
      </c>
      <c r="V17" s="700">
        <f>IF(P17="","n/a ",(P17*C17)/J17)</f>
        <v/>
      </c>
      <c r="W17" s="700">
        <f>IF(M17="","n/a ",(M17*C17)/J17)</f>
        <v/>
      </c>
      <c r="X17" s="700">
        <f>IF(N17="","n/a ",(N17*C17)/J17)</f>
        <v/>
      </c>
      <c r="Y17" s="700">
        <f>IF(Q17="","n/a ",(Q17*C17)/J17)</f>
        <v/>
      </c>
      <c r="Z17" s="700">
        <f>IF(R17="","n/a ",(R17*C17)/J17)</f>
        <v/>
      </c>
      <c r="AB17" s="508" t="inlineStr">
        <is>
          <t>Link</t>
        </is>
      </c>
      <c r="AC17" s="508" t="n"/>
      <c r="AD17" s="508" t="n"/>
      <c r="AE17" s="508" t="inlineStr">
        <is>
          <t>Link</t>
        </is>
      </c>
      <c r="AF17" s="508" t="n"/>
      <c r="AG17" s="508" t="n"/>
      <c r="AH17" s="712" t="n"/>
      <c r="AI17" s="701" t="inlineStr">
        <is>
          <t>CAN</t>
        </is>
      </c>
    </row>
    <row r="18" ht="15.75" customHeight="1" s="356">
      <c r="B18" s="692" t="inlineStr">
        <is>
          <t>CAD</t>
        </is>
      </c>
      <c r="C18" s="703">
        <f t="array" ref="C18:C18">_xll.snl.clients.office.excel.functions.spg("$"&amp;$C$2&amp;B18,"SP_PRICE_CLOSE",WORKDAY(E18+1,-1),"Options: NA=NA")</f>
        <v/>
      </c>
      <c r="E18" s="694" t="n">
        <v>45454</v>
      </c>
      <c r="F18" s="695" t="inlineStr">
        <is>
          <t>Canadian Western Bank</t>
        </is>
      </c>
      <c r="G18" s="695" t="inlineStr">
        <is>
          <t>National Bank of Canada</t>
        </is>
      </c>
      <c r="H18" s="696" t="n"/>
      <c r="I18" s="697" t="n">
        <v>5000</v>
      </c>
      <c r="J18" s="698">
        <f>+I18*C18</f>
        <v/>
      </c>
      <c r="K18" s="702" t="n"/>
      <c r="L18" s="702" t="n"/>
      <c r="M18" s="702" t="n"/>
      <c r="N18" s="702" t="n"/>
      <c r="O18" s="702" t="n"/>
      <c r="P18" s="702" t="n"/>
      <c r="Q18" s="702" t="n">
        <v>3584.7</v>
      </c>
      <c r="R18" s="702" t="n"/>
      <c r="S18" s="700">
        <f>IF(K18="","n/a ",(K18*C18)/J18)</f>
        <v/>
      </c>
      <c r="T18" s="700">
        <f>IF(L18="","n/a ",(L18*C18)/J18)</f>
        <v/>
      </c>
      <c r="U18" s="700">
        <f>IF(O18="","n/a ",(O18*C18)/J18)</f>
        <v/>
      </c>
      <c r="V18" s="700">
        <f>IF(P18="","n/a ",(P18*C18)/J18)</f>
        <v/>
      </c>
      <c r="W18" s="700">
        <f>IF(M18="","n/a ",(M18*C18)/J18)</f>
        <v/>
      </c>
      <c r="X18" s="700">
        <f>IF(N18="","n/a ",(N18*C18)/J18)</f>
        <v/>
      </c>
      <c r="Y18" s="700">
        <f>IF(Q18="","n/a ",(Q18*C18)/J18)</f>
        <v/>
      </c>
      <c r="Z18" s="700">
        <f>IF(R18="","n/a ",(R18*C18)/J18)</f>
        <v/>
      </c>
      <c r="AB18" s="508" t="inlineStr">
        <is>
          <t>Link</t>
        </is>
      </c>
      <c r="AC18" s="508" t="n"/>
      <c r="AD18" s="508" t="n"/>
      <c r="AE18" s="508" t="n"/>
      <c r="AF18" s="508" t="inlineStr">
        <is>
          <t>Link</t>
        </is>
      </c>
      <c r="AG18" s="508" t="n"/>
      <c r="AH18" s="712" t="n"/>
      <c r="AI18" s="701" t="inlineStr">
        <is>
          <t>CAN</t>
        </is>
      </c>
    </row>
    <row r="19" ht="15.75" customHeight="1" s="356">
      <c r="B19" s="692" t="inlineStr">
        <is>
          <t>CAD</t>
        </is>
      </c>
      <c r="C19" s="703">
        <f t="array" ref="C19:C19">_xll.snl.clients.office.excel.functions.spg("$"&amp;$C$2&amp;B19,"SP_PRICE_CLOSE",WORKDAY(E19+1,-1),"Options: NA=NA")</f>
        <v/>
      </c>
      <c r="E19" s="694" t="n">
        <v>44894</v>
      </c>
      <c r="F19" s="695" t="inlineStr">
        <is>
          <t>HSBC Bank Canada</t>
        </is>
      </c>
      <c r="G19" s="695" t="inlineStr">
        <is>
          <t>Royal Bank of Canada</t>
        </is>
      </c>
      <c r="H19" s="696" t="n"/>
      <c r="I19" s="697" t="n">
        <v>13500</v>
      </c>
      <c r="J19" s="698">
        <f>+I19*C19</f>
        <v/>
      </c>
      <c r="K19" s="702" t="n"/>
      <c r="L19" s="702" t="n"/>
      <c r="M19" s="702" t="n"/>
      <c r="N19" s="702" t="n"/>
      <c r="O19" s="702" t="n"/>
      <c r="P19" s="702" t="n"/>
      <c r="Q19" s="702" t="n"/>
      <c r="R19" s="702" t="n"/>
      <c r="S19" s="700">
        <f>IF(K19="","n/a ",(K19*C19)/J19)</f>
        <v/>
      </c>
      <c r="T19" s="700">
        <f>IF(L19="","n/a ",(L19*C19)/J19)</f>
        <v/>
      </c>
      <c r="U19" s="700">
        <f>IF(O19="","n/a ",(O19*C19)/J19)</f>
        <v/>
      </c>
      <c r="V19" s="700">
        <f>IF(P19="","n/a ",(P19*C19)/J19)</f>
        <v/>
      </c>
      <c r="W19" s="700">
        <f>IF(M19="","n/a ",(M19*C19)/J19)</f>
        <v/>
      </c>
      <c r="X19" s="700" t="n">
        <v>9.4</v>
      </c>
      <c r="Y19" s="700">
        <f>IF(Q19="","n/a ",(Q19*C19)/J19)</f>
        <v/>
      </c>
      <c r="Z19" s="700">
        <f>IF(R19="","n/a ",(R19*C19)/J19)</f>
        <v/>
      </c>
      <c r="AB19" s="508" t="inlineStr">
        <is>
          <t>Link</t>
        </is>
      </c>
      <c r="AC19" s="508" t="n"/>
      <c r="AD19" s="508" t="n"/>
      <c r="AE19" s="508" t="inlineStr">
        <is>
          <t>Link</t>
        </is>
      </c>
      <c r="AF19" s="508" t="n"/>
      <c r="AG19" s="508" t="n"/>
      <c r="AH19" s="712" t="n"/>
      <c r="AI19" s="701" t="inlineStr">
        <is>
          <t>CAN</t>
        </is>
      </c>
    </row>
    <row r="20" ht="15.75" customHeight="1" s="356">
      <c r="B20" s="692" t="inlineStr">
        <is>
          <t>CAD</t>
        </is>
      </c>
      <c r="C20" s="703">
        <f t="array" ref="C20:C20">_xll.snl.clients.office.excel.functions.spg("$"&amp;$C$2&amp;B20,"SP_PRICE_CLOSE",WORKDAY(E20+1,-1),"Options: NA=NA")</f>
        <v/>
      </c>
      <c r="E20" s="694" t="n">
        <v>44886</v>
      </c>
      <c r="F20" s="695" t="inlineStr">
        <is>
          <t>Home Capital Group Inc.</t>
        </is>
      </c>
      <c r="G20" s="695" t="inlineStr">
        <is>
          <t>Smith Financial Corporation</t>
        </is>
      </c>
      <c r="H20" s="696" t="n"/>
      <c r="I20" s="697" t="n">
        <v>1700</v>
      </c>
      <c r="J20" s="698">
        <f>+I20*C20</f>
        <v/>
      </c>
      <c r="K20" s="702" t="n"/>
      <c r="L20" s="702" t="n"/>
      <c r="M20" s="702" t="n">
        <v>244.7</v>
      </c>
      <c r="N20" s="702" t="n"/>
      <c r="O20" s="702" t="n"/>
      <c r="P20" s="702" t="n"/>
      <c r="Q20" s="702" t="n">
        <v>1527</v>
      </c>
      <c r="R20" s="702" t="n"/>
      <c r="S20" s="700">
        <f>IF(K20="","n/a ",(K20*C20)/J20)</f>
        <v/>
      </c>
      <c r="T20" s="700">
        <f>IF(L20="","n/a ",(L20*C20)/J20)</f>
        <v/>
      </c>
      <c r="U20" s="700">
        <f>IF(O20="","n/a ",(O20*C20)/J20)</f>
        <v/>
      </c>
      <c r="V20" s="700">
        <f>IF(P20="","n/a ",(P20*C20)/J20)</f>
        <v/>
      </c>
      <c r="W20" s="700">
        <f>IF(M20="","n/a ",(M20*C20)/J20)</f>
        <v/>
      </c>
      <c r="X20" s="700">
        <f>IF(N20="","n/a ",(N20*C20)/J20)</f>
        <v/>
      </c>
      <c r="Y20" s="700">
        <f>IF(Q20="","n/a ",(Q20*C20)/J20)</f>
        <v/>
      </c>
      <c r="Z20" s="700">
        <f>IF(R20="","n/a ",(R20*C20)/J20)</f>
        <v/>
      </c>
      <c r="AB20" s="508" t="inlineStr">
        <is>
          <t>Link</t>
        </is>
      </c>
      <c r="AC20" s="508" t="n"/>
      <c r="AD20" s="508" t="n"/>
      <c r="AE20" s="508" t="inlineStr">
        <is>
          <t>Link</t>
        </is>
      </c>
      <c r="AF20" s="508" t="inlineStr">
        <is>
          <t>Link</t>
        </is>
      </c>
      <c r="AG20" s="508" t="n"/>
      <c r="AI20" s="701" t="inlineStr">
        <is>
          <t>CAN</t>
        </is>
      </c>
    </row>
    <row r="21" ht="15.75" customHeight="1" s="356">
      <c r="B21" s="692" t="inlineStr">
        <is>
          <t>CAD</t>
        </is>
      </c>
      <c r="C21" s="703">
        <f t="array" ref="C21:C21">_xll.snl.clients.office.excel.functions.spg("$"&amp;$C$2&amp;B21,"SP_PRICE_CLOSE",WORKDAY(E21+1,-1),"Options: NA=NA")</f>
        <v/>
      </c>
      <c r="E21" s="694" t="n">
        <v>44599</v>
      </c>
      <c r="F21" s="695" t="inlineStr">
        <is>
          <t>Concentra Bank</t>
        </is>
      </c>
      <c r="G21" s="695" t="inlineStr">
        <is>
          <t>EQB Inc. (Equitable Bank)</t>
        </is>
      </c>
      <c r="H21" s="696" t="n"/>
      <c r="I21" s="697" t="n">
        <v>495.4</v>
      </c>
      <c r="J21" s="698">
        <f>+I21*C21</f>
        <v/>
      </c>
      <c r="K21" s="702" t="n"/>
      <c r="L21" s="702" t="n"/>
      <c r="M21" s="702" t="n"/>
      <c r="N21" s="702" t="n"/>
      <c r="O21" s="702" t="n"/>
      <c r="P21" s="702" t="n"/>
      <c r="Q21" s="702" t="n">
        <v>459.7</v>
      </c>
      <c r="R21" s="702" t="n"/>
      <c r="S21" s="700">
        <f>IF(K21="","n/a ",(K21*C21)/J21)</f>
        <v/>
      </c>
      <c r="T21" s="700">
        <f>IF(L21="","n/a ",(L21*C21)/J21)</f>
        <v/>
      </c>
      <c r="U21" s="700">
        <f>IF(O21="","n/a ",(O21*C21)/J21)</f>
        <v/>
      </c>
      <c r="V21" s="700">
        <f>IF(P21="","n/a ",(P21*C21)/J21)</f>
        <v/>
      </c>
      <c r="W21" s="700">
        <f>IF(M21="","n/a ",(M21*C21)/J21)</f>
        <v/>
      </c>
      <c r="X21" s="700">
        <f>IF(N21="","n/a ",(N21*C21)/J21)</f>
        <v/>
      </c>
      <c r="Y21" s="700">
        <f>IF(Q21="","n/a ",(Q21*C21)/J21)</f>
        <v/>
      </c>
      <c r="Z21" s="700">
        <f>IF(R21="","n/a ",(R21*C21)/J21)</f>
        <v/>
      </c>
      <c r="AB21" s="508" t="inlineStr">
        <is>
          <t>Link</t>
        </is>
      </c>
      <c r="AC21" s="508" t="n"/>
      <c r="AD21" s="508" t="n"/>
      <c r="AE21" s="508" t="n"/>
      <c r="AF21" s="508" t="inlineStr">
        <is>
          <t>Link</t>
        </is>
      </c>
      <c r="AG21" s="508" t="n"/>
      <c r="AH21" s="712" t="n"/>
      <c r="AI21" s="701" t="inlineStr">
        <is>
          <t>CAN</t>
        </is>
      </c>
    </row>
    <row r="22" ht="15.75" customHeight="1" s="356">
      <c r="B22" s="692" t="inlineStr">
        <is>
          <t>USD</t>
        </is>
      </c>
      <c r="C22" s="693">
        <f t="array" ref="C22:C22">_xll.snl.clients.office.excel.functions.spg("$"&amp;$C$2&amp;B22,"SP_PRICE_CLOSE",WORKDAY(E22+1,-1),"Options: NA=NA")</f>
        <v/>
      </c>
      <c r="E22" s="694" t="n">
        <v>44355</v>
      </c>
      <c r="F22" s="695" t="inlineStr">
        <is>
          <t>EnerBank USA</t>
        </is>
      </c>
      <c r="G22" s="695" t="inlineStr">
        <is>
          <t>Regions Bank</t>
        </is>
      </c>
      <c r="H22" s="696" t="n"/>
      <c r="I22" s="697" t="n">
        <v>960</v>
      </c>
      <c r="J22" s="698">
        <f>+I22*C22</f>
        <v/>
      </c>
      <c r="K22" s="702" t="n"/>
      <c r="L22" s="702" t="n"/>
      <c r="M22" s="702" t="n"/>
      <c r="N22" s="702" t="n"/>
      <c r="O22" s="702" t="n"/>
      <c r="P22" s="702" t="n"/>
      <c r="Q22" s="702" t="n"/>
      <c r="R22" s="702" t="n">
        <v>318</v>
      </c>
      <c r="S22" s="700">
        <f>IF(K22="","n/a ",(K22*C22)/J22)</f>
        <v/>
      </c>
      <c r="T22" s="700">
        <f>IF(L22="","n/a ",(L22*C22)/J22)</f>
        <v/>
      </c>
      <c r="U22" s="700">
        <f>IF(O22="","n/a ",(O22*C22)/J22)</f>
        <v/>
      </c>
      <c r="V22" s="700">
        <f>IF(P22="","n/a ",(P22*C22)/J22)</f>
        <v/>
      </c>
      <c r="W22" s="700">
        <f>IF(M22="","n/a ",(M22*C22)/J22)</f>
        <v/>
      </c>
      <c r="X22" s="700">
        <f>IF(N22="","n/a ",(N22*C22)/J22)</f>
        <v/>
      </c>
      <c r="Y22" s="700">
        <f>IF(Q22="","n/a ",(Q22*C22)/J22)</f>
        <v/>
      </c>
      <c r="Z22" s="700">
        <f>IF(R22="","n/a ",(R22*C22)/J22)</f>
        <v/>
      </c>
      <c r="AB22" s="508" t="inlineStr">
        <is>
          <t>Link</t>
        </is>
      </c>
      <c r="AC22" s="508" t="n"/>
      <c r="AD22" s="508" t="n"/>
      <c r="AE22" s="508" t="n"/>
      <c r="AF22" s="508" t="n"/>
      <c r="AG22" s="508" t="inlineStr">
        <is>
          <t>Link</t>
        </is>
      </c>
      <c r="AI22" s="701" t="inlineStr">
        <is>
          <t>USA</t>
        </is>
      </c>
    </row>
    <row r="23" ht="15.75" customHeight="1" s="356">
      <c r="E23" s="709" t="inlineStr">
        <is>
          <t>Group Average</t>
        </is>
      </c>
      <c r="F23" s="709" t="n"/>
      <c r="G23" s="709" t="n"/>
      <c r="H23" s="709" t="n"/>
      <c r="I23" s="709" t="n"/>
      <c r="J23" s="709" t="n"/>
      <c r="K23" s="709" t="n"/>
      <c r="L23" s="709" t="n"/>
      <c r="M23" s="709" t="n"/>
      <c r="N23" s="709" t="n"/>
      <c r="O23" s="709" t="n"/>
      <c r="P23" s="709" t="n"/>
      <c r="Q23" s="709" t="n"/>
      <c r="R23" s="709" t="n"/>
      <c r="S23" s="710">
        <f>IFERROR(AVERAGE(S17:S22),"n/a ")</f>
        <v/>
      </c>
      <c r="T23" s="710">
        <f>IFERROR(AVERAGE(T17:T22),"n/a ")</f>
        <v/>
      </c>
      <c r="U23" s="710">
        <f>IFERROR(AVERAGE(U17:U22),"n/a ")</f>
        <v/>
      </c>
      <c r="V23" s="710">
        <f>IFERROR(AVERAGE(V17:V22),"n/a ")</f>
        <v/>
      </c>
      <c r="W23" s="710">
        <f>IFERROR(AVERAGE(W17:W22),"n/a ")</f>
        <v/>
      </c>
      <c r="X23" s="710">
        <f>IFERROR(AVERAGE(X17:X22),"n/a ")</f>
        <v/>
      </c>
      <c r="Y23" s="710">
        <f>IFERROR(AVERAGE(Y17:Y22),"n/a ")</f>
        <v/>
      </c>
      <c r="Z23" s="710">
        <f>IFERROR(AVERAGE(Z17:Z22),"n/a ")</f>
        <v/>
      </c>
    </row>
    <row r="24" ht="3" customHeight="1" s="356">
      <c r="E24" s="713" t="n"/>
      <c r="F24" s="713" t="n"/>
      <c r="G24" s="713" t="n"/>
      <c r="H24" s="714" t="n"/>
      <c r="I24" s="713" t="n"/>
      <c r="J24" s="713" t="n"/>
      <c r="K24" s="713" t="n"/>
      <c r="L24" s="713" t="n"/>
      <c r="M24" s="713" t="n"/>
      <c r="N24" s="713" t="n"/>
      <c r="O24" s="713" t="n"/>
      <c r="P24" s="713" t="n"/>
      <c r="Q24" s="713" t="n"/>
      <c r="R24" s="713" t="n"/>
      <c r="S24" s="713" t="n"/>
      <c r="T24" s="713" t="n"/>
      <c r="U24" s="713" t="n"/>
      <c r="V24" s="713" t="n"/>
      <c r="W24" s="713" t="n"/>
      <c r="X24" s="713" t="n"/>
      <c r="Y24" s="713" t="n"/>
      <c r="Z24" s="713" t="n"/>
    </row>
    <row r="25" ht="15.75" customHeight="1" s="356">
      <c r="E25" s="536" t="inlineStr">
        <is>
          <t>Global Average</t>
        </is>
      </c>
      <c r="F25" s="536" t="n"/>
      <c r="G25" s="536" t="n"/>
      <c r="H25" s="536" t="n"/>
      <c r="I25" s="536" t="n"/>
      <c r="J25" s="536" t="n"/>
      <c r="K25" s="536" t="n"/>
      <c r="L25" s="536" t="n"/>
      <c r="M25" s="536" t="n"/>
      <c r="N25" s="536" t="n"/>
      <c r="O25" s="536" t="n"/>
      <c r="P25" s="536" t="n"/>
      <c r="Q25" s="536" t="n"/>
      <c r="R25" s="536" t="n"/>
      <c r="S25" s="715">
        <f>IFERROR(AVERAGE(S17:S22,S8:S13),"n/a ")</f>
        <v/>
      </c>
      <c r="T25" s="715">
        <f>IFERROR(AVERAGE(T17:T22,T8:T13),"n/a ")</f>
        <v/>
      </c>
      <c r="U25" s="715">
        <f>IFERROR(AVERAGE(U17:U22,U8:U13),"n/a ")</f>
        <v/>
      </c>
      <c r="V25" s="715">
        <f>IFERROR(AVERAGE(V17:V22,V8:V13),"n/a ")</f>
        <v/>
      </c>
      <c r="W25" s="715">
        <f>IFERROR(AVERAGE(W17:W22,W8:W13),"n/a ")</f>
        <v/>
      </c>
      <c r="X25" s="715">
        <f>IFERROR(AVERAGE(X17:X22,X8:X13),"n/a ")</f>
        <v/>
      </c>
      <c r="Y25" s="715">
        <f>IFERROR(AVERAGE(Y17:Y22,Y8:Y13),"n/a ")</f>
        <v/>
      </c>
      <c r="Z25" s="715">
        <f>IFERROR(AVERAGE(Z17:Z22,Z8:Z13),"n/a ")</f>
        <v/>
      </c>
    </row>
    <row r="26" ht="15.75" customHeight="1" s="356">
      <c r="E26" s="545" t="inlineStr">
        <is>
          <t>Global Median</t>
        </is>
      </c>
      <c r="F26" s="545" t="n"/>
      <c r="G26" s="545" t="n"/>
      <c r="H26" s="545" t="n"/>
      <c r="I26" s="545" t="n"/>
      <c r="J26" s="545" t="n"/>
      <c r="K26" s="545" t="n"/>
      <c r="L26" s="545" t="n"/>
      <c r="M26" s="545" t="n"/>
      <c r="N26" s="545" t="n"/>
      <c r="O26" s="545" t="n"/>
      <c r="P26" s="545" t="n"/>
      <c r="Q26" s="545" t="n"/>
      <c r="R26" s="545" t="n"/>
      <c r="S26" s="716">
        <f>IFERROR(MEDIAN(S17:S22,S8:S13),"n/a ")</f>
        <v/>
      </c>
      <c r="T26" s="716">
        <f>IFERROR(MEDIAN(T17:T22,T8:T13),"n/a ")</f>
        <v/>
      </c>
      <c r="U26" s="716">
        <f>IFERROR(MEDIAN(U17:U22,U8:U13),"n/a ")</f>
        <v/>
      </c>
      <c r="V26" s="716">
        <f>IFERROR(MEDIAN(V17:V22,V8:V13),"n/a ")</f>
        <v/>
      </c>
      <c r="W26" s="716">
        <f>IFERROR(MEDIAN(W17:W22,W8:W13),"n/a ")</f>
        <v/>
      </c>
      <c r="X26" s="716">
        <f>IFERROR(MEDIAN(X17:X22,X8:X13),"n/a ")</f>
        <v/>
      </c>
      <c r="Y26" s="716">
        <f>IFERROR(MEDIAN(Y17:Y22,Y8:Y13),"n/a ")</f>
        <v/>
      </c>
      <c r="Z26" s="716">
        <f>IFERROR(MEDIAN(Z17:Z22,Z8:Z13),"n/a ")</f>
        <v/>
      </c>
    </row>
    <row r="27" ht="3" customHeight="1" s="356">
      <c r="E27" s="533" t="n"/>
    </row>
    <row r="29" ht="15.75" customHeight="1" s="356">
      <c r="E29" s="717" t="inlineStr">
        <is>
          <t>25th Percentile</t>
        </is>
      </c>
      <c r="F29" s="718" t="n"/>
      <c r="G29" s="718" t="n"/>
      <c r="H29" s="718" t="n"/>
      <c r="I29" s="718" t="n"/>
      <c r="J29" s="718" t="n"/>
      <c r="K29" s="718" t="n"/>
      <c r="L29" s="718" t="n"/>
      <c r="M29" s="718" t="n"/>
      <c r="N29" s="718" t="n"/>
      <c r="O29" s="718" t="n"/>
      <c r="P29" s="718" t="n"/>
      <c r="Q29" s="718" t="n"/>
      <c r="R29" s="718" t="n"/>
      <c r="S29" s="551">
        <f>IFERROR(_xlfn.PERCENTILE.INC((S8:S13,S17:S22),0.25),"n/a ")</f>
        <v/>
      </c>
      <c r="T29" s="551">
        <f>IFERROR(_xlfn.PERCENTILE.INC((T8:T13,T17:T22),0.25),"n/a ")</f>
        <v/>
      </c>
      <c r="U29" s="551">
        <f>IFERROR(_xlfn.PERCENTILE.INC((U8:U13,U17:U22),0.25),"n/a ")</f>
        <v/>
      </c>
      <c r="V29" s="551">
        <f>IFERROR(_xlfn.PERCENTILE.INC((V8:V13,V17:V22),0.25),"n/a ")</f>
        <v/>
      </c>
      <c r="W29" s="551">
        <f>IFERROR(_xlfn.PERCENTILE.INC((W8:W13,W17:W22),0.25),"n/a ")</f>
        <v/>
      </c>
      <c r="X29" s="551">
        <f>IFERROR(_xlfn.PERCENTILE.INC((X8:X13,X17:X22),0.25),"n/a ")</f>
        <v/>
      </c>
      <c r="Y29" s="551">
        <f>IFERROR(_xlfn.PERCENTILE.INC((Y8:Y13,Y17:Y22),0.25),"n/a ")</f>
        <v/>
      </c>
      <c r="Z29" s="551">
        <f>IFERROR(_xlfn.PERCENTILE.INC((Z8:Z13,Z17:Z22),0.25),"n/a ")</f>
        <v/>
      </c>
    </row>
    <row r="30" ht="15.75" customHeight="1" s="356">
      <c r="E30" s="439" t="inlineStr">
        <is>
          <t>75th Percentile</t>
        </is>
      </c>
      <c r="F30" s="719" t="n"/>
      <c r="G30" s="719" t="n"/>
      <c r="H30" s="719" t="n"/>
      <c r="I30" s="719" t="n"/>
      <c r="J30" s="719" t="n"/>
      <c r="K30" s="719" t="n"/>
      <c r="L30" s="719" t="n"/>
      <c r="M30" s="719" t="n"/>
      <c r="N30" s="719" t="n"/>
      <c r="O30" s="719" t="n"/>
      <c r="P30" s="719" t="n"/>
      <c r="Q30" s="719" t="n"/>
      <c r="R30" s="719" t="n"/>
      <c r="S30" s="551">
        <f>IFERROR(_xlfn.PERCENTILE.INC((S8:S13,S17:S22),0.75),"n/a ")</f>
        <v/>
      </c>
      <c r="T30" s="551">
        <f>IFERROR(_xlfn.PERCENTILE.INC((T8:T13,T17:T22),0.75),"n/a ")</f>
        <v/>
      </c>
      <c r="U30" s="551">
        <f>IFERROR(_xlfn.PERCENTILE.INC((U8:U13,U17:U22),0.75),"n/a ")</f>
        <v/>
      </c>
      <c r="V30" s="551">
        <f>IFERROR(_xlfn.PERCENTILE.INC((V8:V13,V17:V22),0.75),"n/a ")</f>
        <v/>
      </c>
      <c r="W30" s="551">
        <f>IFERROR(_xlfn.PERCENTILE.INC((W8:W13,W17:W22),0.75),"n/a ")</f>
        <v/>
      </c>
      <c r="X30" s="551">
        <f>IFERROR(_xlfn.PERCENTILE.INC((X8:X13,X17:X22),0.75),"n/a ")</f>
        <v/>
      </c>
      <c r="Y30" s="551">
        <f>IFERROR(_xlfn.PERCENTILE.INC((Y8:Y13,Y17:Y22),0.75),"n/a ")</f>
        <v/>
      </c>
      <c r="Z30" s="551">
        <f>IFERROR(_xlfn.PERCENTILE.INC((Z8:Z13,Z17:Z22),0.75),"n/a ")</f>
        <v/>
      </c>
    </row>
  </sheetData>
  <mergeCells count="7">
    <mergeCell ref="W4:X4"/>
    <mergeCell ref="K4:L4"/>
    <mergeCell ref="O4:P4"/>
    <mergeCell ref="M4:N4"/>
    <mergeCell ref="S4:T4"/>
    <mergeCell ref="Q4:R4"/>
    <mergeCell ref="U4:V4"/>
  </mergeCells>
  <hyperlinks>
    <hyperlink xmlns:r="http://schemas.openxmlformats.org/officeDocument/2006/relationships" ref="AB8" display="Link" r:id="rId1"/>
    <hyperlink xmlns:r="http://schemas.openxmlformats.org/officeDocument/2006/relationships" ref="AF8" display="Link" r:id="rId2"/>
    <hyperlink xmlns:r="http://schemas.openxmlformats.org/officeDocument/2006/relationships" ref="AB9" display="Link" r:id="rId3"/>
    <hyperlink xmlns:r="http://schemas.openxmlformats.org/officeDocument/2006/relationships" ref="AE9" display="Link" r:id="rId4"/>
    <hyperlink xmlns:r="http://schemas.openxmlformats.org/officeDocument/2006/relationships" ref="AB10" display="Link" r:id="rId5"/>
    <hyperlink xmlns:r="http://schemas.openxmlformats.org/officeDocument/2006/relationships" ref="AF10" display="Link" r:id="rId6"/>
    <hyperlink xmlns:r="http://schemas.openxmlformats.org/officeDocument/2006/relationships" ref="AB11" display="Link" r:id="rId7"/>
    <hyperlink xmlns:r="http://schemas.openxmlformats.org/officeDocument/2006/relationships" ref="AE11" display="Link" r:id="rId8"/>
    <hyperlink xmlns:r="http://schemas.openxmlformats.org/officeDocument/2006/relationships" ref="AB12" display="Link" r:id="rId9"/>
    <hyperlink xmlns:r="http://schemas.openxmlformats.org/officeDocument/2006/relationships" ref="AE12" display="Link" r:id="rId10"/>
    <hyperlink xmlns:r="http://schemas.openxmlformats.org/officeDocument/2006/relationships" ref="AB13" display="Link" r:id="rId11"/>
    <hyperlink xmlns:r="http://schemas.openxmlformats.org/officeDocument/2006/relationships" ref="AF13" display="Link" r:id="rId12"/>
    <hyperlink xmlns:r="http://schemas.openxmlformats.org/officeDocument/2006/relationships" ref="AB17" display="Link" r:id="rId13"/>
    <hyperlink xmlns:r="http://schemas.openxmlformats.org/officeDocument/2006/relationships" ref="AE17" display="Link" r:id="rId14"/>
    <hyperlink xmlns:r="http://schemas.openxmlformats.org/officeDocument/2006/relationships" ref="AB18" display="Link" r:id="rId15"/>
    <hyperlink xmlns:r="http://schemas.openxmlformats.org/officeDocument/2006/relationships" ref="AF18" display="Link" r:id="rId16"/>
    <hyperlink xmlns:r="http://schemas.openxmlformats.org/officeDocument/2006/relationships" ref="AB19" display="Link" r:id="rId17"/>
    <hyperlink xmlns:r="http://schemas.openxmlformats.org/officeDocument/2006/relationships" ref="AE19" display="Link" r:id="rId18"/>
    <hyperlink xmlns:r="http://schemas.openxmlformats.org/officeDocument/2006/relationships" ref="AB20" display="Link" r:id="rId19"/>
    <hyperlink xmlns:r="http://schemas.openxmlformats.org/officeDocument/2006/relationships" ref="AE20" display="Link" r:id="rId20"/>
    <hyperlink xmlns:r="http://schemas.openxmlformats.org/officeDocument/2006/relationships" ref="AF20" display="Link" r:id="rId21"/>
    <hyperlink xmlns:r="http://schemas.openxmlformats.org/officeDocument/2006/relationships" ref="AB21" display="Link" r:id="rId22"/>
    <hyperlink xmlns:r="http://schemas.openxmlformats.org/officeDocument/2006/relationships" ref="AF21" display="Link" r:id="rId23"/>
    <hyperlink xmlns:r="http://schemas.openxmlformats.org/officeDocument/2006/relationships" ref="AB22" display="Link" r:id="rId24"/>
    <hyperlink xmlns:r="http://schemas.openxmlformats.org/officeDocument/2006/relationships" ref="AG22" display="Link" r:id="rId2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2026-07-16T21:14:35Z</dcterms:created>
  <dcterms:modified xmlns:dcterms="http://purl.org/dc/terms/" xmlns:xsi="http://www.w3.org/2001/XMLSchema-instance" xsi:type="dcterms:W3CDTF">2026-07-16T21:16:16Z</dcterms:modified>
  <cp:revision>0</cp:revision>
</cp:coreProperties>
</file>