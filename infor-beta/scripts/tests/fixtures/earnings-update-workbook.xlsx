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able" sheetId="1" state="visible" r:id="rId1"/>
    <sheet xmlns:r="http://schemas.openxmlformats.org/officeDocument/2006/relationships" name="ltm-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2">
    <numFmt numFmtId="164" formatCode="#,##0.000000"/>
    <numFmt numFmtId="165" formatCode="#,##0.0000\x_);\(#,##0.0000\x\);&quot;--&quot;"/>
    <numFmt numFmtId="166" formatCode="#,##0.0000_);\(#,##0.0000\);&quot;-- &quot;"/>
    <numFmt numFmtId="167" formatCode="&quot;$&quot;#,##0.00_);\(&quot;$&quot;#,##0.00\);&quot;--&quot;"/>
    <numFmt numFmtId="168" formatCode="#,##0.0_);\(#,##0.0\);&quot;-- &quot;"/>
    <numFmt numFmtId="169" formatCode="&quot;$&quot;#,##0.0_);\(&quot;$&quot;#,##0.0\);&quot;-- &quot;"/>
    <numFmt numFmtId="170" formatCode="&quot;$&quot;#,##0.00"/>
    <numFmt numFmtId="171" formatCode="&quot;$&quot;#,##0.0_);\(&quot;$&quot;#,##0.0\);\-\-_);&quot;--&quot;_)"/>
    <numFmt numFmtId="172" formatCode=";;;@"/>
    <numFmt numFmtId="173" formatCode=";;;@&quot;E&quot;"/>
    <numFmt numFmtId="174" formatCode="&quot;$&quot;#,##0.0_);\(&quot;$&quot;#,##0.0\);&quot;--&quot;"/>
    <numFmt numFmtId="175" formatCode="#,##0.0%_);\(#,##0.0%\);&quot;--&quot;"/>
    <numFmt numFmtId="176" formatCode="0.0\x_);\(0.0\x\);&quot;-- &quot;"/>
    <numFmt numFmtId="177" formatCode="#,##0\ &quot;Analysts&quot;_);\(#,##0\);\-\-_)"/>
    <numFmt numFmtId="178" formatCode="&quot;$&quot;#,##0.00_);\(&quot;$&quot;#,##0.00\);&quot;-- &quot;"/>
    <numFmt numFmtId="179" formatCode="0.0%_);\(0.0%\);&quot;-- &quot;"/>
    <numFmt numFmtId="180" formatCode="[$-1009]d\-mmm\-yy;@"/>
    <numFmt numFmtId="181" formatCode="0.0"/>
    <numFmt numFmtId="182" formatCode="&quot;$&quot;#,##0.0"/>
    <numFmt numFmtId="183" formatCode="#,##0.0"/>
    <numFmt numFmtId="184" formatCode="yyyy-mm-dd h:mm:ss"/>
    <numFmt numFmtId="185" formatCode="0.0%"/>
  </numFmts>
  <fonts count="28">
    <font>
      <name val="Calibri"/>
      <family val="2"/>
      <color theme="1"/>
      <sz val="11"/>
      <scheme val="minor"/>
    </font>
    <font>
      <name val="Palatino Linotype"/>
      <family val="1"/>
      <color theme="1"/>
      <sz val="9"/>
    </font>
    <font>
      <name val="Palatino Linotype"/>
      <family val="1"/>
      <color rgb="FF000000"/>
      <sz val="9"/>
    </font>
    <font>
      <name val="Palatino Linotype"/>
      <family val="1"/>
      <i val="1"/>
      <color rgb="FF000000"/>
      <sz val="9"/>
    </font>
    <font>
      <name val="Palatino Linotype"/>
      <family val="1"/>
      <color rgb="FFFF0000"/>
      <sz val="9"/>
    </font>
    <font>
      <name val="Palatino Linotype"/>
      <family val="1"/>
      <color rgb="FF0000FF"/>
      <sz val="9"/>
    </font>
    <font>
      <color rgb="000000FF"/>
    </font>
    <font>
      <name val="Palatino Linotype"/>
      <family val="1"/>
      <i val="1"/>
      <sz val="9"/>
    </font>
    <font>
      <name val="Palatino Linotype"/>
      <family val="1"/>
      <b val="1"/>
      <color theme="1"/>
      <sz val="9"/>
    </font>
    <font>
      <name val="Palatino Linotype"/>
      <family val="1"/>
      <b val="1"/>
      <color theme="0"/>
      <sz val="9"/>
      <u val="singleAccounting"/>
    </font>
    <font>
      <name val="Palatino Linotype"/>
      <family val="1"/>
      <b val="1"/>
      <color theme="0"/>
      <sz val="9"/>
    </font>
    <font>
      <name val="Calibri"/>
      <family val="2"/>
      <color theme="1"/>
      <sz val="9"/>
      <scheme val="minor"/>
    </font>
    <font>
      <name val="Calibri"/>
      <family val="2"/>
      <i val="1"/>
      <color theme="1"/>
      <sz val="9"/>
      <scheme val="minor"/>
    </font>
    <font>
      <name val="Palatino Linotype"/>
      <family val="1"/>
      <b val="1"/>
      <color rgb="FF000000"/>
      <sz val="9"/>
    </font>
    <font>
      <name val="Palatino Linotype"/>
      <family val="1"/>
      <sz val="9"/>
    </font>
    <font>
      <name val="Palatino Linotype"/>
      <family val="1"/>
      <color rgb="FF008000"/>
      <sz val="9"/>
    </font>
    <font>
      <name val="Palatino Linotype"/>
      <family val="1"/>
      <b val="1"/>
      <i val="1"/>
      <color theme="1"/>
      <sz val="9"/>
    </font>
    <font>
      <name val="Palatino Linotype"/>
      <family val="1"/>
      <b val="1"/>
      <color theme="1"/>
      <sz val="9"/>
      <u val="singleAccounting"/>
    </font>
    <font>
      <name val="Palatino Linotype"/>
      <family val="1"/>
      <i val="1"/>
      <color theme="1"/>
      <sz val="9"/>
    </font>
    <font>
      <name val="Palatino Linotype"/>
      <family val="1"/>
      <color rgb="FF800080"/>
      <sz val="9"/>
    </font>
    <font>
      <name val="Palatino Linotype"/>
      <family val="1"/>
      <b val="1"/>
      <color rgb="FFFFFFFF"/>
      <sz val="9"/>
    </font>
    <font>
      <name val="Palatino Linotype"/>
      <family val="1"/>
      <b val="1"/>
      <color rgb="FFFF0000"/>
      <sz val="9"/>
    </font>
    <font>
      <name val="Palatino Linotype"/>
      <b val="1"/>
      <color rgb="001F3864"/>
      <sz val="14"/>
    </font>
    <font>
      <name val="Palatino Linotype"/>
      <i val="1"/>
      <color rgb="00595959"/>
      <sz val="10"/>
    </font>
    <font>
      <name val="Palatino Linotype"/>
      <b val="1"/>
      <color rgb="001F3864"/>
      <sz val="11"/>
    </font>
    <font>
      <name val="Palatino Linotype"/>
      <b val="1"/>
      <color rgb="00FFFFFF"/>
      <sz val="11"/>
    </font>
    <font>
      <name val="Palatino Linotype"/>
      <sz val="11"/>
    </font>
    <font>
      <name val="Palatino Linotype"/>
      <b val="1"/>
      <sz val="11"/>
    </font>
  </fonts>
  <fills count="10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5E3E3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00D9E1F2"/>
      </patternFill>
    </fill>
    <fill>
      <patternFill patternType="solid">
        <fgColor rgb="001F38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0" pivotButton="0" quotePrefix="0" xfId="0"/>
    <xf numFmtId="15" fontId="2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4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horizontal="right" vertical="center"/>
    </xf>
    <xf numFmtId="0" fontId="1" fillId="0" borderId="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2" borderId="5" applyAlignment="1" pivotButton="0" quotePrefix="0" xfId="0">
      <alignment horizontal="right" vertical="center"/>
    </xf>
    <xf numFmtId="0" fontId="2" fillId="0" borderId="5" applyAlignment="1" pivotButton="0" quotePrefix="0" xfId="0">
      <alignment horizontal="right" vertical="center"/>
    </xf>
    <xf numFmtId="15" fontId="2" fillId="0" borderId="5" applyAlignment="1" pivotButton="0" quotePrefix="0" xfId="0">
      <alignment horizontal="right" vertical="center"/>
    </xf>
    <xf numFmtId="165" fontId="6" fillId="0" borderId="5" applyAlignment="1" pivotButton="0" quotePrefix="0" xfId="0">
      <alignment horizontal="right" vertical="center"/>
    </xf>
    <xf numFmtId="15" fontId="5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1" fillId="0" borderId="4" pivotButton="0" quotePrefix="0" xfId="0"/>
    <xf numFmtId="166" fontId="2" fillId="0" borderId="5" applyAlignment="1" pivotButton="0" quotePrefix="0" xfId="0">
      <alignment horizontal="right"/>
    </xf>
    <xf numFmtId="0" fontId="8" fillId="0" borderId="6" pivotButton="0" quotePrefix="0" xfId="0"/>
    <xf numFmtId="0" fontId="1" fillId="0" borderId="7" pivotButton="0" quotePrefix="0" xfId="0"/>
    <xf numFmtId="0" fontId="1" fillId="0" borderId="4" applyAlignment="1" pivotButton="0" quotePrefix="0" xfId="0">
      <alignment horizontal="left" vertical="center"/>
    </xf>
    <xf numFmtId="15" fontId="2" fillId="3" borderId="8" applyAlignment="1" pivotButton="0" quotePrefix="0" xfId="0">
      <alignment horizontal="center" vertical="center"/>
    </xf>
    <xf numFmtId="15" fontId="1" fillId="0" borderId="9" applyAlignment="1" pivotButton="0" quotePrefix="0" xfId="0">
      <alignment horizontal="left" vertical="center"/>
    </xf>
    <xf numFmtId="0" fontId="1" fillId="0" borderId="10" pivotButton="0" quotePrefix="0" xfId="0"/>
    <xf numFmtId="0" fontId="1" fillId="4" borderId="11" applyAlignment="1" pivotButton="0" quotePrefix="0" xfId="0">
      <alignment horizontal="center" vertical="center"/>
    </xf>
    <xf numFmtId="166" fontId="2" fillId="0" borderId="0" applyAlignment="1" pivotButton="0" quotePrefix="0" xfId="0">
      <alignment horizontal="right"/>
    </xf>
    <xf numFmtId="0" fontId="9" fillId="5" borderId="10" applyAlignment="1" pivotButton="0" quotePrefix="0" xfId="0">
      <alignment horizontal="centerContinuous" vertical="center"/>
    </xf>
    <xf numFmtId="0" fontId="10" fillId="5" borderId="10" applyAlignment="1" pivotButton="0" quotePrefix="0" xfId="0">
      <alignment horizontal="centerContinuous" vertical="center"/>
    </xf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1"/>
    </xf>
    <xf numFmtId="167" fontId="6" fillId="0" borderId="0" applyAlignment="1" pivotButton="0" quotePrefix="0" xfId="0">
      <alignment horizontal="right" vertical="center" indent="1"/>
    </xf>
    <xf numFmtId="0" fontId="1" fillId="0" borderId="0" applyAlignment="1" pivotButton="0" quotePrefix="0" xfId="0">
      <alignment horizontal="left" vertical="center" indent="2"/>
    </xf>
    <xf numFmtId="168" fontId="2" fillId="0" borderId="0" applyAlignment="1" pivotButton="0" quotePrefix="0" xfId="0">
      <alignment horizontal="right" vertical="center" indent="1"/>
    </xf>
    <xf numFmtId="0" fontId="1" fillId="0" borderId="12" applyAlignment="1" pivotButton="0" quotePrefix="0" xfId="0">
      <alignment horizontal="left" vertical="center" indent="1"/>
    </xf>
    <xf numFmtId="0" fontId="1" fillId="0" borderId="12" pivotButton="0" quotePrefix="0" xfId="0"/>
    <xf numFmtId="169" fontId="2" fillId="0" borderId="13" applyAlignment="1" pivotButton="0" quotePrefix="0" xfId="0">
      <alignment horizontal="right" vertical="center" indent="1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168" fontId="2" fillId="0" borderId="12" applyAlignment="1" pivotButton="0" quotePrefix="0" xfId="0">
      <alignment horizontal="right" vertical="center" indent="1"/>
    </xf>
    <xf numFmtId="0" fontId="8" fillId="0" borderId="14" applyAlignment="1" pivotButton="0" quotePrefix="0" xfId="0">
      <alignment horizontal="left" vertical="center" indent="1"/>
    </xf>
    <xf numFmtId="0" fontId="8" fillId="0" borderId="14" pivotButton="0" quotePrefix="0" xfId="0"/>
    <xf numFmtId="169" fontId="13" fillId="0" borderId="14" applyAlignment="1" pivotButton="0" quotePrefix="0" xfId="0">
      <alignment horizontal="right" vertical="center" indent="1"/>
    </xf>
    <xf numFmtId="170" fontId="4" fillId="0" borderId="0" pivotButton="0" quotePrefix="0" xfId="0"/>
    <xf numFmtId="169" fontId="2" fillId="0" borderId="0" applyAlignment="1" pivotButton="0" quotePrefix="0" xfId="0">
      <alignment horizontal="right" vertical="center" indent="1"/>
    </xf>
    <xf numFmtId="0" fontId="1" fillId="0" borderId="15" applyAlignment="1" pivotButton="0" quotePrefix="0" xfId="0">
      <alignment horizontal="left" vertical="center" indent="1"/>
    </xf>
    <xf numFmtId="0" fontId="1" fillId="0" borderId="15" pivotButton="0" quotePrefix="0" xfId="0"/>
    <xf numFmtId="169" fontId="2" fillId="0" borderId="15" applyAlignment="1" pivotButton="0" quotePrefix="0" xfId="0">
      <alignment horizontal="right" vertical="center" indent="1"/>
    </xf>
    <xf numFmtId="0" fontId="14" fillId="0" borderId="0" applyAlignment="1" pivotButton="0" quotePrefix="0" xfId="0">
      <alignment horizontal="left" vertical="center" indent="1"/>
    </xf>
    <xf numFmtId="0" fontId="14" fillId="0" borderId="0" pivotButton="0" quotePrefix="0" xfId="0"/>
    <xf numFmtId="168" fontId="2" fillId="0" borderId="0" applyAlignment="1" pivotButton="0" quotePrefix="0" xfId="0">
      <alignment horizontal="right"/>
    </xf>
    <xf numFmtId="171" fontId="2" fillId="0" borderId="0" applyAlignment="1" pivotButton="0" quotePrefix="0" xfId="0">
      <alignment horizontal="right" vertical="center" indent="1"/>
    </xf>
    <xf numFmtId="0" fontId="14" fillId="0" borderId="16" applyAlignment="1" pivotButton="0" quotePrefix="0" xfId="0">
      <alignment horizontal="left" vertical="center" indent="1"/>
    </xf>
    <xf numFmtId="0" fontId="14" fillId="0" borderId="16" pivotButton="0" quotePrefix="0" xfId="0"/>
    <xf numFmtId="168" fontId="2" fillId="0" borderId="16" applyAlignment="1" pivotButton="0" quotePrefix="0" xfId="0">
      <alignment horizontal="right"/>
    </xf>
    <xf numFmtId="0" fontId="1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172" fontId="17" fillId="0" borderId="0" applyAlignment="1" pivotButton="0" quotePrefix="0" xfId="0">
      <alignment horizontal="center" vertical="center"/>
    </xf>
    <xf numFmtId="173" fontId="17" fillId="0" borderId="0" applyAlignment="1" pivotButton="0" quotePrefix="0" xfId="0">
      <alignment horizontal="center" vertical="center"/>
    </xf>
    <xf numFmtId="174" fontId="2" fillId="0" borderId="0" applyAlignment="1" pivotButton="0" quotePrefix="0" xfId="0">
      <alignment horizontal="right" vertical="center" indent="1"/>
    </xf>
    <xf numFmtId="175" fontId="2" fillId="0" borderId="0" applyAlignment="1" pivotButton="0" quotePrefix="0" xfId="0">
      <alignment horizontal="right" vertical="center" indent="1"/>
    </xf>
    <xf numFmtId="169" fontId="2" fillId="0" borderId="0" applyAlignment="1" pivotButton="0" quotePrefix="0" xfId="0">
      <alignment horizontal="right" indent="1"/>
    </xf>
    <xf numFmtId="0" fontId="1" fillId="0" borderId="0" applyAlignment="1" pivotButton="0" quotePrefix="0" xfId="0">
      <alignment horizontal="right" indent="1"/>
    </xf>
    <xf numFmtId="176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176" fontId="1" fillId="0" borderId="0" applyAlignment="1" pivotButton="0" quotePrefix="0" xfId="0">
      <alignment horizontal="right" indent="1"/>
    </xf>
    <xf numFmtId="177" fontId="2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  <xf numFmtId="178" fontId="2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 indent="2"/>
    </xf>
    <xf numFmtId="179" fontId="2" fillId="0" borderId="0" applyAlignment="1" pivotButton="0" quotePrefix="0" xfId="0">
      <alignment horizontal="right" vertical="center"/>
    </xf>
    <xf numFmtId="169" fontId="15" fillId="0" borderId="0" applyAlignment="1" pivotButton="0" quotePrefix="0" xfId="0">
      <alignment horizontal="right" indent="1"/>
    </xf>
    <xf numFmtId="169" fontId="6" fillId="2" borderId="0" applyAlignment="1" pivotButton="0" quotePrefix="0" xfId="0">
      <alignment horizontal="right"/>
    </xf>
    <xf numFmtId="169" fontId="19" fillId="0" borderId="0" applyAlignment="1" pivotButton="0" quotePrefix="0" xfId="0">
      <alignment horizontal="right" vertical="center" indent="1"/>
    </xf>
    <xf numFmtId="0" fontId="1" fillId="0" borderId="0" applyAlignment="1" pivotButton="0" quotePrefix="0" xfId="0">
      <alignment horizontal="left" indent="1"/>
    </xf>
    <xf numFmtId="169" fontId="19" fillId="0" borderId="0" applyAlignment="1" pivotButton="0" quotePrefix="0" xfId="0">
      <alignment horizontal="right" indent="1"/>
    </xf>
    <xf numFmtId="0" fontId="9" fillId="5" borderId="0" applyAlignment="1" pivotButton="0" quotePrefix="0" xfId="0">
      <alignment horizontal="centerContinuous" vertical="center"/>
    </xf>
    <xf numFmtId="0" fontId="10" fillId="5" borderId="17" applyAlignment="1" pivotButton="0" quotePrefix="0" xfId="0">
      <alignment vertical="center"/>
    </xf>
    <xf numFmtId="0" fontId="10" fillId="5" borderId="17" applyAlignment="1" pivotButton="0" quotePrefix="0" xfId="0">
      <alignment horizontal="center" vertical="center"/>
    </xf>
    <xf numFmtId="0" fontId="20" fillId="6" borderId="18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180" fontId="5" fillId="2" borderId="0" applyAlignment="1" pivotButton="0" quotePrefix="0" xfId="0">
      <alignment horizontal="right"/>
    </xf>
    <xf numFmtId="0" fontId="6" fillId="2" borderId="0" pivotButton="0" quotePrefix="0" xfId="0"/>
    <xf numFmtId="181" fontId="6" fillId="2" borderId="0" pivotButton="0" quotePrefix="0" xfId="0"/>
    <xf numFmtId="170" fontId="6" fillId="2" borderId="0" pivotButton="0" quotePrefix="0" xfId="0"/>
    <xf numFmtId="168" fontId="1" fillId="0" borderId="0" applyAlignment="1" pivotButton="0" quotePrefix="0" xfId="0">
      <alignment horizontal="right"/>
    </xf>
    <xf numFmtId="169" fontId="1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 indent="1"/>
    </xf>
    <xf numFmtId="0" fontId="5" fillId="2" borderId="0" pivotButton="0" quotePrefix="0" xfId="0"/>
    <xf numFmtId="181" fontId="5" fillId="2" borderId="0" pivotButton="0" quotePrefix="0" xfId="0"/>
    <xf numFmtId="170" fontId="5" fillId="2" borderId="0" pivotButton="0" quotePrefix="0" xfId="0"/>
    <xf numFmtId="0" fontId="8" fillId="0" borderId="19" pivotButton="0" quotePrefix="0" xfId="0"/>
    <xf numFmtId="168" fontId="8" fillId="0" borderId="19" applyAlignment="1" pivotButton="0" quotePrefix="0" xfId="0">
      <alignment horizontal="right"/>
    </xf>
    <xf numFmtId="169" fontId="8" fillId="0" borderId="19" applyAlignment="1" pivotButton="0" quotePrefix="0" xfId="0">
      <alignment horizontal="right"/>
    </xf>
    <xf numFmtId="0" fontId="21" fillId="0" borderId="0" pivotButton="0" quotePrefix="0" xfId="0"/>
    <xf numFmtId="0" fontId="16" fillId="0" borderId="0" applyAlignment="1" pivotButton="0" quotePrefix="0" xfId="0">
      <alignment horizontal="center"/>
    </xf>
    <xf numFmtId="0" fontId="1" fillId="0" borderId="16" pivotButton="0" quotePrefix="0" xfId="0"/>
    <xf numFmtId="168" fontId="1" fillId="0" borderId="16" applyAlignment="1" pivotButton="0" quotePrefix="0" xfId="0">
      <alignment horizontal="right"/>
    </xf>
    <xf numFmtId="169" fontId="5" fillId="2" borderId="0" applyAlignment="1" pivotButton="0" quotePrefix="0" xfId="0">
      <alignment horizontal="right"/>
    </xf>
    <xf numFmtId="168" fontId="2" fillId="2" borderId="0" applyAlignment="1" pivotButton="0" quotePrefix="0" xfId="0">
      <alignment horizontal="right"/>
    </xf>
    <xf numFmtId="178" fontId="5" fillId="2" borderId="0" applyAlignment="1" pivotButton="0" quotePrefix="0" xfId="0">
      <alignment horizontal="right"/>
    </xf>
    <xf numFmtId="168" fontId="5" fillId="2" borderId="0" applyAlignment="1" pivotButton="0" quotePrefix="0" xfId="0">
      <alignment horizontal="right"/>
    </xf>
    <xf numFmtId="0" fontId="10" fillId="5" borderId="17" applyAlignment="1" pivotButton="0" quotePrefix="0" xfId="0">
      <alignment horizontal="right" vertical="center"/>
    </xf>
    <xf numFmtId="182" fontId="5" fillId="2" borderId="0" applyAlignment="1" pivotButton="0" quotePrefix="0" xfId="0">
      <alignment horizontal="right"/>
    </xf>
    <xf numFmtId="183" fontId="5" fillId="2" borderId="0" applyAlignment="1" pivotButton="0" quotePrefix="0" xfId="0">
      <alignment horizontal="right"/>
    </xf>
    <xf numFmtId="180" fontId="6" fillId="2" borderId="0" applyAlignment="1" pivotButton="0" quotePrefix="0" xfId="0">
      <alignment horizontal="right"/>
    </xf>
    <xf numFmtId="0" fontId="6" fillId="7" borderId="0" pivotButton="0" quotePrefix="0" xfId="0"/>
    <xf numFmtId="170" fontId="5" fillId="2" borderId="0" applyAlignment="1" pivotButton="0" quotePrefix="0" xfId="0">
      <alignment horizontal="right"/>
    </xf>
    <xf numFmtId="0" fontId="13" fillId="0" borderId="15" pivotButton="0" quotePrefix="0" xfId="0"/>
    <xf numFmtId="169" fontId="8" fillId="0" borderId="0" applyAlignment="1" pivotButton="0" quotePrefix="0" xfId="0">
      <alignment horizontal="right"/>
    </xf>
    <xf numFmtId="15" fontId="6" fillId="2" borderId="0" applyAlignment="1" pivotButton="0" quotePrefix="0" xfId="0">
      <alignment horizontal="right"/>
    </xf>
    <xf numFmtId="15" fontId="5" fillId="2" borderId="0" applyAlignment="1" pivotButton="0" quotePrefix="0" xfId="0">
      <alignment horizontal="right"/>
    </xf>
    <xf numFmtId="169" fontId="14" fillId="2" borderId="0" applyAlignment="1" pivotButton="0" quotePrefix="0" xfId="0">
      <alignment horizontal="right"/>
    </xf>
    <xf numFmtId="168" fontId="6" fillId="7" borderId="15" applyAlignment="1" pivotButton="0" quotePrefix="0" xfId="0">
      <alignment horizontal="right"/>
    </xf>
    <xf numFmtId="168" fontId="5" fillId="7" borderId="0" applyAlignment="1" pivotButton="0" quotePrefix="0" xfId="0">
      <alignment horizontal="right"/>
    </xf>
    <xf numFmtId="168" fontId="13" fillId="0" borderId="15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83" fontId="5" fillId="0" borderId="0" applyAlignment="1" pivotButton="0" quotePrefix="0" xfId="0">
      <alignment horizontal="right"/>
    </xf>
    <xf numFmtId="0" fontId="18" fillId="0" borderId="0" pivotButton="0" quotePrefix="0" xfId="0"/>
    <xf numFmtId="183" fontId="18" fillId="0" borderId="0" applyAlignment="1" pivotButton="0" quotePrefix="0" xfId="0">
      <alignment horizontal="right"/>
    </xf>
    <xf numFmtId="179" fontId="1" fillId="0" borderId="0" applyAlignment="1" pivotButton="0" quotePrefix="0" xfId="0">
      <alignment horizontal="right"/>
    </xf>
    <xf numFmtId="0" fontId="22" fillId="0" borderId="0" pivotButton="0" quotePrefix="0" xfId="0"/>
    <xf numFmtId="0" fontId="23" fillId="0" borderId="0" pivotButton="0" quotePrefix="0" xfId="0"/>
    <xf numFmtId="0" fontId="24" fillId="8" borderId="0" pivotButton="0" quotePrefix="0" xfId="0"/>
    <xf numFmtId="0" fontId="0" fillId="8" borderId="0" pivotButton="0" quotePrefix="0" xfId="0"/>
    <xf numFmtId="0" fontId="25" fillId="9" borderId="20" applyAlignment="1" pivotButton="0" quotePrefix="0" xfId="0">
      <alignment horizontal="left"/>
    </xf>
    <xf numFmtId="0" fontId="25" fillId="9" borderId="20" applyAlignment="1" pivotButton="0" quotePrefix="0" xfId="0">
      <alignment horizontal="center"/>
    </xf>
    <xf numFmtId="0" fontId="26" fillId="0" borderId="20" pivotButton="0" quotePrefix="0" xfId="0"/>
    <xf numFmtId="183" fontId="26" fillId="0" borderId="20" pivotButton="0" quotePrefix="0" xfId="0"/>
    <xf numFmtId="185" fontId="26" fillId="0" borderId="20" applyAlignment="1" pivotButton="0" quotePrefix="0" xfId="0">
      <alignment horizontal="center"/>
    </xf>
    <xf numFmtId="0" fontId="27" fillId="0" borderId="20" pivotButton="0" quotePrefix="0" xfId="0"/>
    <xf numFmtId="183" fontId="27" fillId="0" borderId="20" pivotButton="0" quotePrefix="0" xfId="0"/>
    <xf numFmtId="185" fontId="27" fillId="0" borderId="2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0"/>
  <sheetViews>
    <sheetView showGridLines="0" workbookViewId="0">
      <selection activeCell="A1" sqref="A1"/>
    </sheetView>
  </sheetViews>
  <sheetFormatPr baseColWidth="8" defaultRowHeight="15"/>
  <cols>
    <col width="2.68359375" customWidth="1" min="1" max="1"/>
    <col width="14.68359375" customWidth="1" min="2" max="2"/>
    <col width="14.68359375" customWidth="1" min="6" max="6"/>
    <col width="2.68359375" customWidth="1" min="7" max="7"/>
    <col width="8.83984375" customWidth="1" min="8" max="8"/>
    <col width="8.83984375" customWidth="1" min="9" max="9"/>
    <col width="8.83984375" customWidth="1" min="11" max="11"/>
    <col width="8.83984375" customWidth="1" min="13" max="13"/>
    <col width="8.83984375" customWidth="1" min="17" max="17"/>
    <col width="8.83984375" customWidth="1" min="18" max="18"/>
  </cols>
  <sheetData>
    <row r="1" ht="14.1" customHeight="1">
      <c r="A1" s="1" t="inlineStr">
        <is>
          <t xml:space="preserve"> </t>
        </is>
      </c>
      <c r="B1" s="2" t="n"/>
      <c r="C1" s="3" t="n"/>
      <c r="G1" s="1" t="inlineStr">
        <is>
          <t xml:space="preserve"> </t>
        </is>
      </c>
      <c r="H1" s="4" t="n"/>
    </row>
    <row r="2" ht="18" customHeight="1">
      <c r="B2" s="5" t="inlineStr">
        <is>
          <t>Name:</t>
        </is>
      </c>
      <c r="C2" s="6" t="n"/>
      <c r="D2" s="6" t="n"/>
      <c r="E2" s="6" t="n"/>
      <c r="F2" s="7">
        <f t="array" ref="F2">_xll.SNL.Clients.Office.Excel.Functions.SPG($F$3,"SP_COMPANY_NAME")</f>
        <v/>
      </c>
      <c r="H2" s="4" t="n"/>
    </row>
    <row r="3" ht="18" customHeight="1">
      <c r="B3" s="8" t="inlineStr">
        <is>
          <t>Ticker:</t>
        </is>
      </c>
      <c r="C3" s="9" t="n"/>
      <c r="D3" s="9" t="n"/>
      <c r="E3" s="9" t="n"/>
      <c r="F3" s="10" t="inlineStr">
        <is>
          <t>NasdaqGS:OTEX</t>
        </is>
      </c>
      <c r="H3" s="4" t="n"/>
    </row>
    <row r="4" ht="18" customHeight="1">
      <c r="B4" s="8" t="inlineStr">
        <is>
          <t>Input Currency:</t>
        </is>
      </c>
      <c r="C4" s="9" t="n"/>
      <c r="D4" s="9" t="n"/>
      <c r="E4" s="9" t="n"/>
      <c r="F4" s="11">
        <f t="array" ref="F4">_xll.SNL.Clients.Office.Excel.Functions.SPG($F$3,"IQ_CURRENCY_FINANCIALS","FY0",$F$6,"Options: NA=NA")</f>
        <v/>
      </c>
      <c r="H4" s="4" t="n"/>
    </row>
    <row r="5" ht="18" customHeight="1">
      <c r="B5" s="8" t="inlineStr">
        <is>
          <t>Output Currency:</t>
        </is>
      </c>
      <c r="C5" s="9" t="n"/>
      <c r="D5" s="9" t="n"/>
      <c r="E5" s="9" t="n"/>
      <c r="F5" s="10" t="inlineStr">
        <is>
          <t>CAD</t>
        </is>
      </c>
      <c r="H5" s="4" t="n"/>
    </row>
    <row r="6" ht="18" customHeight="1">
      <c r="B6" s="8" t="inlineStr">
        <is>
          <t>Date:</t>
        </is>
      </c>
      <c r="C6" s="9" t="n"/>
      <c r="D6" s="9" t="n"/>
      <c r="E6" s="9" t="n"/>
      <c r="F6" s="12">
        <f>TODAY()-1</f>
        <v/>
      </c>
      <c r="H6" s="4" t="n"/>
    </row>
    <row r="7" ht="18" customHeight="1">
      <c r="B7" s="8" t="inlineStr">
        <is>
          <t>FX Rate:</t>
        </is>
      </c>
      <c r="C7" s="9" t="n"/>
      <c r="D7" s="9" t="n"/>
      <c r="E7" s="9" t="n"/>
      <c r="F7" s="13" t="n">
        <v>1.3783</v>
      </c>
      <c r="H7" s="4" t="n"/>
      <c r="I7" s="14" t="n"/>
      <c r="J7" s="15" t="n"/>
    </row>
    <row r="8" ht="3" customHeight="1">
      <c r="B8" s="16" t="n"/>
      <c r="F8" s="17" t="n"/>
      <c r="H8" s="4" t="n"/>
      <c r="I8" s="14" t="n"/>
      <c r="J8" s="15" t="n"/>
    </row>
    <row r="9" ht="18" customHeight="1">
      <c r="B9" s="18" t="inlineStr">
        <is>
          <t>Toggles</t>
        </is>
      </c>
      <c r="C9" s="19" t="n"/>
      <c r="D9" s="19" t="n"/>
      <c r="E9" s="19" t="n"/>
      <c r="F9" s="17" t="n"/>
      <c r="H9" s="4" t="n"/>
      <c r="I9" s="14" t="n"/>
      <c r="J9" s="15" t="n"/>
    </row>
    <row r="10" ht="18" customHeight="1">
      <c r="B10" s="20" t="inlineStr">
        <is>
          <t>Dilutives Method:</t>
        </is>
      </c>
      <c r="F10" s="21" t="inlineStr">
        <is>
          <t>Treasury Stock</t>
        </is>
      </c>
      <c r="H10" s="4" t="n"/>
      <c r="I10" s="14" t="n"/>
      <c r="J10" s="15" t="n"/>
    </row>
    <row r="11" ht="18" customHeight="1">
      <c r="B11" s="22" t="inlineStr">
        <is>
          <t>Lease Toggle:</t>
        </is>
      </c>
      <c r="C11" s="23" t="n"/>
      <c r="D11" s="23" t="n"/>
      <c r="E11" s="23" t="n"/>
      <c r="F11" s="24" t="inlineStr">
        <is>
          <t>ON</t>
        </is>
      </c>
      <c r="H11" s="4" t="n"/>
      <c r="I11" s="14" t="n"/>
      <c r="J11" s="15" t="n"/>
    </row>
    <row r="12" ht="18" customHeight="1">
      <c r="B12" s="9" t="n"/>
      <c r="F12" s="25" t="n"/>
      <c r="H12" s="4" t="n"/>
      <c r="I12" s="14" t="n"/>
      <c r="J12" s="15" t="n"/>
    </row>
    <row r="13" ht="18" customHeight="1">
      <c r="B13" s="26">
        <f>F2&amp;" Cap Table"</f>
        <v/>
      </c>
      <c r="C13" s="27" t="n"/>
      <c r="D13" s="27" t="n"/>
      <c r="E13" s="27" t="n"/>
      <c r="F13" s="27" t="n"/>
      <c r="H13" s="4" t="n"/>
    </row>
    <row r="14" ht="3" customHeight="1">
      <c r="B14" s="28" t="n"/>
      <c r="C14" s="28" t="n"/>
      <c r="D14" s="28" t="n"/>
      <c r="E14" s="28" t="n"/>
      <c r="F14" s="29" t="n"/>
      <c r="H14" s="4" t="n"/>
    </row>
    <row r="15" ht="18" customHeight="1">
      <c r="B15" s="30" t="inlineStr">
        <is>
          <t>Company Ticker:</t>
        </is>
      </c>
      <c r="F15" s="31">
        <f>F3</f>
        <v/>
      </c>
      <c r="H15" s="4" t="n"/>
    </row>
    <row r="16" ht="18" customHeight="1">
      <c r="B16" s="30">
        <f>CONCATENATE("Share Price (",TEXT(F6,"dd-mmm-yy"),")")</f>
        <v/>
      </c>
      <c r="F16" s="32" t="n">
        <v>31.74</v>
      </c>
      <c r="H16" s="4" t="n"/>
    </row>
    <row r="17" ht="18" customHeight="1">
      <c r="B17" s="33" t="inlineStr">
        <is>
          <t>Basic Shares Outstanding</t>
        </is>
      </c>
      <c r="F17" s="34">
        <f>F186</f>
        <v/>
      </c>
    </row>
    <row r="18" ht="18" customHeight="1">
      <c r="B18" s="35" t="inlineStr">
        <is>
          <t>Basic Market Cap</t>
        </is>
      </c>
      <c r="C18" s="36" t="n"/>
      <c r="D18" s="36" t="n"/>
      <c r="E18" s="36" t="n"/>
      <c r="F18" s="37">
        <f>F16*F17</f>
        <v/>
      </c>
      <c r="I18" s="38" t="n"/>
      <c r="J18" s="38" t="n"/>
      <c r="K18" s="38" t="n"/>
      <c r="L18" s="38" t="n"/>
      <c r="M18" s="38" t="n"/>
      <c r="N18" s="38" t="n"/>
      <c r="O18" s="38" t="n"/>
      <c r="P18" s="38" t="n"/>
      <c r="Q18" s="39" t="n"/>
    </row>
    <row r="19" ht="18" customHeight="1">
      <c r="B19" s="33">
        <f>IF(F10="Treasury Stock","Net","")&amp;" ITM Dilutive Securities"</f>
        <v/>
      </c>
      <c r="F19" s="34">
        <f>IF(F10="Treasury Stock",F86,F84)</f>
        <v/>
      </c>
    </row>
    <row r="20" ht="18" customHeight="1">
      <c r="B20" s="33" t="inlineStr">
        <is>
          <t>ITM Convertible Debentures</t>
        </is>
      </c>
      <c r="F20" s="34">
        <f>F104</f>
        <v/>
      </c>
    </row>
    <row r="21" ht="18" customHeight="1">
      <c r="B21" s="35" t="inlineStr">
        <is>
          <t>Fully-Diluted Shares Outstanding</t>
        </is>
      </c>
      <c r="C21" s="36" t="n"/>
      <c r="D21" s="36" t="n"/>
      <c r="E21" s="36" t="n"/>
      <c r="F21" s="40">
        <f>F17+F19+F20</f>
        <v/>
      </c>
      <c r="I21" s="38" t="n"/>
      <c r="J21" s="38" t="n"/>
      <c r="K21" s="38" t="n"/>
      <c r="L21" s="38" t="n"/>
      <c r="M21" s="38" t="n"/>
      <c r="N21" s="38" t="n"/>
      <c r="O21" s="38" t="n"/>
      <c r="P21" s="38" t="n"/>
      <c r="Q21" s="39" t="n"/>
    </row>
    <row r="22" ht="18" customHeight="1">
      <c r="B22" s="41" t="inlineStr">
        <is>
          <t>Fully-Diluted Market Cap</t>
        </is>
      </c>
      <c r="C22" s="42" t="n"/>
      <c r="D22" s="42" t="n"/>
      <c r="E22" s="42" t="n"/>
      <c r="F22" s="43">
        <f>F16*F21</f>
        <v/>
      </c>
      <c r="H22" s="44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9" t="n"/>
    </row>
    <row r="23" ht="3" customHeight="1">
      <c r="B23" s="30" t="n"/>
      <c r="F23" s="31" t="n"/>
      <c r="I23" s="38" t="n"/>
      <c r="J23" s="38" t="n"/>
      <c r="K23" s="38" t="n"/>
      <c r="L23" s="38" t="n"/>
      <c r="M23" s="38" t="n"/>
      <c r="N23" s="38" t="n"/>
      <c r="O23" s="38" t="n"/>
      <c r="P23" s="38" t="n"/>
      <c r="Q23" s="39" t="n"/>
    </row>
    <row r="24" ht="18" customHeight="1">
      <c r="B24" s="33" t="inlineStr">
        <is>
          <t>Add: Debt</t>
        </is>
      </c>
      <c r="F24" s="45">
        <f>F122*F7</f>
        <v/>
      </c>
      <c r="I24" s="38" t="n"/>
      <c r="J24" s="38" t="n"/>
      <c r="K24" s="38" t="n"/>
      <c r="L24" s="38" t="n"/>
      <c r="M24" s="38" t="n"/>
      <c r="N24" s="38" t="n"/>
      <c r="O24" s="38" t="n"/>
      <c r="P24" s="38" t="n"/>
      <c r="Q24" s="39" t="n"/>
    </row>
    <row r="25" ht="18" customHeight="1">
      <c r="B25" s="33" t="inlineStr">
        <is>
          <t>Add: Leases</t>
        </is>
      </c>
      <c r="F25" s="45">
        <f>IF($F$11="ON",$F$143,0)*F7</f>
        <v/>
      </c>
      <c r="I25" s="38" t="n"/>
      <c r="J25" s="38" t="n"/>
      <c r="K25" s="38" t="n"/>
      <c r="L25" s="38" t="n"/>
      <c r="M25" s="38" t="n"/>
      <c r="N25" s="38" t="n"/>
      <c r="O25" s="38" t="n"/>
      <c r="P25" s="38" t="n"/>
      <c r="Q25" s="39" t="n"/>
    </row>
    <row r="26" ht="18" customHeight="1">
      <c r="B26" s="33" t="inlineStr">
        <is>
          <t>Less: Cash</t>
        </is>
      </c>
      <c r="F26" s="45">
        <f>-F164*F7</f>
        <v/>
      </c>
      <c r="I26" s="38" t="n"/>
      <c r="J26" s="38" t="n"/>
      <c r="K26" s="38" t="n"/>
      <c r="L26" s="38" t="n"/>
      <c r="M26" s="38" t="n"/>
      <c r="N26" s="38" t="n"/>
      <c r="O26" s="38" t="n"/>
      <c r="P26" s="38" t="n"/>
      <c r="Q26" s="39" t="n"/>
    </row>
    <row r="27" ht="18" customHeight="1">
      <c r="B27" s="33" t="inlineStr">
        <is>
          <t>Less: Cash from ITM Proceeds</t>
        </is>
      </c>
      <c r="F27" s="45">
        <f>IF(F10="Treasury Stock",0,-F82)*F7</f>
        <v/>
      </c>
      <c r="I27" s="38" t="n"/>
      <c r="J27" s="38" t="n"/>
      <c r="K27" s="38" t="n"/>
      <c r="L27" s="38" t="n"/>
      <c r="M27" s="38" t="n"/>
      <c r="N27" s="38" t="n"/>
      <c r="O27" s="38" t="n"/>
      <c r="P27" s="38" t="n"/>
      <c r="Q27" s="39" t="n"/>
    </row>
    <row r="28" ht="18" customHeight="1">
      <c r="B28" s="46" t="inlineStr">
        <is>
          <t>Net Debt</t>
        </is>
      </c>
      <c r="C28" s="47" t="n"/>
      <c r="D28" s="47" t="n"/>
      <c r="E28" s="47" t="n"/>
      <c r="F28" s="48">
        <f>F24+F25+F26+F27</f>
        <v/>
      </c>
      <c r="I28" s="38" t="n"/>
      <c r="J28" s="38" t="n"/>
      <c r="K28" s="38" t="n"/>
      <c r="L28" s="38" t="n"/>
      <c r="M28" s="38" t="n"/>
      <c r="N28" s="38" t="n"/>
      <c r="O28" s="38" t="n"/>
      <c r="P28" s="38" t="n"/>
      <c r="Q28" s="39" t="n"/>
    </row>
    <row r="29" ht="18" customHeight="1">
      <c r="B29" s="49" t="inlineStr">
        <is>
          <t>Preferred Shares</t>
        </is>
      </c>
      <c r="C29" s="50" t="n"/>
      <c r="D29" s="50" t="n"/>
      <c r="E29" s="51" t="n"/>
      <c r="F29" s="52">
        <f>+$F$52*F7</f>
        <v/>
      </c>
      <c r="G29" s="1" t="n"/>
      <c r="H29" s="4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 ht="18" customHeight="1">
      <c r="B30" s="53" t="inlineStr">
        <is>
          <t>Non-Controlling Interest</t>
        </is>
      </c>
      <c r="C30" s="54" t="n"/>
      <c r="D30" s="54" t="n"/>
      <c r="E30" s="55" t="n"/>
      <c r="F30" s="52">
        <f>+$F$53*F7</f>
        <v/>
      </c>
      <c r="G30" s="1" t="n"/>
      <c r="H30" s="4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 ht="18" customHeight="1">
      <c r="B31" s="41" t="inlineStr">
        <is>
          <t>Enterprise Value</t>
        </is>
      </c>
      <c r="C31" s="42" t="n"/>
      <c r="D31" s="42" t="n"/>
      <c r="E31" s="42" t="n"/>
      <c r="F31" s="43">
        <f>F22+F28+F29+F30</f>
        <v/>
      </c>
      <c r="I31" s="38" t="n"/>
      <c r="J31" s="38" t="n"/>
      <c r="K31" s="38" t="n"/>
      <c r="L31" s="38" t="n"/>
      <c r="M31" s="38" t="n"/>
      <c r="N31" s="38" t="n"/>
      <c r="O31" s="38" t="n"/>
      <c r="P31" s="38" t="n"/>
      <c r="Q31" s="39" t="n"/>
    </row>
    <row r="32" ht="18" customHeight="1">
      <c r="B32" s="56" t="n"/>
      <c r="C32" s="57" t="n"/>
      <c r="D32" s="58" t="n"/>
      <c r="E32" s="58" t="n"/>
      <c r="F32" s="58" t="n"/>
    </row>
    <row r="33" ht="18" customHeight="1">
      <c r="B33" s="59" t="inlineStr">
        <is>
          <t>Financial Metrics</t>
        </is>
      </c>
      <c r="C33" s="28" t="n"/>
      <c r="D33" s="60" t="inlineStr">
        <is>
          <t>LTM</t>
        </is>
      </c>
      <c r="E33" s="61" t="inlineStr">
        <is>
          <t>CY2026</t>
        </is>
      </c>
      <c r="F33" s="61" t="inlineStr">
        <is>
          <t>CY2027</t>
        </is>
      </c>
      <c r="H33" s="4" t="n"/>
    </row>
    <row r="34" ht="18" customHeight="1">
      <c r="B34" s="30" t="inlineStr">
        <is>
          <t>Revenue</t>
        </is>
      </c>
      <c r="C34" s="28" t="n"/>
      <c r="D34" s="62">
        <f>IFERROR(IF(D47="NULL","na ",D47),"n/a ")</f>
        <v/>
      </c>
      <c r="E34" s="45">
        <f>IFERROR(IF(E47="NULL","na ",E47),"n/a ")</f>
        <v/>
      </c>
      <c r="F34" s="45">
        <f>IFERROR(IF(F47="NULL","na ",F47),"n/a ")</f>
        <v/>
      </c>
      <c r="H34" s="4" t="n"/>
    </row>
    <row r="35" ht="18" customHeight="1">
      <c r="B35" s="30" t="inlineStr">
        <is>
          <t>Adj. EBITDA</t>
        </is>
      </c>
      <c r="C35" s="28" t="n"/>
      <c r="D35" s="62">
        <f>IFERROR(IF(D48="NULL","na ",D48),"na/ ")</f>
        <v/>
      </c>
      <c r="E35" s="45">
        <f>IFERROR(IF(E48="NULL","na ",E48),"na/ ")</f>
        <v/>
      </c>
      <c r="F35" s="45">
        <f>IFERROR(IF(F48="NULL","na ",F48),"na/ ")</f>
        <v/>
      </c>
      <c r="H35" s="4" t="n"/>
    </row>
    <row r="36" ht="18" customHeight="1">
      <c r="B36" s="30" t="inlineStr">
        <is>
          <t>Adj. EBITDA Margin</t>
        </is>
      </c>
      <c r="C36" s="28" t="n"/>
      <c r="D36" s="63">
        <f>IFERROR(IF(D35&lt;0,"nmf ",D35/D34),"n/a ")</f>
        <v/>
      </c>
      <c r="E36" s="63">
        <f>IFERROR(IF(E35&lt;0,"nmf ",E35/E34),"n/a ")</f>
        <v/>
      </c>
      <c r="F36" s="63">
        <f>IFERROR(IF(F35&lt;0,"nmf ",F35/F34),"n/a ")</f>
        <v/>
      </c>
      <c r="H36" s="4" t="n"/>
    </row>
    <row r="37" ht="3" customHeight="1">
      <c r="B37" s="30" t="n"/>
      <c r="C37" s="28" t="n"/>
      <c r="D37" s="64" t="n"/>
      <c r="E37" s="64" t="n"/>
      <c r="F37" s="64" t="n"/>
      <c r="H37" s="4" t="n"/>
    </row>
    <row r="38" ht="18" customHeight="1">
      <c r="B38" s="59" t="inlineStr">
        <is>
          <t>Valuation Metrics</t>
        </is>
      </c>
      <c r="F38" s="65" t="n"/>
      <c r="H38" s="4" t="n"/>
    </row>
    <row r="39" ht="18" customHeight="1">
      <c r="B39" s="30" t="inlineStr">
        <is>
          <t>EV / Revenue</t>
        </is>
      </c>
      <c r="D39" s="66">
        <f>+$F$31/D$34</f>
        <v/>
      </c>
      <c r="E39" s="66">
        <f>+$F$31/E$34</f>
        <v/>
      </c>
      <c r="F39" s="66">
        <f>+$F$31/F$34</f>
        <v/>
      </c>
      <c r="H39" s="67" t="n"/>
    </row>
    <row r="40" ht="18" customHeight="1">
      <c r="B40" s="30" t="inlineStr">
        <is>
          <t>EV / Adj. EBITDA</t>
        </is>
      </c>
      <c r="D40" s="66">
        <f>+$F$31/D$35</f>
        <v/>
      </c>
      <c r="E40" s="66">
        <f>+$F$31/E$35</f>
        <v/>
      </c>
      <c r="F40" s="66">
        <f>+$F$31/F$35</f>
        <v/>
      </c>
      <c r="H40" s="4" t="n"/>
    </row>
    <row r="41" ht="3" customHeight="1">
      <c r="B41" s="30" t="n"/>
      <c r="D41" s="68" t="n"/>
      <c r="E41" s="68" t="n"/>
      <c r="F41" s="68" t="n"/>
      <c r="H41" s="4" t="n"/>
    </row>
    <row r="42" ht="18" customHeight="1">
      <c r="B42" s="59" t="inlineStr">
        <is>
          <t>Street Metrics</t>
        </is>
      </c>
      <c r="D42" s="68" t="n"/>
      <c r="E42" s="68" t="n"/>
      <c r="F42" s="68" t="n"/>
      <c r="H42" s="4" t="n"/>
    </row>
    <row r="43" ht="18" customHeight="1">
      <c r="B43" s="30" t="inlineStr">
        <is>
          <t>Analyst Coverage (# of Analysts)</t>
        </is>
      </c>
      <c r="D43" s="68" t="n"/>
      <c r="E43" s="68" t="n"/>
      <c r="F43" s="69">
        <f t="array" ref="F43">_xll.SNL.Clients.Office.Excel.Functions.SPG($F$3,"SP_NUM_BROKER_REC",$F$6,"Options:NA=NA")</f>
        <v/>
      </c>
      <c r="H43" s="70" t="n"/>
      <c r="I43" s="71" t="n"/>
      <c r="J43" s="71" t="n"/>
      <c r="K43" s="71" t="n"/>
      <c r="L43" s="71" t="n"/>
      <c r="M43" s="71" t="n"/>
    </row>
    <row r="44" ht="18" customHeight="1">
      <c r="B44" s="30" t="inlineStr">
        <is>
          <t>Average Target Price</t>
        </is>
      </c>
      <c r="D44" s="68" t="n"/>
      <c r="E44" s="68" t="n"/>
      <c r="F44" s="72">
        <f t="array" ref="F44">_xll.SNL.Clients.Office.Excel.Functions.SPG($F$3,"SP_PRICE_TARGET",$F$6,"Options: NA=NA,Curr="&amp;$F$4)</f>
        <v/>
      </c>
      <c r="H44" s="4" t="n"/>
    </row>
    <row r="45" ht="18" customHeight="1">
      <c r="B45" s="73" t="inlineStr">
        <is>
          <t>% Upside vs. Current</t>
        </is>
      </c>
      <c r="D45" s="68" t="n"/>
      <c r="E45" s="68" t="n"/>
      <c r="F45" s="74">
        <f>IFERROR(F44/F16-1,"na ")</f>
        <v/>
      </c>
      <c r="H45" s="4" t="n"/>
    </row>
    <row r="46" ht="18" customHeight="1">
      <c r="B46" s="30" t="n"/>
      <c r="C46" s="28" t="n"/>
      <c r="D46" s="75" t="n"/>
      <c r="E46" s="75" t="n"/>
      <c r="F46" s="75" t="n"/>
      <c r="H46" s="4" t="n"/>
    </row>
    <row r="47" ht="18" customHeight="1">
      <c r="B47" s="30" t="inlineStr">
        <is>
          <t>Revenue</t>
        </is>
      </c>
      <c r="C47" s="28" t="n"/>
      <c r="D47" s="76">
        <f>5207.912*F7</f>
        <v/>
      </c>
      <c r="E47" s="77">
        <f t="array" ref="E47">_xll.SNL.Clients.Office.Excel.Functions.SPG($F$3,"SP_REV_EST",E$33,$F$6,"Options:Mag=Millions,NA=NA,Curr="&amp;$F$5)</f>
        <v/>
      </c>
      <c r="F47" s="77">
        <f t="array" ref="F47">_xll.SNL.Clients.Office.Excel.Functions.SPG($F$3,"SP_REV_EST",F$33,$F$6,"Options:Mag=Millions,NA=NA,Curr="&amp;$F$5)</f>
        <v/>
      </c>
      <c r="H47" s="4" t="n"/>
    </row>
    <row r="48" ht="18" customHeight="1">
      <c r="B48" s="30" t="inlineStr">
        <is>
          <t>Adj. EBITDA</t>
        </is>
      </c>
      <c r="C48" s="28" t="n"/>
      <c r="D48" s="76">
        <f>1840.44*F7</f>
        <v/>
      </c>
      <c r="E48" s="77">
        <f t="array" ref="E48">_xll.SNL.Clients.Office.Excel.Functions.SPG($F$3,"SP_EBITDA_EST",E$33,$F$6,"Options:Mag=Millions,NA=NA,Curr="&amp;$F$5)</f>
        <v/>
      </c>
      <c r="F48" s="77">
        <f t="array" ref="F48">_xll.SNL.Clients.Office.Excel.Functions.SPG($F$3,"SP_EBITDA_EST",F$33,$F$6,"Options:Mag=Millions,NA=NA,Curr="&amp;$F$5)</f>
        <v/>
      </c>
      <c r="H48" s="4" t="n"/>
    </row>
    <row r="49" ht="18" customHeight="1">
      <c r="B49" s="78" t="n"/>
      <c r="C49" s="28" t="n"/>
      <c r="D49" s="79" t="n"/>
      <c r="E49" s="79" t="n"/>
      <c r="F49" s="79" t="n"/>
      <c r="Q49" s="1" t="n"/>
    </row>
    <row r="50" ht="15" customHeight="1">
      <c r="B50" s="80" t="inlineStr">
        <is>
          <t>I. Non-Controlling Interest &amp; Preferred Shares</t>
        </is>
      </c>
      <c r="C50" s="80" t="n"/>
      <c r="D50" s="80" t="n"/>
      <c r="E50" s="80" t="n"/>
      <c r="F50" s="80" t="n"/>
      <c r="Q50" s="1" t="n"/>
    </row>
    <row r="51" ht="15" customHeight="1">
      <c r="B51" s="81" t="inlineStr">
        <is>
          <t>Type</t>
        </is>
      </c>
      <c r="C51" s="82" t="n"/>
      <c r="D51" s="82" t="n"/>
      <c r="E51" s="82" t="inlineStr">
        <is>
          <t>Date</t>
        </is>
      </c>
      <c r="F51" s="83" t="inlineStr">
        <is>
          <t>Amount</t>
        </is>
      </c>
      <c r="Q51" s="1" t="n"/>
    </row>
    <row r="52" ht="15" customHeight="1">
      <c r="B52" s="84" t="inlineStr">
        <is>
          <t>Preferred Shares</t>
        </is>
      </c>
      <c r="D52" s="65" t="n"/>
      <c r="E52" s="85" t="n"/>
      <c r="F52" s="76" t="n">
        <v>0</v>
      </c>
      <c r="Q52" s="1" t="n"/>
    </row>
    <row r="53" ht="15" customHeight="1">
      <c r="B53" s="84" t="inlineStr">
        <is>
          <t>Non-Controlling Interest</t>
        </is>
      </c>
      <c r="D53" s="65" t="n"/>
      <c r="E53" s="85" t="n"/>
      <c r="F53" s="76" t="n">
        <v>1.901</v>
      </c>
      <c r="Q53" s="1" t="n"/>
    </row>
    <row r="54" ht="15" customHeight="1">
      <c r="B54" s="78" t="n"/>
      <c r="D54" s="65" t="n"/>
      <c r="E54" s="65" t="n"/>
      <c r="F54" s="68" t="n"/>
      <c r="Q54" s="1" t="n"/>
    </row>
    <row r="55" ht="15" customHeight="1">
      <c r="B55" s="80" t="inlineStr">
        <is>
          <t>II. ITM OPTIONS, WARRANTS, RSUs, DSUs</t>
        </is>
      </c>
      <c r="C55" s="80" t="n"/>
      <c r="D55" s="80" t="n"/>
      <c r="E55" s="80" t="n"/>
      <c r="F55" s="80" t="n"/>
      <c r="Q55" s="1" t="n"/>
    </row>
    <row r="56" ht="15" customHeight="1">
      <c r="B56" s="81" t="inlineStr">
        <is>
          <t>Type</t>
        </is>
      </c>
      <c r="C56" s="82" t="inlineStr">
        <is>
          <t>Amount</t>
        </is>
      </c>
      <c r="D56" s="82" t="inlineStr">
        <is>
          <t>Strike</t>
        </is>
      </c>
      <c r="E56" s="82" t="inlineStr">
        <is>
          <t>ITM</t>
        </is>
      </c>
      <c r="F56" s="83" t="inlineStr">
        <is>
          <t>Proceeds</t>
        </is>
      </c>
      <c r="Q56" s="1" t="n"/>
    </row>
    <row r="57" ht="15" customHeight="1">
      <c r="B57" s="86" t="inlineStr">
        <is>
          <t>Stock Options</t>
        </is>
      </c>
      <c r="C57" s="87" t="n">
        <v>7.324278</v>
      </c>
      <c r="D57" s="88" t="n">
        <v>48.75</v>
      </c>
      <c r="E57" s="89">
        <f>IF(D57&lt;F$16,C57,0)</f>
        <v/>
      </c>
      <c r="F57" s="90">
        <f>E57*D57</f>
        <v/>
      </c>
      <c r="Q57" s="1" t="n"/>
    </row>
    <row r="58" ht="15" customHeight="1">
      <c r="B58" s="86" t="inlineStr">
        <is>
          <t>RSUs (LTIP)</t>
        </is>
      </c>
      <c r="C58" s="87" t="n">
        <v>1.272229</v>
      </c>
      <c r="D58" s="88" t="n">
        <v>0</v>
      </c>
      <c r="E58" s="89">
        <f>IF(D58&lt;F$16,C58,0)</f>
        <v/>
      </c>
      <c r="F58" s="90">
        <f>E58*D58</f>
        <v/>
      </c>
      <c r="H58" s="91" t="n"/>
      <c r="Q58" s="1" t="n"/>
    </row>
    <row r="59" ht="15" customHeight="1">
      <c r="B59" s="86" t="inlineStr">
        <is>
          <t>RSUs (Other)</t>
        </is>
      </c>
      <c r="C59" s="87" t="n">
        <v>2.050796</v>
      </c>
      <c r="D59" s="88" t="n">
        <v>0</v>
      </c>
      <c r="E59" s="89">
        <f>IF(D59&lt;F$16,C59,0)</f>
        <v/>
      </c>
      <c r="F59" s="90">
        <f>E59*D59</f>
        <v/>
      </c>
      <c r="H59" s="91" t="n"/>
      <c r="Q59" s="1" t="n"/>
    </row>
    <row r="60" ht="15" customHeight="1">
      <c r="B60" s="86" t="inlineStr">
        <is>
          <t>DSUs</t>
        </is>
      </c>
      <c r="C60" s="87" t="n">
        <v>0.919601</v>
      </c>
      <c r="D60" s="88" t="n">
        <v>0</v>
      </c>
      <c r="E60" s="89">
        <f>IF(D60&lt;F$16,C60,0)</f>
        <v/>
      </c>
      <c r="F60" s="90">
        <f>E60*D60</f>
        <v/>
      </c>
      <c r="Q60" s="1" t="n"/>
    </row>
    <row r="61" ht="15" customHeight="1">
      <c r="B61" s="92" t="n"/>
      <c r="C61" s="93" t="n"/>
      <c r="D61" s="94" t="n"/>
      <c r="E61" s="89">
        <f>IF(D61&lt;F$16,C61,0)</f>
        <v/>
      </c>
      <c r="F61" s="90">
        <f>E61*D61</f>
        <v/>
      </c>
      <c r="Q61" s="1" t="n"/>
    </row>
    <row r="62" ht="15" customHeight="1">
      <c r="B62" s="92" t="n"/>
      <c r="C62" s="93" t="n"/>
      <c r="D62" s="94" t="n"/>
      <c r="E62" s="89">
        <f>IF(D62&lt;F$16,C62,0)</f>
        <v/>
      </c>
      <c r="F62" s="90">
        <f>E62*D62</f>
        <v/>
      </c>
      <c r="Q62" s="1" t="n"/>
    </row>
    <row r="63" ht="15" customHeight="1">
      <c r="B63" s="92" t="n"/>
      <c r="C63" s="93" t="n"/>
      <c r="D63" s="94" t="n"/>
      <c r="E63" s="89">
        <f>IF(D63&lt;F$16,C63,0)</f>
        <v/>
      </c>
      <c r="F63" s="90">
        <f>E63*D63</f>
        <v/>
      </c>
      <c r="Q63" s="1" t="n"/>
    </row>
    <row r="64" ht="15" customHeight="1">
      <c r="B64" s="92" t="n"/>
      <c r="C64" s="93" t="n"/>
      <c r="D64" s="94" t="n"/>
      <c r="E64" s="89">
        <f>IF(D64&lt;F$16,C64,0)</f>
        <v/>
      </c>
      <c r="F64" s="90">
        <f>E64*D64</f>
        <v/>
      </c>
      <c r="Q64" s="1" t="n"/>
    </row>
    <row r="65" ht="15" customHeight="1">
      <c r="B65" s="92" t="n"/>
      <c r="C65" s="93" t="n"/>
      <c r="D65" s="94" t="n"/>
      <c r="E65" s="89">
        <f>IF(D65&lt;F$16,C65,0)</f>
        <v/>
      </c>
      <c r="F65" s="90">
        <f>E65*D65</f>
        <v/>
      </c>
      <c r="Q65" s="1" t="n"/>
    </row>
    <row r="66" ht="15" customHeight="1">
      <c r="B66" s="92" t="n"/>
      <c r="C66" s="93" t="n"/>
      <c r="D66" s="94" t="n"/>
      <c r="E66" s="89">
        <f>IF(D66&lt;F$16,C66,0)</f>
        <v/>
      </c>
      <c r="F66" s="90">
        <f>E66*D66</f>
        <v/>
      </c>
      <c r="Q66" s="1" t="n"/>
    </row>
    <row r="67" ht="15" customHeight="1">
      <c r="B67" s="92" t="n"/>
      <c r="C67" s="93" t="n"/>
      <c r="D67" s="94" t="n"/>
      <c r="E67" s="89">
        <f>IF(D67&lt;F$16,C67,0)</f>
        <v/>
      </c>
      <c r="F67" s="90">
        <f>E67*D67</f>
        <v/>
      </c>
      <c r="Q67" s="1" t="n"/>
    </row>
    <row r="68" ht="15" customHeight="1">
      <c r="B68" s="92" t="n"/>
      <c r="C68" s="93" t="n"/>
      <c r="D68" s="94" t="n"/>
      <c r="E68" s="89">
        <f>IF(D68&lt;F$16,C68,0)</f>
        <v/>
      </c>
      <c r="F68" s="90">
        <f>E68*D68</f>
        <v/>
      </c>
      <c r="Q68" s="1" t="n"/>
    </row>
    <row r="69" ht="15" customHeight="1">
      <c r="B69" s="92" t="n"/>
      <c r="C69" s="93" t="n"/>
      <c r="D69" s="94" t="n"/>
      <c r="E69" s="89">
        <f>IF(D69&lt;F$16,C69,0)</f>
        <v/>
      </c>
      <c r="F69" s="90">
        <f>E69*D69</f>
        <v/>
      </c>
      <c r="Q69" s="1" t="n"/>
    </row>
    <row r="70" ht="15" customHeight="1">
      <c r="B70" s="92" t="n"/>
      <c r="C70" s="93" t="n"/>
      <c r="D70" s="94" t="n"/>
      <c r="E70" s="89">
        <f>IF(D70&lt;F$16,C70,0)</f>
        <v/>
      </c>
      <c r="F70" s="90">
        <f>E70*D70</f>
        <v/>
      </c>
      <c r="Q70" s="1" t="n"/>
    </row>
    <row r="71" ht="15" customHeight="1">
      <c r="B71" s="92" t="n"/>
      <c r="C71" s="93" t="n"/>
      <c r="D71" s="94" t="n"/>
      <c r="E71" s="89">
        <f>IF(D71&lt;F$16,C71,0)</f>
        <v/>
      </c>
      <c r="F71" s="90">
        <f>E71*D71</f>
        <v/>
      </c>
      <c r="Q71" s="1" t="n"/>
    </row>
    <row r="72" ht="15" customHeight="1">
      <c r="B72" s="92" t="n"/>
      <c r="C72" s="93" t="n"/>
      <c r="D72" s="94" t="n"/>
      <c r="E72" s="89">
        <f>IF(D72&lt;F$16,C72,0)</f>
        <v/>
      </c>
      <c r="F72" s="90">
        <f>E72*D72</f>
        <v/>
      </c>
      <c r="Q72" s="1" t="n"/>
    </row>
    <row r="73" ht="15" customHeight="1">
      <c r="B73" s="92" t="n"/>
      <c r="C73" s="93" t="n"/>
      <c r="D73" s="94" t="n"/>
      <c r="E73" s="89">
        <f>IF(D73&lt;F$16,C73,0)</f>
        <v/>
      </c>
      <c r="F73" s="90">
        <f>E73*D73</f>
        <v/>
      </c>
      <c r="Q73" s="1" t="n"/>
    </row>
    <row r="74" ht="15" customHeight="1">
      <c r="B74" s="92" t="n"/>
      <c r="C74" s="93" t="n"/>
      <c r="D74" s="94" t="n"/>
      <c r="E74" s="89">
        <f>IF(D74&lt;F$16,C74,0)</f>
        <v/>
      </c>
      <c r="F74" s="90">
        <f>E74*D74</f>
        <v/>
      </c>
      <c r="Q74" s="1" t="n"/>
    </row>
    <row r="75" ht="15" customHeight="1">
      <c r="B75" s="92" t="n"/>
      <c r="C75" s="93" t="n"/>
      <c r="D75" s="94" t="n"/>
      <c r="E75" s="89">
        <f>IF(D75&lt;F$16,C75,0)</f>
        <v/>
      </c>
      <c r="F75" s="90">
        <f>E75*D75</f>
        <v/>
      </c>
    </row>
    <row r="76" ht="15" customHeight="1">
      <c r="B76" s="92" t="n"/>
      <c r="C76" s="93" t="n"/>
      <c r="D76" s="94" t="n"/>
      <c r="E76" s="89">
        <f>IF(D76&lt;F$16,C76,0)</f>
        <v/>
      </c>
      <c r="F76" s="90">
        <f>E76*D76</f>
        <v/>
      </c>
    </row>
    <row r="77" ht="15" customHeight="1">
      <c r="B77" s="92" t="n"/>
      <c r="C77" s="93" t="n"/>
      <c r="D77" s="94" t="n"/>
      <c r="E77" s="89">
        <f>IF(D77&lt;F$16,C77,0)</f>
        <v/>
      </c>
      <c r="F77" s="90">
        <f>E77*D77</f>
        <v/>
      </c>
    </row>
    <row r="78" ht="15" customHeight="1">
      <c r="B78" s="92" t="n"/>
      <c r="C78" s="93" t="n"/>
      <c r="D78" s="94" t="n"/>
      <c r="E78" s="89">
        <f>IF(D78&lt;F$16,C78,0)</f>
        <v/>
      </c>
      <c r="F78" s="90">
        <f>E78*D78</f>
        <v/>
      </c>
    </row>
    <row r="79" ht="15" customHeight="1">
      <c r="B79" s="92" t="n"/>
      <c r="C79" s="93" t="n"/>
      <c r="D79" s="94" t="n"/>
      <c r="E79" s="89">
        <f>IF(D79&lt;F$16,C79,0)</f>
        <v/>
      </c>
      <c r="F79" s="90">
        <f>E79*D79</f>
        <v/>
      </c>
    </row>
    <row r="80" ht="15" customHeight="1">
      <c r="B80" s="92" t="n"/>
      <c r="C80" s="93" t="n"/>
      <c r="D80" s="94" t="n"/>
      <c r="E80" s="89">
        <f>IF(D80&lt;F$16,C80,0)</f>
        <v/>
      </c>
      <c r="F80" s="90">
        <f>E80*D80</f>
        <v/>
      </c>
    </row>
    <row r="81" ht="15" customHeight="1">
      <c r="B81" s="92" t="n"/>
      <c r="C81" s="93" t="n"/>
      <c r="D81" s="94" t="n"/>
      <c r="E81" s="89">
        <f>IF(D81&lt;F$16,C81,0)</f>
        <v/>
      </c>
      <c r="F81" s="90">
        <f>E81*D81</f>
        <v/>
      </c>
    </row>
    <row r="82" ht="15" customHeight="1">
      <c r="B82" s="95" t="inlineStr">
        <is>
          <t>Total</t>
        </is>
      </c>
      <c r="C82" s="95" t="n"/>
      <c r="D82" s="95" t="n"/>
      <c r="E82" s="96">
        <f>SUM(E57:E81)</f>
        <v/>
      </c>
      <c r="F82" s="97">
        <f>SUM(F57:F81)</f>
        <v/>
      </c>
      <c r="H82" s="98" t="n"/>
      <c r="Q82" s="99" t="n"/>
    </row>
    <row r="83"/>
    <row r="84" ht="15" customHeight="1">
      <c r="B84" s="1" t="inlineStr">
        <is>
          <t>Total ITM Options, Warrants, etc.</t>
        </is>
      </c>
      <c r="F84" s="89">
        <f>E82</f>
        <v/>
      </c>
    </row>
    <row r="85" ht="15" customHeight="1">
      <c r="B85" s="100" t="inlineStr">
        <is>
          <t>Less: Total Repurchased and Cancelled</t>
        </is>
      </c>
      <c r="C85" s="100" t="n"/>
      <c r="D85" s="100" t="n"/>
      <c r="E85" s="100" t="n"/>
      <c r="F85" s="101">
        <f>-F82/F16</f>
        <v/>
      </c>
    </row>
    <row r="86" ht="15" customHeight="1">
      <c r="B86" s="95" t="inlineStr">
        <is>
          <t>Net ITM Options, Warrants, etc.</t>
        </is>
      </c>
      <c r="C86" s="95" t="n"/>
      <c r="D86" s="95" t="n"/>
      <c r="E86" s="95" t="n"/>
      <c r="F86" s="96">
        <f>SUM(F84:F85)</f>
        <v/>
      </c>
      <c r="H86" s="98" t="n"/>
      <c r="Q86" s="99" t="n"/>
    </row>
    <row r="87"/>
    <row r="88" ht="15" customHeight="1">
      <c r="B88" s="80" t="inlineStr">
        <is>
          <t>III. ITM CONVERTIBLE DEBENTURES OR CONVERTIBLE PREFERRED SHARES</t>
        </is>
      </c>
      <c r="C88" s="80" t="n"/>
      <c r="D88" s="80" t="n"/>
      <c r="E88" s="80" t="n"/>
      <c r="F88" s="80" t="n"/>
    </row>
    <row r="89" ht="15" customHeight="1">
      <c r="B89" s="81" t="inlineStr">
        <is>
          <t>Type</t>
        </is>
      </c>
      <c r="C89" s="82" t="inlineStr">
        <is>
          <t>Amount</t>
        </is>
      </c>
      <c r="D89" s="82" t="inlineStr">
        <is>
          <t>Shares / $1,000</t>
        </is>
      </c>
      <c r="E89" s="82" t="inlineStr">
        <is>
          <t>Strike</t>
        </is>
      </c>
      <c r="F89" s="83" t="inlineStr">
        <is>
          <t>ITM</t>
        </is>
      </c>
    </row>
    <row r="90" ht="15" customHeight="1">
      <c r="B90" s="92" t="n"/>
      <c r="C90" s="102" t="n"/>
      <c r="D90" s="103" t="n"/>
      <c r="E90" s="104" t="n"/>
      <c r="F90" s="89">
        <f>IF(E90&lt;F$16,(C90/1000)*D90,0)</f>
        <v/>
      </c>
    </row>
    <row r="91" ht="15" customHeight="1">
      <c r="B91" s="92" t="n"/>
      <c r="C91" s="102" t="n"/>
      <c r="D91" s="105" t="n"/>
      <c r="E91" s="104" t="n"/>
      <c r="F91" s="89">
        <f>IF(E91&lt;F$16,(C91/1000)*D91,0)</f>
        <v/>
      </c>
    </row>
    <row r="92" ht="15" customHeight="1">
      <c r="B92" s="92" t="n"/>
      <c r="C92" s="102" t="n"/>
      <c r="D92" s="105" t="n"/>
      <c r="E92" s="104" t="n"/>
      <c r="F92" s="89">
        <f>IF(E92&lt;F$16,(C92/1000)*D92,0)</f>
        <v/>
      </c>
    </row>
    <row r="93" ht="15" customHeight="1">
      <c r="B93" s="92" t="n"/>
      <c r="C93" s="102" t="n"/>
      <c r="D93" s="105" t="n"/>
      <c r="E93" s="104" t="n"/>
      <c r="F93" s="89">
        <f>IF(E93&lt;F$16,(C93/1000)*D93,0)</f>
        <v/>
      </c>
    </row>
    <row r="94" ht="15" customHeight="1">
      <c r="B94" s="92" t="n"/>
      <c r="C94" s="102" t="n"/>
      <c r="D94" s="105" t="n"/>
      <c r="E94" s="104" t="n"/>
      <c r="F94" s="89">
        <f>IF(E94&lt;F$16,(C94/1000)*D94,0)</f>
        <v/>
      </c>
    </row>
    <row r="95" ht="15" customHeight="1">
      <c r="B95" s="92" t="n"/>
      <c r="C95" s="102" t="n"/>
      <c r="D95" s="105" t="n"/>
      <c r="E95" s="104" t="n"/>
      <c r="F95" s="89">
        <f>IF(E95&lt;F$16,(C95/1000)*D95,0)</f>
        <v/>
      </c>
    </row>
    <row r="96" ht="15" customHeight="1">
      <c r="B96" s="92" t="n"/>
      <c r="C96" s="102" t="n"/>
      <c r="D96" s="105" t="n"/>
      <c r="E96" s="104" t="n"/>
      <c r="F96" s="89">
        <f>IF(E96&lt;F$16,(C96/1000)*D96,0)</f>
        <v/>
      </c>
    </row>
    <row r="97" ht="15" customHeight="1">
      <c r="B97" s="92" t="n"/>
      <c r="C97" s="102" t="n"/>
      <c r="D97" s="105" t="n"/>
      <c r="E97" s="104" t="n"/>
      <c r="F97" s="89">
        <f>IF(E97&lt;F$16,(C97/1000)*D97,0)</f>
        <v/>
      </c>
    </row>
    <row r="98" ht="15" customHeight="1">
      <c r="B98" s="92" t="n"/>
      <c r="C98" s="102" t="n"/>
      <c r="D98" s="105" t="n"/>
      <c r="E98" s="104" t="n"/>
      <c r="F98" s="89">
        <f>IF(E98&lt;F$16,(C98/1000)*D98,0)</f>
        <v/>
      </c>
    </row>
    <row r="99" ht="15" customHeight="1">
      <c r="B99" s="92" t="n"/>
      <c r="C99" s="102" t="n"/>
      <c r="D99" s="105" t="n"/>
      <c r="E99" s="104" t="n"/>
      <c r="F99" s="89">
        <f>IF(E99&lt;F$16,(C99/1000)*D99,0)</f>
        <v/>
      </c>
    </row>
    <row r="100" ht="15" customHeight="1">
      <c r="B100" s="92" t="n"/>
      <c r="C100" s="102" t="n"/>
      <c r="D100" s="105" t="n"/>
      <c r="E100" s="104" t="n"/>
      <c r="F100" s="89">
        <f>IF(E100&lt;F$16,(C100/1000)*D100,0)</f>
        <v/>
      </c>
    </row>
    <row r="101" ht="15" customHeight="1">
      <c r="B101" s="92" t="n"/>
      <c r="C101" s="102" t="n"/>
      <c r="D101" s="105" t="n"/>
      <c r="E101" s="104" t="n"/>
      <c r="F101" s="89">
        <f>IF(E101&lt;F$16,(C101/1000)*D101,0)</f>
        <v/>
      </c>
    </row>
    <row r="102" ht="15" customHeight="1">
      <c r="B102" s="92" t="n"/>
      <c r="C102" s="102" t="n"/>
      <c r="D102" s="105" t="n"/>
      <c r="E102" s="104" t="n"/>
      <c r="F102" s="89">
        <f>IF(E102&lt;F$16,(C102/1000)*D102,0)</f>
        <v/>
      </c>
    </row>
    <row r="103" ht="15" customHeight="1">
      <c r="B103" s="92" t="n"/>
      <c r="C103" s="102" t="n"/>
      <c r="D103" s="105" t="n"/>
      <c r="E103" s="104" t="n"/>
      <c r="F103" s="89">
        <f>IF(E103&lt;F$16,(C103/1000)*D103,0)</f>
        <v/>
      </c>
    </row>
    <row r="104" ht="15" customHeight="1">
      <c r="B104" s="95" t="inlineStr">
        <is>
          <t>Total ITM Convertible Debentures &amp; Preferreds</t>
        </is>
      </c>
      <c r="C104" s="95" t="n"/>
      <c r="D104" s="95" t="n"/>
      <c r="E104" s="95" t="n"/>
      <c r="F104" s="96">
        <f>SUM(F90:F103)</f>
        <v/>
      </c>
      <c r="H104" s="98" t="n"/>
      <c r="Q104" s="99" t="n"/>
    </row>
    <row r="105"/>
    <row r="106" ht="15" customHeight="1">
      <c r="B106" s="80" t="inlineStr">
        <is>
          <t>IV. DEBT</t>
        </is>
      </c>
      <c r="C106" s="80" t="n"/>
      <c r="D106" s="80" t="n"/>
      <c r="E106" s="80" t="n"/>
      <c r="F106" s="80" t="n"/>
    </row>
    <row r="107" ht="15" customHeight="1">
      <c r="B107" s="81" t="inlineStr">
        <is>
          <t>Type</t>
        </is>
      </c>
      <c r="C107" s="106" t="n"/>
      <c r="D107" s="106" t="n"/>
      <c r="E107" s="82" t="inlineStr">
        <is>
          <t>Date</t>
        </is>
      </c>
      <c r="F107" s="83" t="inlineStr">
        <is>
          <t>Amount</t>
        </is>
      </c>
    </row>
    <row r="108" ht="15" customHeight="1">
      <c r="B108" s="86" t="inlineStr">
        <is>
          <t>Senior Notes 2031 (4.125% due 2031)</t>
        </is>
      </c>
      <c r="C108" s="107" t="n"/>
      <c r="D108" s="108" t="n"/>
      <c r="E108" s="109" t="n">
        <v>46112</v>
      </c>
      <c r="F108" s="76" t="n">
        <v>650</v>
      </c>
    </row>
    <row r="109" ht="15" customHeight="1">
      <c r="B109" s="86" t="inlineStr">
        <is>
          <t>Senior Notes 2030 (4.125% due 2030)</t>
        </is>
      </c>
      <c r="C109" s="107" t="n"/>
      <c r="D109" s="108" t="n"/>
      <c r="E109" s="109" t="n">
        <v>46112</v>
      </c>
      <c r="F109" s="76" t="n">
        <v>900</v>
      </c>
    </row>
    <row r="110" ht="15" customHeight="1">
      <c r="B110" s="110" t="inlineStr">
        <is>
          <t>Senior Notes 2029 (3.875% due 2029)</t>
        </is>
      </c>
      <c r="C110" s="107" t="n"/>
      <c r="D110" s="108" t="n"/>
      <c r="E110" s="109" t="n">
        <v>46112</v>
      </c>
      <c r="F110" s="76" t="n">
        <v>850</v>
      </c>
    </row>
    <row r="111" ht="15" customHeight="1">
      <c r="B111" s="86" t="inlineStr">
        <is>
          <t>Senior Notes 2028 (3.875% due 2028)</t>
        </is>
      </c>
      <c r="C111" s="107" t="n"/>
      <c r="D111" s="108" t="n"/>
      <c r="E111" s="109" t="n">
        <v>46112</v>
      </c>
      <c r="F111" s="76" t="n">
        <v>900</v>
      </c>
    </row>
    <row r="112" ht="15" customHeight="1">
      <c r="B112" s="86" t="inlineStr">
        <is>
          <t>Senior Secured Notes 2027 (6.90% due 2027)</t>
        </is>
      </c>
      <c r="C112" s="107" t="n"/>
      <c r="D112" s="108" t="n"/>
      <c r="E112" s="109" t="n">
        <v>46112</v>
      </c>
      <c r="F112" s="76" t="n">
        <v>1000</v>
      </c>
    </row>
    <row r="113" ht="15" customHeight="1">
      <c r="B113" s="86" t="inlineStr">
        <is>
          <t>Acquisition Term Loan (Term SOFR+1.75%)</t>
        </is>
      </c>
      <c r="C113" s="107" t="n"/>
      <c r="D113" s="108" t="n"/>
      <c r="E113" s="109" t="n">
        <v>46112</v>
      </c>
      <c r="F113" s="76" t="n">
        <v>1995.488</v>
      </c>
    </row>
    <row r="114" ht="15" customHeight="1">
      <c r="B114" s="86" t="inlineStr">
        <is>
          <t>Unamortized debt discount &amp; issuance costs</t>
        </is>
      </c>
      <c r="C114" s="107" t="n"/>
      <c r="D114" s="108" t="n"/>
      <c r="E114" s="109" t="n">
        <v>46112</v>
      </c>
      <c r="F114" s="76" t="n">
        <v>-84.98</v>
      </c>
    </row>
    <row r="115" ht="15" customHeight="1">
      <c r="B115" s="86" t="inlineStr">
        <is>
          <t>Revolving Credit Facility (undrawn)</t>
        </is>
      </c>
      <c r="C115" s="107" t="n"/>
      <c r="D115" s="108" t="n"/>
      <c r="E115" s="109" t="n">
        <v>46112</v>
      </c>
      <c r="F115" s="76" t="n">
        <v>0</v>
      </c>
    </row>
    <row r="116" ht="15" customHeight="1">
      <c r="B116" s="92" t="n"/>
      <c r="C116" s="107" t="n"/>
      <c r="D116" s="108" t="n"/>
      <c r="E116" s="85" t="n"/>
      <c r="F116" s="102" t="n"/>
    </row>
    <row r="117" ht="15" customHeight="1">
      <c r="B117" s="92" t="n"/>
      <c r="C117" s="107" t="n"/>
      <c r="D117" s="108" t="n"/>
      <c r="E117" s="85" t="n"/>
      <c r="F117" s="102" t="n"/>
    </row>
    <row r="118" ht="15" customHeight="1">
      <c r="B118" s="92" t="n"/>
      <c r="C118" s="107" t="n"/>
      <c r="D118" s="108" t="n"/>
      <c r="E118" s="85" t="n"/>
      <c r="F118" s="102" t="n"/>
    </row>
    <row r="119" ht="15" customHeight="1">
      <c r="B119" s="92" t="n"/>
      <c r="C119" s="107" t="n"/>
      <c r="D119" s="108" t="n"/>
      <c r="E119" s="85" t="n"/>
      <c r="F119" s="102" t="n"/>
    </row>
    <row r="120" ht="15" customHeight="1">
      <c r="B120" s="92" t="n"/>
      <c r="C120" s="107" t="n"/>
      <c r="D120" s="108" t="n"/>
      <c r="E120" s="85" t="n"/>
      <c r="F120" s="102" t="n"/>
    </row>
    <row r="121" ht="15" customHeight="1">
      <c r="B121" s="92" t="n"/>
      <c r="C121" s="107" t="n"/>
      <c r="D121" s="108" t="n"/>
      <c r="E121" s="111" t="n"/>
      <c r="F121" s="102" t="n"/>
    </row>
    <row r="122" ht="15" customHeight="1">
      <c r="B122" s="112" t="inlineStr">
        <is>
          <t>Total Debt</t>
        </is>
      </c>
      <c r="C122" s="95" t="n"/>
      <c r="D122" s="95" t="n"/>
      <c r="E122" s="95" t="n"/>
      <c r="F122" s="97">
        <f>SUM(F108:F121)</f>
        <v/>
      </c>
      <c r="H122" s="98" t="n"/>
      <c r="Q122" s="99" t="n"/>
    </row>
    <row r="123" ht="15" customHeight="1">
      <c r="F123" s="113" t="n"/>
      <c r="H123" s="98" t="n"/>
      <c r="Q123" s="99" t="n"/>
    </row>
    <row r="124" ht="15" customHeight="1">
      <c r="B124" s="80" t="inlineStr">
        <is>
          <t>V. LEASES</t>
        </is>
      </c>
      <c r="C124" s="80" t="n"/>
      <c r="D124" s="80" t="n"/>
      <c r="E124" s="80" t="n"/>
      <c r="F124" s="80" t="n"/>
      <c r="H124" s="98" t="n"/>
      <c r="Q124" s="99" t="n"/>
    </row>
    <row r="125" ht="15" customHeight="1">
      <c r="B125" s="81" t="inlineStr">
        <is>
          <t>Type</t>
        </is>
      </c>
      <c r="C125" s="106" t="n"/>
      <c r="D125" s="106" t="n"/>
      <c r="E125" s="82" t="inlineStr">
        <is>
          <t>Date</t>
        </is>
      </c>
      <c r="F125" s="82" t="inlineStr">
        <is>
          <t>Amount</t>
        </is>
      </c>
      <c r="H125" s="98" t="n"/>
      <c r="Q125" s="99" t="n"/>
    </row>
    <row r="126" ht="15" customHeight="1">
      <c r="B126" s="86" t="inlineStr">
        <is>
          <t>Operating lease liabilities</t>
        </is>
      </c>
      <c r="C126" s="107" t="n"/>
      <c r="D126" s="108" t="n"/>
      <c r="E126" s="109" t="n">
        <v>46112</v>
      </c>
      <c r="F126" s="76" t="n">
        <v>203.845</v>
      </c>
      <c r="H126" s="4" t="n"/>
      <c r="Q126" s="99" t="n"/>
    </row>
    <row r="127" ht="15" customHeight="1">
      <c r="B127" s="86" t="inlineStr">
        <is>
          <t>Finance lease liabilities</t>
        </is>
      </c>
      <c r="C127" s="107" t="n"/>
      <c r="D127" s="108" t="n"/>
      <c r="E127" s="109" t="n">
        <v>46112</v>
      </c>
      <c r="F127" s="76" t="n">
        <v>0.908</v>
      </c>
      <c r="H127" s="4" t="n"/>
      <c r="Q127" s="99" t="n"/>
    </row>
    <row r="128" ht="15" customHeight="1">
      <c r="B128" s="92" t="n"/>
      <c r="C128" s="107" t="n"/>
      <c r="D128" s="108" t="n"/>
      <c r="E128" s="85" t="n"/>
      <c r="F128" s="102" t="n"/>
      <c r="H128" s="4" t="n"/>
      <c r="Q128" s="99" t="n"/>
    </row>
    <row r="129" ht="15" customHeight="1">
      <c r="B129" s="92" t="n"/>
      <c r="C129" s="107" t="n"/>
      <c r="D129" s="108" t="n"/>
      <c r="E129" s="85" t="n"/>
      <c r="F129" s="102" t="n"/>
      <c r="H129" s="4" t="n"/>
      <c r="Q129" s="99" t="n"/>
    </row>
    <row r="130" ht="15" customHeight="1">
      <c r="B130" s="92" t="n"/>
      <c r="C130" s="107" t="n"/>
      <c r="D130" s="108" t="n"/>
      <c r="E130" s="85" t="n"/>
      <c r="F130" s="102" t="n"/>
      <c r="H130" s="4" t="n"/>
      <c r="Q130" s="99" t="n"/>
    </row>
    <row r="131" ht="15" customHeight="1">
      <c r="B131" s="92" t="n"/>
      <c r="C131" s="107" t="n"/>
      <c r="D131" s="108" t="n"/>
      <c r="E131" s="85" t="n"/>
      <c r="F131" s="102" t="n"/>
      <c r="H131" s="4" t="n"/>
      <c r="Q131" s="99" t="n"/>
    </row>
    <row r="132" ht="15" customHeight="1">
      <c r="B132" s="92" t="n"/>
      <c r="C132" s="107" t="n"/>
      <c r="D132" s="108" t="n"/>
      <c r="E132" s="85" t="n"/>
      <c r="F132" s="102" t="n"/>
      <c r="H132" s="4" t="n"/>
      <c r="Q132" s="99" t="n"/>
    </row>
    <row r="133" ht="15" customHeight="1">
      <c r="B133" s="92" t="n"/>
      <c r="C133" s="107" t="n"/>
      <c r="D133" s="108" t="n"/>
      <c r="E133" s="85" t="n"/>
      <c r="F133" s="102" t="n"/>
      <c r="H133" s="4" t="n"/>
      <c r="Q133" s="99" t="n"/>
    </row>
    <row r="134" ht="15" customHeight="1">
      <c r="B134" s="92" t="n"/>
      <c r="C134" s="107" t="n"/>
      <c r="D134" s="108" t="n"/>
      <c r="E134" s="85" t="n"/>
      <c r="F134" s="102" t="n"/>
      <c r="H134" s="4" t="n"/>
      <c r="Q134" s="99" t="n"/>
    </row>
    <row r="135" ht="15" customHeight="1">
      <c r="B135" s="92" t="n"/>
      <c r="C135" s="107" t="n"/>
      <c r="D135" s="108" t="n"/>
      <c r="E135" s="85" t="n"/>
      <c r="F135" s="102" t="n"/>
      <c r="H135" s="4" t="n"/>
      <c r="Q135" s="99" t="n"/>
    </row>
    <row r="136" ht="15" customHeight="1">
      <c r="B136" s="92" t="n"/>
      <c r="C136" s="107" t="n"/>
      <c r="D136" s="108" t="n"/>
      <c r="E136" s="85" t="n"/>
      <c r="F136" s="102" t="n"/>
      <c r="H136" s="4" t="n"/>
      <c r="Q136" s="99" t="n"/>
    </row>
    <row r="137" ht="15" customHeight="1">
      <c r="B137" s="92" t="n"/>
      <c r="C137" s="107" t="n"/>
      <c r="D137" s="108" t="n"/>
      <c r="E137" s="85" t="n"/>
      <c r="F137" s="102" t="n"/>
      <c r="H137" s="4" t="n"/>
      <c r="Q137" s="99" t="n"/>
    </row>
    <row r="138" ht="15" customHeight="1">
      <c r="B138" s="92" t="n"/>
      <c r="C138" s="107" t="n"/>
      <c r="D138" s="108" t="n"/>
      <c r="E138" s="85" t="n"/>
      <c r="F138" s="102" t="n"/>
      <c r="H138" s="98" t="n"/>
      <c r="Q138" s="99" t="n"/>
    </row>
    <row r="139" ht="15" customHeight="1">
      <c r="B139" s="92" t="n"/>
      <c r="C139" s="107" t="n"/>
      <c r="D139" s="108" t="n"/>
      <c r="E139" s="85" t="n"/>
      <c r="F139" s="102" t="n"/>
      <c r="H139" s="98" t="n"/>
      <c r="Q139" s="99" t="n"/>
    </row>
    <row r="140" ht="15" customHeight="1">
      <c r="B140" s="92" t="n"/>
      <c r="C140" s="107" t="n"/>
      <c r="D140" s="108" t="n"/>
      <c r="E140" s="85" t="n"/>
      <c r="F140" s="102" t="n"/>
      <c r="H140" s="98" t="n"/>
      <c r="Q140" s="99" t="n"/>
    </row>
    <row r="141" ht="15" customHeight="1">
      <c r="B141" s="92" t="n"/>
      <c r="C141" s="107" t="n"/>
      <c r="D141" s="108" t="n"/>
      <c r="E141" s="85" t="n"/>
      <c r="F141" s="102" t="n"/>
      <c r="H141" s="98" t="n"/>
      <c r="Q141" s="99" t="n"/>
    </row>
    <row r="142" ht="15" customHeight="1">
      <c r="B142" s="92" t="n"/>
      <c r="C142" s="107" t="n"/>
      <c r="D142" s="108" t="n"/>
      <c r="E142" s="111" t="n"/>
      <c r="F142" s="102" t="n"/>
      <c r="H142" s="98" t="n"/>
      <c r="Q142" s="99" t="n"/>
    </row>
    <row r="143" ht="15" customHeight="1">
      <c r="B143" s="95" t="inlineStr">
        <is>
          <t>Total Debt</t>
        </is>
      </c>
      <c r="C143" s="95" t="n"/>
      <c r="D143" s="95" t="n"/>
      <c r="E143" s="95" t="n"/>
      <c r="F143" s="97">
        <f>SUM(F126:F142)</f>
        <v/>
      </c>
      <c r="H143" s="98" t="n"/>
      <c r="Q143" s="99" t="n"/>
    </row>
    <row r="144"/>
    <row r="145" ht="15" customHeight="1">
      <c r="B145" s="80" t="inlineStr">
        <is>
          <t>VI. CASH</t>
        </is>
      </c>
      <c r="C145" s="80" t="n"/>
      <c r="D145" s="80" t="n"/>
      <c r="E145" s="80" t="n"/>
      <c r="F145" s="80" t="n"/>
    </row>
    <row r="146" ht="15" customHeight="1">
      <c r="B146" s="81" t="inlineStr">
        <is>
          <t>Type</t>
        </is>
      </c>
      <c r="C146" s="106" t="n"/>
      <c r="D146" s="106" t="n"/>
      <c r="E146" s="82" t="inlineStr">
        <is>
          <t>Date</t>
        </is>
      </c>
      <c r="F146" s="82" t="inlineStr">
        <is>
          <t>Amount</t>
        </is>
      </c>
    </row>
    <row r="147" ht="15" customHeight="1">
      <c r="B147" s="86" t="inlineStr">
        <is>
          <t>Cash and cash equivalents</t>
        </is>
      </c>
      <c r="C147" s="107" t="n"/>
      <c r="D147" s="108" t="n"/>
      <c r="E147" s="109" t="n">
        <v>46112</v>
      </c>
      <c r="F147" s="76" t="n">
        <v>1254.144</v>
      </c>
    </row>
    <row r="148" ht="15" customHeight="1">
      <c r="B148" s="86" t="inlineStr">
        <is>
          <t>Restricted cash</t>
        </is>
      </c>
      <c r="C148" s="107" t="n"/>
      <c r="D148" s="108" t="n"/>
      <c r="E148" s="114" t="n">
        <v>46112</v>
      </c>
      <c r="F148" s="76" t="n">
        <v>1.24</v>
      </c>
    </row>
    <row r="149" ht="15" customHeight="1">
      <c r="B149" s="92" t="n"/>
      <c r="C149" s="107" t="n"/>
      <c r="D149" s="108" t="n"/>
      <c r="E149" s="115" t="n"/>
      <c r="F149" s="102" t="n"/>
    </row>
    <row r="150" ht="15" customHeight="1">
      <c r="B150" s="92" t="n"/>
      <c r="C150" s="107" t="n"/>
      <c r="D150" s="108" t="n"/>
      <c r="E150" s="115" t="n"/>
      <c r="F150" s="102" t="n"/>
    </row>
    <row r="151" ht="15" customHeight="1">
      <c r="B151" s="92" t="n"/>
      <c r="C151" s="107" t="n"/>
      <c r="D151" s="108" t="n"/>
      <c r="E151" s="115" t="n"/>
      <c r="F151" s="102" t="n"/>
    </row>
    <row r="152" ht="15" customHeight="1">
      <c r="B152" s="92" t="n"/>
      <c r="C152" s="107" t="n"/>
      <c r="D152" s="108" t="n"/>
      <c r="E152" s="115" t="n"/>
      <c r="F152" s="102" t="n"/>
    </row>
    <row r="153" ht="15" customHeight="1">
      <c r="B153" s="92" t="n"/>
      <c r="C153" s="107" t="n"/>
      <c r="D153" s="108" t="n"/>
      <c r="E153" s="115" t="n"/>
      <c r="F153" s="102" t="n"/>
    </row>
    <row r="154" ht="15" customHeight="1">
      <c r="B154" s="92" t="n"/>
      <c r="C154" s="107" t="n"/>
      <c r="D154" s="108" t="n"/>
      <c r="E154" s="115" t="n"/>
      <c r="F154" s="102" t="n"/>
    </row>
    <row r="155" ht="15" customHeight="1">
      <c r="B155" s="92" t="n"/>
      <c r="C155" s="107" t="n"/>
      <c r="D155" s="108" t="n"/>
      <c r="E155" s="115" t="n"/>
      <c r="F155" s="102" t="n"/>
    </row>
    <row r="156" ht="15" customHeight="1">
      <c r="B156" s="92" t="n"/>
      <c r="C156" s="107" t="n"/>
      <c r="D156" s="108" t="n"/>
      <c r="E156" s="115" t="n"/>
      <c r="F156" s="102" t="n"/>
    </row>
    <row r="157" ht="15" customHeight="1">
      <c r="B157" s="92" t="n"/>
      <c r="C157" s="107" t="n"/>
      <c r="D157" s="108" t="n"/>
      <c r="E157" s="115" t="n"/>
      <c r="F157" s="102" t="n"/>
    </row>
    <row r="158" ht="15" customHeight="1">
      <c r="B158" s="92" t="n"/>
      <c r="C158" s="107" t="n"/>
      <c r="D158" s="108" t="n"/>
      <c r="E158" s="115" t="n"/>
      <c r="F158" s="102" t="n"/>
    </row>
    <row r="159" ht="15" customHeight="1">
      <c r="B159" s="92" t="n"/>
      <c r="C159" s="107" t="n"/>
      <c r="D159" s="108" t="n"/>
      <c r="E159" s="115" t="n"/>
      <c r="F159" s="102" t="n"/>
    </row>
    <row r="160" ht="15" customHeight="1">
      <c r="B160" s="92" t="n"/>
      <c r="C160" s="107" t="n"/>
      <c r="D160" s="108" t="n"/>
      <c r="E160" s="115" t="n"/>
      <c r="F160" s="102" t="n"/>
    </row>
    <row r="161" ht="15" customHeight="1">
      <c r="B161" s="92" t="n"/>
      <c r="C161" s="107" t="n"/>
      <c r="D161" s="108" t="n"/>
      <c r="E161" s="115" t="n"/>
      <c r="F161" s="102" t="n"/>
    </row>
    <row r="162" ht="15" customHeight="1">
      <c r="B162" s="92" t="n"/>
      <c r="C162" s="107" t="n"/>
      <c r="D162" s="108" t="n"/>
      <c r="E162" s="111" t="n"/>
      <c r="F162" s="102" t="n"/>
    </row>
    <row r="163" ht="15" customHeight="1">
      <c r="B163" s="92" t="n"/>
      <c r="C163" s="107" t="n"/>
      <c r="D163" s="108" t="n"/>
      <c r="E163" s="111" t="n"/>
      <c r="F163" s="116" t="n"/>
    </row>
    <row r="164" ht="15" customHeight="1">
      <c r="B164" s="95" t="inlineStr">
        <is>
          <t>Total Cash</t>
        </is>
      </c>
      <c r="C164" s="95" t="n"/>
      <c r="D164" s="95" t="n"/>
      <c r="E164" s="95" t="n"/>
      <c r="F164" s="97">
        <f>SUM(F147:F163)</f>
        <v/>
      </c>
      <c r="H164" s="98" t="n"/>
      <c r="Q164" s="99" t="n"/>
    </row>
    <row r="165"/>
    <row r="166" ht="15" customHeight="1">
      <c r="B166" s="80" t="inlineStr">
        <is>
          <t>VII. BASIC SHARES OUTSTANDING</t>
        </is>
      </c>
      <c r="C166" s="80" t="n"/>
      <c r="D166" s="80" t="n"/>
      <c r="E166" s="80" t="n"/>
      <c r="F166" s="80" t="n"/>
    </row>
    <row r="167" ht="15" customHeight="1">
      <c r="B167" s="81" t="inlineStr">
        <is>
          <t>Description</t>
        </is>
      </c>
      <c r="C167" s="106" t="n"/>
      <c r="D167" s="106" t="n"/>
      <c r="E167" s="82" t="inlineStr">
        <is>
          <t>Date</t>
        </is>
      </c>
      <c r="F167" s="82" t="inlineStr">
        <is>
          <t>Amount</t>
        </is>
      </c>
    </row>
    <row r="168" ht="15" customHeight="1">
      <c r="B168" s="86" t="inlineStr">
        <is>
          <t>Common Shares outstanding</t>
        </is>
      </c>
      <c r="C168" s="107" t="n"/>
      <c r="D168" s="108" t="n"/>
      <c r="E168" s="109" t="n">
        <v>46143</v>
      </c>
      <c r="F168" s="117" t="n">
        <v>242.66236</v>
      </c>
    </row>
    <row r="169" ht="15" customHeight="1">
      <c r="B169" s="92" t="n"/>
      <c r="C169" s="107" t="n"/>
      <c r="D169" s="108" t="n"/>
      <c r="E169" s="115" t="n"/>
      <c r="F169" s="118" t="n"/>
    </row>
    <row r="170" ht="15" customHeight="1">
      <c r="B170" s="92" t="n"/>
      <c r="C170" s="107" t="n"/>
      <c r="D170" s="108" t="n"/>
      <c r="E170" s="115" t="n"/>
      <c r="F170" s="118" t="n"/>
      <c r="H170" s="1" t="n"/>
      <c r="Q170" s="1" t="n"/>
    </row>
    <row r="171" ht="15" customHeight="1">
      <c r="B171" s="92" t="n"/>
      <c r="C171" s="107" t="n"/>
      <c r="D171" s="108" t="n"/>
      <c r="E171" s="115" t="n"/>
      <c r="F171" s="118" t="n"/>
      <c r="H171" s="1" t="n"/>
      <c r="Q171" s="1" t="n"/>
    </row>
    <row r="172" ht="15" customHeight="1">
      <c r="B172" s="92" t="n"/>
      <c r="C172" s="107" t="n"/>
      <c r="D172" s="108" t="n"/>
      <c r="E172" s="115" t="n"/>
      <c r="F172" s="118" t="n"/>
      <c r="H172" s="1" t="n"/>
      <c r="Q172" s="1" t="n"/>
    </row>
    <row r="173" ht="15" customHeight="1">
      <c r="B173" s="92" t="n"/>
      <c r="C173" s="107" t="n"/>
      <c r="D173" s="108" t="n"/>
      <c r="E173" s="115" t="n"/>
      <c r="F173" s="118" t="n"/>
      <c r="H173" s="1" t="n"/>
      <c r="Q173" s="1" t="n"/>
    </row>
    <row r="174" ht="15" customHeight="1">
      <c r="B174" s="92" t="n"/>
      <c r="C174" s="107" t="n"/>
      <c r="D174" s="108" t="n"/>
      <c r="E174" s="115" t="n"/>
      <c r="F174" s="118" t="n"/>
      <c r="H174" s="1" t="n"/>
      <c r="Q174" s="1" t="n"/>
    </row>
    <row r="175" ht="15" customHeight="1">
      <c r="B175" s="92" t="n"/>
      <c r="C175" s="107" t="n"/>
      <c r="D175" s="108" t="n"/>
      <c r="E175" s="115" t="n"/>
      <c r="F175" s="118" t="n"/>
      <c r="H175" s="1" t="n"/>
      <c r="Q175" s="1" t="n"/>
    </row>
    <row r="176" ht="15" customHeight="1">
      <c r="B176" s="92" t="n"/>
      <c r="C176" s="107" t="n"/>
      <c r="D176" s="108" t="n"/>
      <c r="E176" s="115" t="n"/>
      <c r="F176" s="118" t="n"/>
      <c r="H176" s="1" t="n"/>
      <c r="Q176" s="1" t="n"/>
    </row>
    <row r="177" ht="15" customHeight="1">
      <c r="B177" s="92" t="n"/>
      <c r="C177" s="107" t="n"/>
      <c r="D177" s="108" t="n"/>
      <c r="E177" s="115" t="n"/>
      <c r="F177" s="118" t="n"/>
      <c r="H177" s="1" t="n"/>
      <c r="Q177" s="1" t="n"/>
    </row>
    <row r="178" ht="15" customHeight="1">
      <c r="B178" s="92" t="n"/>
      <c r="C178" s="107" t="n"/>
      <c r="D178" s="108" t="n"/>
      <c r="E178" s="115" t="n"/>
      <c r="F178" s="118" t="n"/>
      <c r="H178" s="1" t="n"/>
      <c r="Q178" s="1" t="n"/>
    </row>
    <row r="179" ht="15" customHeight="1">
      <c r="B179" s="92" t="n"/>
      <c r="C179" s="107" t="n"/>
      <c r="D179" s="108" t="n"/>
      <c r="E179" s="115" t="n"/>
      <c r="F179" s="118" t="n"/>
      <c r="H179" s="1" t="n"/>
      <c r="Q179" s="1" t="n"/>
    </row>
    <row r="180" ht="15" customHeight="1">
      <c r="B180" s="92" t="n"/>
      <c r="C180" s="107" t="n"/>
      <c r="D180" s="108" t="n"/>
      <c r="E180" s="115" t="n"/>
      <c r="F180" s="118" t="n"/>
      <c r="H180" s="1" t="n"/>
      <c r="Q180" s="1" t="n"/>
    </row>
    <row r="181" ht="15" customHeight="1">
      <c r="B181" s="92" t="n"/>
      <c r="C181" s="107" t="n"/>
      <c r="D181" s="108" t="n"/>
      <c r="E181" s="115" t="n"/>
      <c r="F181" s="118" t="n"/>
      <c r="H181" s="1" t="n"/>
      <c r="Q181" s="1" t="n"/>
    </row>
    <row r="182" ht="15" customHeight="1">
      <c r="B182" s="92" t="n"/>
      <c r="C182" s="107" t="n"/>
      <c r="D182" s="108" t="n"/>
      <c r="E182" s="115" t="n"/>
      <c r="F182" s="118" t="n"/>
      <c r="H182" s="1" t="n"/>
      <c r="Q182" s="1" t="n"/>
    </row>
    <row r="183" ht="15" customHeight="1">
      <c r="B183" s="92" t="n"/>
      <c r="C183" s="107" t="n"/>
      <c r="D183" s="108" t="n"/>
      <c r="E183" s="115" t="n"/>
      <c r="F183" s="118" t="n"/>
      <c r="H183" s="1" t="n"/>
      <c r="Q183" s="1" t="n"/>
    </row>
    <row r="184" ht="15" customHeight="1">
      <c r="B184" s="92" t="n"/>
      <c r="C184" s="107" t="n"/>
      <c r="D184" s="108" t="n"/>
      <c r="E184" s="115" t="n"/>
      <c r="F184" s="118" t="n"/>
      <c r="H184" s="1" t="n"/>
      <c r="Q184" s="1" t="n"/>
    </row>
    <row r="185" ht="15" customHeight="1">
      <c r="B185" s="92" t="n"/>
      <c r="C185" s="107" t="n"/>
      <c r="D185" s="108" t="n"/>
      <c r="E185" s="115" t="n"/>
      <c r="F185" s="118" t="n"/>
      <c r="H185" s="1" t="n"/>
      <c r="Q185" s="1" t="n"/>
    </row>
    <row r="186" ht="15" customHeight="1">
      <c r="B186" s="95" t="inlineStr">
        <is>
          <t>Total Basic Shares Outstanding</t>
        </is>
      </c>
      <c r="C186" s="95" t="n"/>
      <c r="D186" s="95" t="n"/>
      <c r="E186" s="95" t="n"/>
      <c r="F186" s="119">
        <f>SUM(F168:F185)</f>
        <v/>
      </c>
      <c r="H186" s="1" t="n"/>
      <c r="Q186" s="1" t="n"/>
    </row>
    <row r="187" ht="15" customHeight="1">
      <c r="A187" s="1" t="inlineStr">
        <is>
          <t xml:space="preserve"> </t>
        </is>
      </c>
      <c r="B187" s="28" t="n"/>
      <c r="C187" s="28" t="n"/>
      <c r="D187" s="28" t="n"/>
      <c r="E187" s="28" t="n"/>
      <c r="F187" s="120" t="n"/>
      <c r="G187" s="1" t="inlineStr">
        <is>
          <t xml:space="preserve"> </t>
        </is>
      </c>
      <c r="H187" s="1" t="n"/>
      <c r="Q187" s="1" t="n"/>
    </row>
    <row r="188" ht="15" customHeight="1">
      <c r="B188" s="1" t="n"/>
      <c r="C188" s="1" t="n"/>
      <c r="D188" s="1" t="n"/>
      <c r="E188" s="1" t="n"/>
      <c r="F188" s="121" t="n"/>
      <c r="H188" s="1" t="n"/>
      <c r="Q188" s="1" t="n"/>
    </row>
    <row r="189" ht="15" customHeight="1">
      <c r="B189" s="122" t="n"/>
      <c r="C189" s="1" t="n"/>
      <c r="D189" s="1" t="n"/>
      <c r="E189" s="1" t="n"/>
      <c r="F189" s="123" t="n"/>
      <c r="H189" s="1" t="n"/>
      <c r="Q189" s="1" t="n"/>
    </row>
    <row r="190" ht="15" customHeight="1">
      <c r="B190" s="122" t="n"/>
      <c r="F190" s="124" t="n"/>
      <c r="H190" s="1" t="n"/>
      <c r="Q19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</cols>
  <sheetData>
    <row r="1">
      <c r="A1" s="125" t="inlineStr">
        <is>
          <t>Open Text Corporation — LTM Metrics</t>
        </is>
      </c>
    </row>
    <row r="2">
      <c r="A2" s="126" t="inlineStr">
        <is>
          <t>Period: LTM ended March 31, 2026 (FY2025 + 9 mo to Mar 31, 2026 − 9 mo to Mar 31, 2025)</t>
        </is>
      </c>
    </row>
    <row r="3">
      <c r="A3" s="126" t="inlineStr">
        <is>
          <t>Revenue segmentation: Product type / service line</t>
        </is>
      </c>
    </row>
    <row r="4">
      <c r="A4" s="126" t="inlineStr">
        <is>
          <t>Figures in US$MM</t>
        </is>
      </c>
    </row>
    <row r="5"/>
    <row r="6">
      <c r="A6" s="127" t="inlineStr">
        <is>
          <t>LTM Revenue Overview</t>
        </is>
      </c>
      <c r="B6" s="128" t="n"/>
      <c r="C6" s="128" t="n"/>
    </row>
    <row r="7">
      <c r="A7" s="129" t="inlineStr">
        <is>
          <t>Segment</t>
        </is>
      </c>
      <c r="B7" s="130" t="inlineStr">
        <is>
          <t>LTM Revenue (US$MM)</t>
        </is>
      </c>
      <c r="C7" s="130" t="inlineStr">
        <is>
          <t>% of Total</t>
        </is>
      </c>
    </row>
    <row r="8">
      <c r="A8" s="131" t="inlineStr">
        <is>
          <t>Cloud Services &amp; Subscriptions</t>
        </is>
      </c>
      <c r="B8" s="132" t="n">
        <v>1930.052</v>
      </c>
      <c r="C8" s="133">
        <f>B8/B12</f>
        <v/>
      </c>
    </row>
    <row r="9">
      <c r="A9" s="131" t="inlineStr">
        <is>
          <t>Customer Support</t>
        </is>
      </c>
      <c r="B9" s="132" t="n">
        <v>2314.184</v>
      </c>
      <c r="C9" s="133">
        <f>B9/B12</f>
        <v/>
      </c>
    </row>
    <row r="10">
      <c r="A10" s="131" t="inlineStr">
        <is>
          <t>License</t>
        </is>
      </c>
      <c r="B10" s="132" t="n">
        <v>636.3750000000002</v>
      </c>
      <c r="C10" s="133">
        <f>B10/B12</f>
        <v/>
      </c>
    </row>
    <row r="11">
      <c r="A11" s="131" t="inlineStr">
        <is>
          <t>Professional Service &amp; Other</t>
        </is>
      </c>
      <c r="B11" s="132" t="n">
        <v>327.301</v>
      </c>
      <c r="C11" s="133">
        <f>B11/B12</f>
        <v/>
      </c>
    </row>
    <row r="12">
      <c r="A12" s="134" t="inlineStr">
        <is>
          <t>Total</t>
        </is>
      </c>
      <c r="B12" s="135">
        <f>SUM(B8:B11)</f>
        <v/>
      </c>
      <c r="C12" s="136">
        <f>SUM(C8:C11)</f>
        <v/>
      </c>
    </row>
    <row r="13"/>
    <row r="14">
      <c r="A14" s="127" t="inlineStr">
        <is>
          <t>LTM Revenue Bridge</t>
        </is>
      </c>
      <c r="B14" s="128" t="n"/>
      <c r="C14" s="128" t="n"/>
    </row>
    <row r="15">
      <c r="A15" s="129" t="inlineStr">
        <is>
          <t>Component</t>
        </is>
      </c>
      <c r="B15" s="130" t="inlineStr">
        <is>
          <t>Amount (US$MM)</t>
        </is>
      </c>
    </row>
    <row r="16">
      <c r="A16" s="131" t="inlineStr">
        <is>
          <t>(+) FY2025 Revenue (FY ended Jun 30, 2025)</t>
        </is>
      </c>
      <c r="B16" s="132" t="n">
        <v>5168.405</v>
      </c>
    </row>
    <row r="17">
      <c r="A17" s="131" t="inlineStr">
        <is>
          <t>(+) Q3 2026 YTD Revenue (9 mo ended Mar 31, 2026)</t>
        </is>
      </c>
      <c r="B17" s="132" t="n">
        <v>3897.375</v>
      </c>
    </row>
    <row r="18">
      <c r="A18" s="131" t="inlineStr">
        <is>
          <t>(−) Q3 2025 YTD Revenue (9 mo ended Mar 31, 2025)</t>
        </is>
      </c>
      <c r="B18" s="132" t="n">
        <v>3857.868</v>
      </c>
    </row>
    <row r="19">
      <c r="A19" s="134" t="inlineStr">
        <is>
          <t>(=) LTM Revenue</t>
        </is>
      </c>
      <c r="B19" s="135">
        <f>B16+B17-B18</f>
        <v/>
      </c>
    </row>
    <row r="20"/>
    <row r="21">
      <c r="A21" s="127" t="inlineStr">
        <is>
          <t>LTM Adj. EBITDA Bridge</t>
        </is>
      </c>
      <c r="B21" s="128" t="n"/>
      <c r="C21" s="128" t="n"/>
    </row>
    <row r="22">
      <c r="A22" s="129" t="inlineStr">
        <is>
          <t>Component</t>
        </is>
      </c>
      <c r="B22" s="130" t="inlineStr">
        <is>
          <t>Amount (US$MM)</t>
        </is>
      </c>
    </row>
    <row r="23">
      <c r="A23" s="131" t="inlineStr">
        <is>
          <t>(+) FY2025 Adj. EBITDA</t>
        </is>
      </c>
      <c r="B23" s="132" t="n">
        <v>1784.465</v>
      </c>
    </row>
    <row r="24">
      <c r="A24" s="131" t="inlineStr">
        <is>
          <t>(+) Q3 2026 YTD Adj. EBITDA</t>
        </is>
      </c>
      <c r="B24" s="132" t="n">
        <v>1396.511</v>
      </c>
    </row>
    <row r="25">
      <c r="A25" s="131" t="inlineStr">
        <is>
          <t>(−) Q3 2025 YTD Adj. EBITDA</t>
        </is>
      </c>
      <c r="B25" s="132" t="n">
        <v>1340.536</v>
      </c>
    </row>
    <row r="26">
      <c r="A26" s="134" t="inlineStr">
        <is>
          <t>(=) LTM Adj. EBITDA</t>
        </is>
      </c>
      <c r="B26" s="135">
        <f>B23+B24-B25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2026-05-29T20:23:18Z</dcterms:created>
  <dcterms:modified xmlns:dcterms="http://purl.org/dc/terms/" xmlns:xsi="http://www.w3.org/2001/XMLSchema-instance" xsi:type="dcterms:W3CDTF">2026-05-29T20:23:19Z</dcterms:modified>
</cp:coreProperties>
</file>